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shi Makhafola\Downloads\"/>
    </mc:Choice>
  </mc:AlternateContent>
  <xr:revisionPtr revIDLastSave="0" documentId="8_{38B55320-FE07-4F88-B892-3669C2E6A770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Settings" sheetId="1" r:id="rId1"/>
    <sheet name="Employees" sheetId="2" r:id="rId2"/>
    <sheet name="Rotation_Pattern" sheetId="3" r:id="rId3"/>
    <sheet name="Public_Holidays" sheetId="4" r:id="rId4"/>
    <sheet name="Auto_Roster" sheetId="5" r:id="rId5"/>
    <sheet name="Claims" sheetId="6" r:id="rId6"/>
    <sheet name="Summary_Dashboard" sheetId="7" r:id="rId7"/>
    <sheet name="Compliance_Guide" sheetId="8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7" l="1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D3" i="7"/>
  <c r="B3" i="7"/>
  <c r="V623" i="6"/>
  <c r="L623" i="6"/>
  <c r="M623" i="6" s="1"/>
  <c r="V622" i="6"/>
  <c r="L622" i="6"/>
  <c r="M622" i="6" s="1"/>
  <c r="V621" i="6"/>
  <c r="L621" i="6"/>
  <c r="M621" i="6" s="1"/>
  <c r="V620" i="6"/>
  <c r="L620" i="6"/>
  <c r="M620" i="6" s="1"/>
  <c r="V619" i="6"/>
  <c r="L619" i="6"/>
  <c r="M619" i="6" s="1"/>
  <c r="V618" i="6"/>
  <c r="L618" i="6"/>
  <c r="M618" i="6" s="1"/>
  <c r="V617" i="6"/>
  <c r="L617" i="6"/>
  <c r="M617" i="6" s="1"/>
  <c r="V616" i="6"/>
  <c r="L616" i="6"/>
  <c r="M616" i="6" s="1"/>
  <c r="V615" i="6"/>
  <c r="L615" i="6"/>
  <c r="M615" i="6" s="1"/>
  <c r="V614" i="6"/>
  <c r="L614" i="6"/>
  <c r="M614" i="6" s="1"/>
  <c r="V613" i="6"/>
  <c r="L613" i="6"/>
  <c r="M613" i="6" s="1"/>
  <c r="V612" i="6"/>
  <c r="L612" i="6"/>
  <c r="M612" i="6" s="1"/>
  <c r="V611" i="6"/>
  <c r="L611" i="6"/>
  <c r="M611" i="6" s="1"/>
  <c r="V610" i="6"/>
  <c r="L610" i="6"/>
  <c r="M610" i="6" s="1"/>
  <c r="V609" i="6"/>
  <c r="L609" i="6"/>
  <c r="M609" i="6" s="1"/>
  <c r="V608" i="6"/>
  <c r="L608" i="6"/>
  <c r="M608" i="6" s="1"/>
  <c r="V607" i="6"/>
  <c r="L607" i="6"/>
  <c r="M607" i="6" s="1"/>
  <c r="V606" i="6"/>
  <c r="L606" i="6"/>
  <c r="M606" i="6" s="1"/>
  <c r="V605" i="6"/>
  <c r="L605" i="6"/>
  <c r="M605" i="6" s="1"/>
  <c r="V604" i="6"/>
  <c r="L604" i="6"/>
  <c r="M604" i="6" s="1"/>
  <c r="V603" i="6"/>
  <c r="L603" i="6"/>
  <c r="M603" i="6" s="1"/>
  <c r="V602" i="6"/>
  <c r="L602" i="6"/>
  <c r="M602" i="6" s="1"/>
  <c r="V601" i="6"/>
  <c r="L601" i="6"/>
  <c r="M601" i="6" s="1"/>
  <c r="V600" i="6"/>
  <c r="L600" i="6"/>
  <c r="M600" i="6" s="1"/>
  <c r="V599" i="6"/>
  <c r="L599" i="6"/>
  <c r="M599" i="6" s="1"/>
  <c r="V598" i="6"/>
  <c r="L598" i="6"/>
  <c r="M598" i="6" s="1"/>
  <c r="V597" i="6"/>
  <c r="L597" i="6"/>
  <c r="M597" i="6" s="1"/>
  <c r="V596" i="6"/>
  <c r="L596" i="6"/>
  <c r="M596" i="6" s="1"/>
  <c r="V595" i="6"/>
  <c r="L595" i="6"/>
  <c r="M595" i="6" s="1"/>
  <c r="V594" i="6"/>
  <c r="L594" i="6"/>
  <c r="M594" i="6" s="1"/>
  <c r="V593" i="6"/>
  <c r="L593" i="6"/>
  <c r="M593" i="6" s="1"/>
  <c r="V592" i="6"/>
  <c r="L592" i="6"/>
  <c r="M592" i="6" s="1"/>
  <c r="V591" i="6"/>
  <c r="L591" i="6"/>
  <c r="M591" i="6" s="1"/>
  <c r="V590" i="6"/>
  <c r="L590" i="6"/>
  <c r="M590" i="6" s="1"/>
  <c r="V589" i="6"/>
  <c r="L589" i="6"/>
  <c r="M589" i="6" s="1"/>
  <c r="V588" i="6"/>
  <c r="L588" i="6"/>
  <c r="M588" i="6" s="1"/>
  <c r="V587" i="6"/>
  <c r="L587" i="6"/>
  <c r="M587" i="6" s="1"/>
  <c r="V586" i="6"/>
  <c r="L586" i="6"/>
  <c r="M586" i="6" s="1"/>
  <c r="V585" i="6"/>
  <c r="L585" i="6"/>
  <c r="M585" i="6" s="1"/>
  <c r="V584" i="6"/>
  <c r="L584" i="6"/>
  <c r="M584" i="6" s="1"/>
  <c r="V583" i="6"/>
  <c r="L583" i="6"/>
  <c r="M583" i="6" s="1"/>
  <c r="V582" i="6"/>
  <c r="L582" i="6"/>
  <c r="M582" i="6" s="1"/>
  <c r="V581" i="6"/>
  <c r="L581" i="6"/>
  <c r="M581" i="6" s="1"/>
  <c r="V580" i="6"/>
  <c r="L580" i="6"/>
  <c r="M580" i="6" s="1"/>
  <c r="V579" i="6"/>
  <c r="L579" i="6"/>
  <c r="M579" i="6" s="1"/>
  <c r="V578" i="6"/>
  <c r="L578" i="6"/>
  <c r="M578" i="6" s="1"/>
  <c r="V577" i="6"/>
  <c r="L577" i="6"/>
  <c r="M577" i="6" s="1"/>
  <c r="V576" i="6"/>
  <c r="L576" i="6"/>
  <c r="M576" i="6" s="1"/>
  <c r="V575" i="6"/>
  <c r="L575" i="6"/>
  <c r="M575" i="6" s="1"/>
  <c r="V574" i="6"/>
  <c r="L574" i="6"/>
  <c r="M574" i="6" s="1"/>
  <c r="V573" i="6"/>
  <c r="L573" i="6"/>
  <c r="M573" i="6" s="1"/>
  <c r="V572" i="6"/>
  <c r="L572" i="6"/>
  <c r="M572" i="6" s="1"/>
  <c r="V571" i="6"/>
  <c r="L571" i="6"/>
  <c r="M571" i="6" s="1"/>
  <c r="V570" i="6"/>
  <c r="L570" i="6"/>
  <c r="M570" i="6" s="1"/>
  <c r="V569" i="6"/>
  <c r="L569" i="6"/>
  <c r="M569" i="6" s="1"/>
  <c r="V568" i="6"/>
  <c r="L568" i="6"/>
  <c r="M568" i="6" s="1"/>
  <c r="V567" i="6"/>
  <c r="L567" i="6"/>
  <c r="M567" i="6" s="1"/>
  <c r="V566" i="6"/>
  <c r="L566" i="6"/>
  <c r="M566" i="6" s="1"/>
  <c r="V565" i="6"/>
  <c r="L565" i="6"/>
  <c r="M565" i="6" s="1"/>
  <c r="V564" i="6"/>
  <c r="L564" i="6"/>
  <c r="M564" i="6" s="1"/>
  <c r="V563" i="6"/>
  <c r="L563" i="6"/>
  <c r="M563" i="6" s="1"/>
  <c r="V562" i="6"/>
  <c r="L562" i="6"/>
  <c r="M562" i="6" s="1"/>
  <c r="V561" i="6"/>
  <c r="L561" i="6"/>
  <c r="M561" i="6" s="1"/>
  <c r="V560" i="6"/>
  <c r="L560" i="6"/>
  <c r="M560" i="6" s="1"/>
  <c r="V559" i="6"/>
  <c r="L559" i="6"/>
  <c r="M559" i="6" s="1"/>
  <c r="V558" i="6"/>
  <c r="L558" i="6"/>
  <c r="M558" i="6" s="1"/>
  <c r="V557" i="6"/>
  <c r="L557" i="6"/>
  <c r="M557" i="6" s="1"/>
  <c r="V556" i="6"/>
  <c r="L556" i="6"/>
  <c r="M556" i="6" s="1"/>
  <c r="V555" i="6"/>
  <c r="L555" i="6"/>
  <c r="M555" i="6" s="1"/>
  <c r="V554" i="6"/>
  <c r="L554" i="6"/>
  <c r="M554" i="6" s="1"/>
  <c r="V553" i="6"/>
  <c r="L553" i="6"/>
  <c r="M553" i="6" s="1"/>
  <c r="V552" i="6"/>
  <c r="L552" i="6"/>
  <c r="M552" i="6" s="1"/>
  <c r="V551" i="6"/>
  <c r="L551" i="6"/>
  <c r="M551" i="6" s="1"/>
  <c r="V550" i="6"/>
  <c r="L550" i="6"/>
  <c r="M550" i="6" s="1"/>
  <c r="V549" i="6"/>
  <c r="L549" i="6"/>
  <c r="M549" i="6" s="1"/>
  <c r="V548" i="6"/>
  <c r="L548" i="6"/>
  <c r="M548" i="6" s="1"/>
  <c r="V547" i="6"/>
  <c r="L547" i="6"/>
  <c r="M547" i="6" s="1"/>
  <c r="V546" i="6"/>
  <c r="L546" i="6"/>
  <c r="M546" i="6" s="1"/>
  <c r="V545" i="6"/>
  <c r="L545" i="6"/>
  <c r="M545" i="6" s="1"/>
  <c r="V544" i="6"/>
  <c r="L544" i="6"/>
  <c r="M544" i="6" s="1"/>
  <c r="V543" i="6"/>
  <c r="L543" i="6"/>
  <c r="M543" i="6" s="1"/>
  <c r="V542" i="6"/>
  <c r="L542" i="6"/>
  <c r="M542" i="6" s="1"/>
  <c r="V541" i="6"/>
  <c r="L541" i="6"/>
  <c r="M541" i="6" s="1"/>
  <c r="V540" i="6"/>
  <c r="L540" i="6"/>
  <c r="M540" i="6" s="1"/>
  <c r="V539" i="6"/>
  <c r="L539" i="6"/>
  <c r="M539" i="6" s="1"/>
  <c r="V538" i="6"/>
  <c r="L538" i="6"/>
  <c r="M538" i="6" s="1"/>
  <c r="V537" i="6"/>
  <c r="L537" i="6"/>
  <c r="M537" i="6" s="1"/>
  <c r="V536" i="6"/>
  <c r="L536" i="6"/>
  <c r="M536" i="6" s="1"/>
  <c r="V535" i="6"/>
  <c r="L535" i="6"/>
  <c r="M535" i="6" s="1"/>
  <c r="V534" i="6"/>
  <c r="L534" i="6"/>
  <c r="M534" i="6" s="1"/>
  <c r="V533" i="6"/>
  <c r="L533" i="6"/>
  <c r="M533" i="6" s="1"/>
  <c r="V532" i="6"/>
  <c r="L532" i="6"/>
  <c r="M532" i="6" s="1"/>
  <c r="V531" i="6"/>
  <c r="L531" i="6"/>
  <c r="M531" i="6" s="1"/>
  <c r="V530" i="6"/>
  <c r="L530" i="6"/>
  <c r="M530" i="6" s="1"/>
  <c r="V529" i="6"/>
  <c r="L529" i="6"/>
  <c r="M529" i="6" s="1"/>
  <c r="V528" i="6"/>
  <c r="L528" i="6"/>
  <c r="M528" i="6" s="1"/>
  <c r="V527" i="6"/>
  <c r="L527" i="6"/>
  <c r="M527" i="6" s="1"/>
  <c r="V526" i="6"/>
  <c r="L526" i="6"/>
  <c r="M526" i="6" s="1"/>
  <c r="V525" i="6"/>
  <c r="L525" i="6"/>
  <c r="M525" i="6" s="1"/>
  <c r="V524" i="6"/>
  <c r="L524" i="6"/>
  <c r="M524" i="6" s="1"/>
  <c r="V523" i="6"/>
  <c r="L523" i="6"/>
  <c r="M523" i="6" s="1"/>
  <c r="V522" i="6"/>
  <c r="L522" i="6"/>
  <c r="M522" i="6" s="1"/>
  <c r="V521" i="6"/>
  <c r="L521" i="6"/>
  <c r="M521" i="6" s="1"/>
  <c r="V520" i="6"/>
  <c r="L520" i="6"/>
  <c r="M520" i="6" s="1"/>
  <c r="V519" i="6"/>
  <c r="L519" i="6"/>
  <c r="M519" i="6" s="1"/>
  <c r="V518" i="6"/>
  <c r="L518" i="6"/>
  <c r="M518" i="6" s="1"/>
  <c r="V517" i="6"/>
  <c r="L517" i="6"/>
  <c r="M517" i="6" s="1"/>
  <c r="V516" i="6"/>
  <c r="L516" i="6"/>
  <c r="M516" i="6" s="1"/>
  <c r="V515" i="6"/>
  <c r="L515" i="6"/>
  <c r="M515" i="6" s="1"/>
  <c r="V514" i="6"/>
  <c r="L514" i="6"/>
  <c r="M514" i="6" s="1"/>
  <c r="V513" i="6"/>
  <c r="L513" i="6"/>
  <c r="M513" i="6" s="1"/>
  <c r="V512" i="6"/>
  <c r="L512" i="6"/>
  <c r="M512" i="6" s="1"/>
  <c r="V511" i="6"/>
  <c r="L511" i="6"/>
  <c r="M511" i="6" s="1"/>
  <c r="V510" i="6"/>
  <c r="L510" i="6"/>
  <c r="M510" i="6" s="1"/>
  <c r="V509" i="6"/>
  <c r="L509" i="6"/>
  <c r="M509" i="6" s="1"/>
  <c r="V508" i="6"/>
  <c r="L508" i="6"/>
  <c r="M508" i="6" s="1"/>
  <c r="V507" i="6"/>
  <c r="L507" i="6"/>
  <c r="M507" i="6" s="1"/>
  <c r="V506" i="6"/>
  <c r="L506" i="6"/>
  <c r="M506" i="6" s="1"/>
  <c r="V505" i="6"/>
  <c r="L505" i="6"/>
  <c r="M505" i="6" s="1"/>
  <c r="V504" i="6"/>
  <c r="L504" i="6"/>
  <c r="M504" i="6" s="1"/>
  <c r="V503" i="6"/>
  <c r="L503" i="6"/>
  <c r="M503" i="6" s="1"/>
  <c r="V502" i="6"/>
  <c r="L502" i="6"/>
  <c r="M502" i="6" s="1"/>
  <c r="V501" i="6"/>
  <c r="L501" i="6"/>
  <c r="M501" i="6" s="1"/>
  <c r="V500" i="6"/>
  <c r="L500" i="6"/>
  <c r="M500" i="6" s="1"/>
  <c r="V499" i="6"/>
  <c r="L499" i="6"/>
  <c r="M499" i="6" s="1"/>
  <c r="V498" i="6"/>
  <c r="L498" i="6"/>
  <c r="M498" i="6" s="1"/>
  <c r="V497" i="6"/>
  <c r="L497" i="6"/>
  <c r="M497" i="6" s="1"/>
  <c r="V496" i="6"/>
  <c r="L496" i="6"/>
  <c r="M496" i="6" s="1"/>
  <c r="V495" i="6"/>
  <c r="L495" i="6"/>
  <c r="M495" i="6" s="1"/>
  <c r="V494" i="6"/>
  <c r="L494" i="6"/>
  <c r="M494" i="6" s="1"/>
  <c r="V493" i="6"/>
  <c r="L493" i="6"/>
  <c r="M493" i="6" s="1"/>
  <c r="V492" i="6"/>
  <c r="L492" i="6"/>
  <c r="M492" i="6" s="1"/>
  <c r="V491" i="6"/>
  <c r="L491" i="6"/>
  <c r="M491" i="6" s="1"/>
  <c r="V490" i="6"/>
  <c r="L490" i="6"/>
  <c r="M490" i="6" s="1"/>
  <c r="V489" i="6"/>
  <c r="L489" i="6"/>
  <c r="M489" i="6" s="1"/>
  <c r="V488" i="6"/>
  <c r="L488" i="6"/>
  <c r="M488" i="6" s="1"/>
  <c r="V487" i="6"/>
  <c r="L487" i="6"/>
  <c r="M487" i="6" s="1"/>
  <c r="V486" i="6"/>
  <c r="L486" i="6"/>
  <c r="M486" i="6" s="1"/>
  <c r="V485" i="6"/>
  <c r="L485" i="6"/>
  <c r="M485" i="6" s="1"/>
  <c r="V484" i="6"/>
  <c r="L484" i="6"/>
  <c r="M484" i="6" s="1"/>
  <c r="V483" i="6"/>
  <c r="L483" i="6"/>
  <c r="M483" i="6" s="1"/>
  <c r="V482" i="6"/>
  <c r="L482" i="6"/>
  <c r="M482" i="6" s="1"/>
  <c r="V481" i="6"/>
  <c r="L481" i="6"/>
  <c r="M481" i="6" s="1"/>
  <c r="V480" i="6"/>
  <c r="L480" i="6"/>
  <c r="M480" i="6" s="1"/>
  <c r="V479" i="6"/>
  <c r="L479" i="6"/>
  <c r="M479" i="6" s="1"/>
  <c r="V478" i="6"/>
  <c r="L478" i="6"/>
  <c r="M478" i="6" s="1"/>
  <c r="V477" i="6"/>
  <c r="L477" i="6"/>
  <c r="M477" i="6" s="1"/>
  <c r="V476" i="6"/>
  <c r="L476" i="6"/>
  <c r="M476" i="6" s="1"/>
  <c r="V475" i="6"/>
  <c r="L475" i="6"/>
  <c r="M475" i="6" s="1"/>
  <c r="V474" i="6"/>
  <c r="L474" i="6"/>
  <c r="M474" i="6" s="1"/>
  <c r="V473" i="6"/>
  <c r="L473" i="6"/>
  <c r="M473" i="6" s="1"/>
  <c r="V472" i="6"/>
  <c r="L472" i="6"/>
  <c r="M472" i="6" s="1"/>
  <c r="V471" i="6"/>
  <c r="L471" i="6"/>
  <c r="M471" i="6" s="1"/>
  <c r="V470" i="6"/>
  <c r="L470" i="6"/>
  <c r="M470" i="6" s="1"/>
  <c r="V469" i="6"/>
  <c r="L469" i="6"/>
  <c r="M469" i="6" s="1"/>
  <c r="V468" i="6"/>
  <c r="L468" i="6"/>
  <c r="M468" i="6" s="1"/>
  <c r="V467" i="6"/>
  <c r="L467" i="6"/>
  <c r="M467" i="6" s="1"/>
  <c r="V466" i="6"/>
  <c r="L466" i="6"/>
  <c r="M466" i="6" s="1"/>
  <c r="V465" i="6"/>
  <c r="L465" i="6"/>
  <c r="M465" i="6" s="1"/>
  <c r="V464" i="6"/>
  <c r="L464" i="6"/>
  <c r="M464" i="6" s="1"/>
  <c r="V463" i="6"/>
  <c r="L463" i="6"/>
  <c r="M463" i="6" s="1"/>
  <c r="V462" i="6"/>
  <c r="L462" i="6"/>
  <c r="M462" i="6" s="1"/>
  <c r="V461" i="6"/>
  <c r="L461" i="6"/>
  <c r="M461" i="6" s="1"/>
  <c r="V460" i="6"/>
  <c r="L460" i="6"/>
  <c r="M460" i="6" s="1"/>
  <c r="V459" i="6"/>
  <c r="L459" i="6"/>
  <c r="M459" i="6" s="1"/>
  <c r="V458" i="6"/>
  <c r="L458" i="6"/>
  <c r="M458" i="6" s="1"/>
  <c r="V457" i="6"/>
  <c r="L457" i="6"/>
  <c r="M457" i="6" s="1"/>
  <c r="V456" i="6"/>
  <c r="L456" i="6"/>
  <c r="M456" i="6" s="1"/>
  <c r="V455" i="6"/>
  <c r="L455" i="6"/>
  <c r="M455" i="6" s="1"/>
  <c r="V454" i="6"/>
  <c r="L454" i="6"/>
  <c r="M454" i="6" s="1"/>
  <c r="V453" i="6"/>
  <c r="L453" i="6"/>
  <c r="M453" i="6" s="1"/>
  <c r="V452" i="6"/>
  <c r="L452" i="6"/>
  <c r="M452" i="6" s="1"/>
  <c r="V451" i="6"/>
  <c r="L451" i="6"/>
  <c r="M451" i="6" s="1"/>
  <c r="V450" i="6"/>
  <c r="L450" i="6"/>
  <c r="M450" i="6" s="1"/>
  <c r="V449" i="6"/>
  <c r="L449" i="6"/>
  <c r="M449" i="6" s="1"/>
  <c r="V448" i="6"/>
  <c r="L448" i="6"/>
  <c r="M448" i="6" s="1"/>
  <c r="V447" i="6"/>
  <c r="L447" i="6"/>
  <c r="M447" i="6" s="1"/>
  <c r="V446" i="6"/>
  <c r="L446" i="6"/>
  <c r="M446" i="6" s="1"/>
  <c r="V445" i="6"/>
  <c r="L445" i="6"/>
  <c r="M445" i="6" s="1"/>
  <c r="V444" i="6"/>
  <c r="L444" i="6"/>
  <c r="M444" i="6" s="1"/>
  <c r="V443" i="6"/>
  <c r="L443" i="6"/>
  <c r="M443" i="6" s="1"/>
  <c r="V442" i="6"/>
  <c r="L442" i="6"/>
  <c r="M442" i="6" s="1"/>
  <c r="V441" i="6"/>
  <c r="L441" i="6"/>
  <c r="M441" i="6" s="1"/>
  <c r="V440" i="6"/>
  <c r="L440" i="6"/>
  <c r="M440" i="6" s="1"/>
  <c r="V439" i="6"/>
  <c r="L439" i="6"/>
  <c r="M439" i="6" s="1"/>
  <c r="V438" i="6"/>
  <c r="L438" i="6"/>
  <c r="M438" i="6" s="1"/>
  <c r="V437" i="6"/>
  <c r="L437" i="6"/>
  <c r="M437" i="6" s="1"/>
  <c r="V436" i="6"/>
  <c r="L436" i="6"/>
  <c r="M436" i="6" s="1"/>
  <c r="V435" i="6"/>
  <c r="L435" i="6"/>
  <c r="M435" i="6" s="1"/>
  <c r="V434" i="6"/>
  <c r="L434" i="6"/>
  <c r="M434" i="6" s="1"/>
  <c r="V433" i="6"/>
  <c r="L433" i="6"/>
  <c r="M433" i="6" s="1"/>
  <c r="V432" i="6"/>
  <c r="L432" i="6"/>
  <c r="M432" i="6" s="1"/>
  <c r="V431" i="6"/>
  <c r="L431" i="6"/>
  <c r="M431" i="6" s="1"/>
  <c r="V430" i="6"/>
  <c r="L430" i="6"/>
  <c r="M430" i="6" s="1"/>
  <c r="V429" i="6"/>
  <c r="L429" i="6"/>
  <c r="M429" i="6" s="1"/>
  <c r="V428" i="6"/>
  <c r="L428" i="6"/>
  <c r="M428" i="6" s="1"/>
  <c r="V427" i="6"/>
  <c r="L427" i="6"/>
  <c r="M427" i="6" s="1"/>
  <c r="V426" i="6"/>
  <c r="L426" i="6"/>
  <c r="M426" i="6" s="1"/>
  <c r="V425" i="6"/>
  <c r="L425" i="6"/>
  <c r="M425" i="6" s="1"/>
  <c r="V424" i="6"/>
  <c r="L424" i="6"/>
  <c r="M424" i="6" s="1"/>
  <c r="V423" i="6"/>
  <c r="L423" i="6"/>
  <c r="M423" i="6" s="1"/>
  <c r="V422" i="6"/>
  <c r="L422" i="6"/>
  <c r="M422" i="6" s="1"/>
  <c r="V421" i="6"/>
  <c r="L421" i="6"/>
  <c r="M421" i="6" s="1"/>
  <c r="V420" i="6"/>
  <c r="L420" i="6"/>
  <c r="M420" i="6" s="1"/>
  <c r="V419" i="6"/>
  <c r="L419" i="6"/>
  <c r="M419" i="6" s="1"/>
  <c r="V418" i="6"/>
  <c r="L418" i="6"/>
  <c r="M418" i="6" s="1"/>
  <c r="V417" i="6"/>
  <c r="L417" i="6"/>
  <c r="M417" i="6" s="1"/>
  <c r="V416" i="6"/>
  <c r="L416" i="6"/>
  <c r="M416" i="6" s="1"/>
  <c r="V415" i="6"/>
  <c r="L415" i="6"/>
  <c r="M415" i="6" s="1"/>
  <c r="V414" i="6"/>
  <c r="L414" i="6"/>
  <c r="M414" i="6" s="1"/>
  <c r="V413" i="6"/>
  <c r="L413" i="6"/>
  <c r="M413" i="6" s="1"/>
  <c r="V412" i="6"/>
  <c r="L412" i="6"/>
  <c r="M412" i="6" s="1"/>
  <c r="V411" i="6"/>
  <c r="L411" i="6"/>
  <c r="M411" i="6" s="1"/>
  <c r="V410" i="6"/>
  <c r="L410" i="6"/>
  <c r="M410" i="6" s="1"/>
  <c r="V409" i="6"/>
  <c r="L409" i="6"/>
  <c r="M409" i="6" s="1"/>
  <c r="V408" i="6"/>
  <c r="L408" i="6"/>
  <c r="M408" i="6" s="1"/>
  <c r="V407" i="6"/>
  <c r="L407" i="6"/>
  <c r="M407" i="6" s="1"/>
  <c r="V406" i="6"/>
  <c r="L406" i="6"/>
  <c r="M406" i="6" s="1"/>
  <c r="V405" i="6"/>
  <c r="L405" i="6"/>
  <c r="M405" i="6" s="1"/>
  <c r="V404" i="6"/>
  <c r="L404" i="6"/>
  <c r="M404" i="6" s="1"/>
  <c r="V403" i="6"/>
  <c r="L403" i="6"/>
  <c r="M403" i="6" s="1"/>
  <c r="V402" i="6"/>
  <c r="L402" i="6"/>
  <c r="M402" i="6" s="1"/>
  <c r="V401" i="6"/>
  <c r="L401" i="6"/>
  <c r="M401" i="6" s="1"/>
  <c r="V400" i="6"/>
  <c r="L400" i="6"/>
  <c r="M400" i="6" s="1"/>
  <c r="V399" i="6"/>
  <c r="L399" i="6"/>
  <c r="M399" i="6" s="1"/>
  <c r="V398" i="6"/>
  <c r="L398" i="6"/>
  <c r="M398" i="6" s="1"/>
  <c r="V397" i="6"/>
  <c r="L397" i="6"/>
  <c r="M397" i="6" s="1"/>
  <c r="V396" i="6"/>
  <c r="L396" i="6"/>
  <c r="M396" i="6" s="1"/>
  <c r="V395" i="6"/>
  <c r="L395" i="6"/>
  <c r="M395" i="6" s="1"/>
  <c r="V394" i="6"/>
  <c r="L394" i="6"/>
  <c r="M394" i="6" s="1"/>
  <c r="V393" i="6"/>
  <c r="L393" i="6"/>
  <c r="M393" i="6" s="1"/>
  <c r="V392" i="6"/>
  <c r="L392" i="6"/>
  <c r="M392" i="6" s="1"/>
  <c r="V391" i="6"/>
  <c r="L391" i="6"/>
  <c r="M391" i="6" s="1"/>
  <c r="V390" i="6"/>
  <c r="L390" i="6"/>
  <c r="M390" i="6" s="1"/>
  <c r="V389" i="6"/>
  <c r="L389" i="6"/>
  <c r="M389" i="6" s="1"/>
  <c r="V388" i="6"/>
  <c r="L388" i="6"/>
  <c r="M388" i="6" s="1"/>
  <c r="V387" i="6"/>
  <c r="L387" i="6"/>
  <c r="M387" i="6" s="1"/>
  <c r="V386" i="6"/>
  <c r="L386" i="6"/>
  <c r="M386" i="6" s="1"/>
  <c r="V385" i="6"/>
  <c r="L385" i="6"/>
  <c r="M385" i="6" s="1"/>
  <c r="V384" i="6"/>
  <c r="L384" i="6"/>
  <c r="M384" i="6" s="1"/>
  <c r="V383" i="6"/>
  <c r="L383" i="6"/>
  <c r="M383" i="6" s="1"/>
  <c r="V382" i="6"/>
  <c r="L382" i="6"/>
  <c r="M382" i="6" s="1"/>
  <c r="V381" i="6"/>
  <c r="L381" i="6"/>
  <c r="M381" i="6" s="1"/>
  <c r="V380" i="6"/>
  <c r="L380" i="6"/>
  <c r="M380" i="6" s="1"/>
  <c r="V379" i="6"/>
  <c r="L379" i="6"/>
  <c r="M379" i="6" s="1"/>
  <c r="V378" i="6"/>
  <c r="L378" i="6"/>
  <c r="M378" i="6" s="1"/>
  <c r="V377" i="6"/>
  <c r="L377" i="6"/>
  <c r="M377" i="6" s="1"/>
  <c r="V376" i="6"/>
  <c r="L376" i="6"/>
  <c r="M376" i="6" s="1"/>
  <c r="V375" i="6"/>
  <c r="L375" i="6"/>
  <c r="M375" i="6" s="1"/>
  <c r="V374" i="6"/>
  <c r="L374" i="6"/>
  <c r="M374" i="6" s="1"/>
  <c r="V373" i="6"/>
  <c r="L373" i="6"/>
  <c r="M373" i="6" s="1"/>
  <c r="V372" i="6"/>
  <c r="L372" i="6"/>
  <c r="M372" i="6" s="1"/>
  <c r="V371" i="6"/>
  <c r="L371" i="6"/>
  <c r="M371" i="6" s="1"/>
  <c r="V370" i="6"/>
  <c r="L370" i="6"/>
  <c r="M370" i="6" s="1"/>
  <c r="V369" i="6"/>
  <c r="L369" i="6"/>
  <c r="M369" i="6" s="1"/>
  <c r="V368" i="6"/>
  <c r="L368" i="6"/>
  <c r="M368" i="6" s="1"/>
  <c r="V367" i="6"/>
  <c r="L367" i="6"/>
  <c r="M367" i="6" s="1"/>
  <c r="V366" i="6"/>
  <c r="L366" i="6"/>
  <c r="M366" i="6" s="1"/>
  <c r="V365" i="6"/>
  <c r="L365" i="6"/>
  <c r="M365" i="6" s="1"/>
  <c r="V364" i="6"/>
  <c r="L364" i="6"/>
  <c r="M364" i="6" s="1"/>
  <c r="V363" i="6"/>
  <c r="L363" i="6"/>
  <c r="M363" i="6" s="1"/>
  <c r="V362" i="6"/>
  <c r="L362" i="6"/>
  <c r="M362" i="6" s="1"/>
  <c r="V361" i="6"/>
  <c r="L361" i="6"/>
  <c r="M361" i="6" s="1"/>
  <c r="V360" i="6"/>
  <c r="L360" i="6"/>
  <c r="M360" i="6" s="1"/>
  <c r="V359" i="6"/>
  <c r="L359" i="6"/>
  <c r="M359" i="6" s="1"/>
  <c r="V358" i="6"/>
  <c r="L358" i="6"/>
  <c r="M358" i="6" s="1"/>
  <c r="V357" i="6"/>
  <c r="L357" i="6"/>
  <c r="M357" i="6" s="1"/>
  <c r="V356" i="6"/>
  <c r="L356" i="6"/>
  <c r="M356" i="6" s="1"/>
  <c r="V355" i="6"/>
  <c r="L355" i="6"/>
  <c r="M355" i="6" s="1"/>
  <c r="V354" i="6"/>
  <c r="L354" i="6"/>
  <c r="M354" i="6" s="1"/>
  <c r="V353" i="6"/>
  <c r="L353" i="6"/>
  <c r="M353" i="6" s="1"/>
  <c r="V352" i="6"/>
  <c r="L352" i="6"/>
  <c r="M352" i="6" s="1"/>
  <c r="V351" i="6"/>
  <c r="L351" i="6"/>
  <c r="M351" i="6" s="1"/>
  <c r="V350" i="6"/>
  <c r="L350" i="6"/>
  <c r="M350" i="6" s="1"/>
  <c r="V349" i="6"/>
  <c r="L349" i="6"/>
  <c r="M349" i="6" s="1"/>
  <c r="V348" i="6"/>
  <c r="L348" i="6"/>
  <c r="M348" i="6" s="1"/>
  <c r="V347" i="6"/>
  <c r="L347" i="6"/>
  <c r="M347" i="6" s="1"/>
  <c r="V346" i="6"/>
  <c r="L346" i="6"/>
  <c r="M346" i="6" s="1"/>
  <c r="V345" i="6"/>
  <c r="L345" i="6"/>
  <c r="M345" i="6" s="1"/>
  <c r="V344" i="6"/>
  <c r="L344" i="6"/>
  <c r="M344" i="6" s="1"/>
  <c r="V343" i="6"/>
  <c r="L343" i="6"/>
  <c r="M343" i="6" s="1"/>
  <c r="V342" i="6"/>
  <c r="L342" i="6"/>
  <c r="M342" i="6" s="1"/>
  <c r="V341" i="6"/>
  <c r="L341" i="6"/>
  <c r="M341" i="6" s="1"/>
  <c r="V340" i="6"/>
  <c r="L340" i="6"/>
  <c r="M340" i="6" s="1"/>
  <c r="V339" i="6"/>
  <c r="L339" i="6"/>
  <c r="M339" i="6" s="1"/>
  <c r="V338" i="6"/>
  <c r="L338" i="6"/>
  <c r="M338" i="6" s="1"/>
  <c r="V337" i="6"/>
  <c r="L337" i="6"/>
  <c r="M337" i="6" s="1"/>
  <c r="V336" i="6"/>
  <c r="L336" i="6"/>
  <c r="M336" i="6" s="1"/>
  <c r="V335" i="6"/>
  <c r="L335" i="6"/>
  <c r="M335" i="6" s="1"/>
  <c r="V334" i="6"/>
  <c r="L334" i="6"/>
  <c r="M334" i="6" s="1"/>
  <c r="V333" i="6"/>
  <c r="L333" i="6"/>
  <c r="M333" i="6" s="1"/>
  <c r="V332" i="6"/>
  <c r="L332" i="6"/>
  <c r="M332" i="6" s="1"/>
  <c r="V331" i="6"/>
  <c r="L331" i="6"/>
  <c r="M331" i="6" s="1"/>
  <c r="V330" i="6"/>
  <c r="L330" i="6"/>
  <c r="M330" i="6" s="1"/>
  <c r="V329" i="6"/>
  <c r="L329" i="6"/>
  <c r="M329" i="6" s="1"/>
  <c r="V328" i="6"/>
  <c r="L328" i="6"/>
  <c r="M328" i="6" s="1"/>
  <c r="V327" i="6"/>
  <c r="L327" i="6"/>
  <c r="M327" i="6" s="1"/>
  <c r="V326" i="6"/>
  <c r="L326" i="6"/>
  <c r="M326" i="6" s="1"/>
  <c r="V325" i="6"/>
  <c r="L325" i="6"/>
  <c r="M325" i="6" s="1"/>
  <c r="V324" i="6"/>
  <c r="L324" i="6"/>
  <c r="M324" i="6" s="1"/>
  <c r="V323" i="6"/>
  <c r="L323" i="6"/>
  <c r="M323" i="6" s="1"/>
  <c r="V322" i="6"/>
  <c r="L322" i="6"/>
  <c r="M322" i="6" s="1"/>
  <c r="V321" i="6"/>
  <c r="L321" i="6"/>
  <c r="M321" i="6" s="1"/>
  <c r="V320" i="6"/>
  <c r="L320" i="6"/>
  <c r="M320" i="6" s="1"/>
  <c r="V319" i="6"/>
  <c r="L319" i="6"/>
  <c r="M319" i="6" s="1"/>
  <c r="V318" i="6"/>
  <c r="L318" i="6"/>
  <c r="M318" i="6" s="1"/>
  <c r="V317" i="6"/>
  <c r="L317" i="6"/>
  <c r="M317" i="6" s="1"/>
  <c r="V316" i="6"/>
  <c r="L316" i="6"/>
  <c r="M316" i="6" s="1"/>
  <c r="V315" i="6"/>
  <c r="L315" i="6"/>
  <c r="M315" i="6" s="1"/>
  <c r="V314" i="6"/>
  <c r="L314" i="6"/>
  <c r="M314" i="6" s="1"/>
  <c r="V313" i="6"/>
  <c r="L313" i="6"/>
  <c r="M313" i="6" s="1"/>
  <c r="V312" i="6"/>
  <c r="L312" i="6"/>
  <c r="M312" i="6" s="1"/>
  <c r="V311" i="6"/>
  <c r="L311" i="6"/>
  <c r="M311" i="6" s="1"/>
  <c r="V310" i="6"/>
  <c r="L310" i="6"/>
  <c r="M310" i="6" s="1"/>
  <c r="V309" i="6"/>
  <c r="L309" i="6"/>
  <c r="M309" i="6" s="1"/>
  <c r="V308" i="6"/>
  <c r="L308" i="6"/>
  <c r="M308" i="6" s="1"/>
  <c r="V307" i="6"/>
  <c r="L307" i="6"/>
  <c r="M307" i="6" s="1"/>
  <c r="V306" i="6"/>
  <c r="L306" i="6"/>
  <c r="M306" i="6" s="1"/>
  <c r="V305" i="6"/>
  <c r="L305" i="6"/>
  <c r="M305" i="6" s="1"/>
  <c r="V304" i="6"/>
  <c r="L304" i="6"/>
  <c r="M304" i="6" s="1"/>
  <c r="V303" i="6"/>
  <c r="L303" i="6"/>
  <c r="M303" i="6" s="1"/>
  <c r="V302" i="6"/>
  <c r="L302" i="6"/>
  <c r="M302" i="6" s="1"/>
  <c r="V301" i="6"/>
  <c r="L301" i="6"/>
  <c r="M301" i="6" s="1"/>
  <c r="V300" i="6"/>
  <c r="L300" i="6"/>
  <c r="M300" i="6" s="1"/>
  <c r="V299" i="6"/>
  <c r="L299" i="6"/>
  <c r="M299" i="6" s="1"/>
  <c r="V298" i="6"/>
  <c r="L298" i="6"/>
  <c r="M298" i="6" s="1"/>
  <c r="V297" i="6"/>
  <c r="L297" i="6"/>
  <c r="M297" i="6" s="1"/>
  <c r="V296" i="6"/>
  <c r="L296" i="6"/>
  <c r="M296" i="6" s="1"/>
  <c r="V295" i="6"/>
  <c r="L295" i="6"/>
  <c r="M295" i="6" s="1"/>
  <c r="V294" i="6"/>
  <c r="L294" i="6"/>
  <c r="M294" i="6" s="1"/>
  <c r="V293" i="6"/>
  <c r="L293" i="6"/>
  <c r="M293" i="6" s="1"/>
  <c r="V292" i="6"/>
  <c r="L292" i="6"/>
  <c r="M292" i="6" s="1"/>
  <c r="V291" i="6"/>
  <c r="L291" i="6"/>
  <c r="M291" i="6" s="1"/>
  <c r="V290" i="6"/>
  <c r="L290" i="6"/>
  <c r="M290" i="6" s="1"/>
  <c r="V289" i="6"/>
  <c r="L289" i="6"/>
  <c r="M289" i="6" s="1"/>
  <c r="V288" i="6"/>
  <c r="L288" i="6"/>
  <c r="M288" i="6" s="1"/>
  <c r="V287" i="6"/>
  <c r="L287" i="6"/>
  <c r="M287" i="6" s="1"/>
  <c r="V286" i="6"/>
  <c r="L286" i="6"/>
  <c r="M286" i="6" s="1"/>
  <c r="V285" i="6"/>
  <c r="L285" i="6"/>
  <c r="M285" i="6" s="1"/>
  <c r="V284" i="6"/>
  <c r="L284" i="6"/>
  <c r="M284" i="6" s="1"/>
  <c r="V283" i="6"/>
  <c r="L283" i="6"/>
  <c r="M283" i="6" s="1"/>
  <c r="V282" i="6"/>
  <c r="L282" i="6"/>
  <c r="M282" i="6" s="1"/>
  <c r="V281" i="6"/>
  <c r="L281" i="6"/>
  <c r="M281" i="6" s="1"/>
  <c r="V280" i="6"/>
  <c r="L280" i="6"/>
  <c r="M280" i="6" s="1"/>
  <c r="V279" i="6"/>
  <c r="L279" i="6"/>
  <c r="M279" i="6" s="1"/>
  <c r="V278" i="6"/>
  <c r="L278" i="6"/>
  <c r="M278" i="6" s="1"/>
  <c r="V277" i="6"/>
  <c r="L277" i="6"/>
  <c r="M277" i="6" s="1"/>
  <c r="V276" i="6"/>
  <c r="L276" i="6"/>
  <c r="M276" i="6" s="1"/>
  <c r="V275" i="6"/>
  <c r="L275" i="6"/>
  <c r="M275" i="6" s="1"/>
  <c r="V274" i="6"/>
  <c r="L274" i="6"/>
  <c r="M274" i="6" s="1"/>
  <c r="V273" i="6"/>
  <c r="L273" i="6"/>
  <c r="M273" i="6" s="1"/>
  <c r="V272" i="6"/>
  <c r="L272" i="6"/>
  <c r="M272" i="6" s="1"/>
  <c r="V271" i="6"/>
  <c r="L271" i="6"/>
  <c r="M271" i="6" s="1"/>
  <c r="V270" i="6"/>
  <c r="L270" i="6"/>
  <c r="M270" i="6" s="1"/>
  <c r="V269" i="6"/>
  <c r="L269" i="6"/>
  <c r="M269" i="6" s="1"/>
  <c r="V268" i="6"/>
  <c r="L268" i="6"/>
  <c r="M268" i="6" s="1"/>
  <c r="V267" i="6"/>
  <c r="L267" i="6"/>
  <c r="M267" i="6" s="1"/>
  <c r="V266" i="6"/>
  <c r="L266" i="6"/>
  <c r="M266" i="6" s="1"/>
  <c r="V265" i="6"/>
  <c r="L265" i="6"/>
  <c r="M265" i="6" s="1"/>
  <c r="V264" i="6"/>
  <c r="L264" i="6"/>
  <c r="M264" i="6" s="1"/>
  <c r="V263" i="6"/>
  <c r="L263" i="6"/>
  <c r="M263" i="6" s="1"/>
  <c r="V262" i="6"/>
  <c r="L262" i="6"/>
  <c r="M262" i="6" s="1"/>
  <c r="V261" i="6"/>
  <c r="L261" i="6"/>
  <c r="M261" i="6" s="1"/>
  <c r="V260" i="6"/>
  <c r="L260" i="6"/>
  <c r="M260" i="6" s="1"/>
  <c r="V259" i="6"/>
  <c r="L259" i="6"/>
  <c r="M259" i="6" s="1"/>
  <c r="V258" i="6"/>
  <c r="L258" i="6"/>
  <c r="M258" i="6" s="1"/>
  <c r="V257" i="6"/>
  <c r="L257" i="6"/>
  <c r="M257" i="6" s="1"/>
  <c r="V256" i="6"/>
  <c r="L256" i="6"/>
  <c r="M256" i="6" s="1"/>
  <c r="V255" i="6"/>
  <c r="L255" i="6"/>
  <c r="M255" i="6" s="1"/>
  <c r="V254" i="6"/>
  <c r="L254" i="6"/>
  <c r="M254" i="6" s="1"/>
  <c r="V253" i="6"/>
  <c r="L253" i="6"/>
  <c r="M253" i="6" s="1"/>
  <c r="V252" i="6"/>
  <c r="L252" i="6"/>
  <c r="M252" i="6" s="1"/>
  <c r="V251" i="6"/>
  <c r="L251" i="6"/>
  <c r="M251" i="6" s="1"/>
  <c r="V250" i="6"/>
  <c r="L250" i="6"/>
  <c r="M250" i="6" s="1"/>
  <c r="V249" i="6"/>
  <c r="L249" i="6"/>
  <c r="M249" i="6" s="1"/>
  <c r="V248" i="6"/>
  <c r="L248" i="6"/>
  <c r="M248" i="6" s="1"/>
  <c r="V247" i="6"/>
  <c r="L247" i="6"/>
  <c r="M247" i="6" s="1"/>
  <c r="V246" i="6"/>
  <c r="L246" i="6"/>
  <c r="M246" i="6" s="1"/>
  <c r="V245" i="6"/>
  <c r="L245" i="6"/>
  <c r="M245" i="6" s="1"/>
  <c r="V244" i="6"/>
  <c r="L244" i="6"/>
  <c r="M244" i="6" s="1"/>
  <c r="V243" i="6"/>
  <c r="L243" i="6"/>
  <c r="M243" i="6" s="1"/>
  <c r="V242" i="6"/>
  <c r="L242" i="6"/>
  <c r="M242" i="6" s="1"/>
  <c r="V241" i="6"/>
  <c r="L241" i="6"/>
  <c r="M241" i="6" s="1"/>
  <c r="V240" i="6"/>
  <c r="L240" i="6"/>
  <c r="M240" i="6" s="1"/>
  <c r="V239" i="6"/>
  <c r="L239" i="6"/>
  <c r="M239" i="6" s="1"/>
  <c r="V238" i="6"/>
  <c r="L238" i="6"/>
  <c r="M238" i="6" s="1"/>
  <c r="V237" i="6"/>
  <c r="L237" i="6"/>
  <c r="M237" i="6" s="1"/>
  <c r="V236" i="6"/>
  <c r="L236" i="6"/>
  <c r="M236" i="6" s="1"/>
  <c r="V235" i="6"/>
  <c r="L235" i="6"/>
  <c r="M235" i="6" s="1"/>
  <c r="V234" i="6"/>
  <c r="L234" i="6"/>
  <c r="M234" i="6" s="1"/>
  <c r="V233" i="6"/>
  <c r="L233" i="6"/>
  <c r="M233" i="6" s="1"/>
  <c r="V232" i="6"/>
  <c r="L232" i="6"/>
  <c r="M232" i="6" s="1"/>
  <c r="V231" i="6"/>
  <c r="L231" i="6"/>
  <c r="M231" i="6" s="1"/>
  <c r="V230" i="6"/>
  <c r="L230" i="6"/>
  <c r="M230" i="6" s="1"/>
  <c r="V229" i="6"/>
  <c r="L229" i="6"/>
  <c r="M229" i="6" s="1"/>
  <c r="V228" i="6"/>
  <c r="L228" i="6"/>
  <c r="M228" i="6" s="1"/>
  <c r="V227" i="6"/>
  <c r="L227" i="6"/>
  <c r="M227" i="6" s="1"/>
  <c r="V226" i="6"/>
  <c r="L226" i="6"/>
  <c r="M226" i="6" s="1"/>
  <c r="V225" i="6"/>
  <c r="L225" i="6"/>
  <c r="M225" i="6" s="1"/>
  <c r="V224" i="6"/>
  <c r="L224" i="6"/>
  <c r="M224" i="6" s="1"/>
  <c r="V223" i="6"/>
  <c r="L223" i="6"/>
  <c r="M223" i="6" s="1"/>
  <c r="V222" i="6"/>
  <c r="L222" i="6"/>
  <c r="M222" i="6" s="1"/>
  <c r="V221" i="6"/>
  <c r="L221" i="6"/>
  <c r="M221" i="6" s="1"/>
  <c r="V220" i="6"/>
  <c r="L220" i="6"/>
  <c r="M220" i="6" s="1"/>
  <c r="V219" i="6"/>
  <c r="L219" i="6"/>
  <c r="M219" i="6" s="1"/>
  <c r="V218" i="6"/>
  <c r="L218" i="6"/>
  <c r="M218" i="6" s="1"/>
  <c r="V217" i="6"/>
  <c r="L217" i="6"/>
  <c r="M217" i="6" s="1"/>
  <c r="V216" i="6"/>
  <c r="L216" i="6"/>
  <c r="M216" i="6" s="1"/>
  <c r="V215" i="6"/>
  <c r="L215" i="6"/>
  <c r="M215" i="6" s="1"/>
  <c r="V214" i="6"/>
  <c r="L214" i="6"/>
  <c r="M214" i="6" s="1"/>
  <c r="V213" i="6"/>
  <c r="L213" i="6"/>
  <c r="M213" i="6" s="1"/>
  <c r="V212" i="6"/>
  <c r="L212" i="6"/>
  <c r="M212" i="6" s="1"/>
  <c r="V211" i="6"/>
  <c r="L211" i="6"/>
  <c r="M211" i="6" s="1"/>
  <c r="V210" i="6"/>
  <c r="L210" i="6"/>
  <c r="M210" i="6" s="1"/>
  <c r="V209" i="6"/>
  <c r="L209" i="6"/>
  <c r="M209" i="6" s="1"/>
  <c r="V208" i="6"/>
  <c r="L208" i="6"/>
  <c r="M208" i="6" s="1"/>
  <c r="V207" i="6"/>
  <c r="L207" i="6"/>
  <c r="M207" i="6" s="1"/>
  <c r="V206" i="6"/>
  <c r="L206" i="6"/>
  <c r="M206" i="6" s="1"/>
  <c r="V205" i="6"/>
  <c r="L205" i="6"/>
  <c r="M205" i="6" s="1"/>
  <c r="V204" i="6"/>
  <c r="L204" i="6"/>
  <c r="M204" i="6" s="1"/>
  <c r="V203" i="6"/>
  <c r="L203" i="6"/>
  <c r="M203" i="6" s="1"/>
  <c r="V202" i="6"/>
  <c r="L202" i="6"/>
  <c r="M202" i="6" s="1"/>
  <c r="V201" i="6"/>
  <c r="L201" i="6"/>
  <c r="M201" i="6" s="1"/>
  <c r="V200" i="6"/>
  <c r="L200" i="6"/>
  <c r="M200" i="6" s="1"/>
  <c r="V199" i="6"/>
  <c r="L199" i="6"/>
  <c r="M199" i="6" s="1"/>
  <c r="V198" i="6"/>
  <c r="L198" i="6"/>
  <c r="M198" i="6" s="1"/>
  <c r="V197" i="6"/>
  <c r="L197" i="6"/>
  <c r="M197" i="6" s="1"/>
  <c r="V196" i="6"/>
  <c r="L196" i="6"/>
  <c r="M196" i="6" s="1"/>
  <c r="V195" i="6"/>
  <c r="L195" i="6"/>
  <c r="M195" i="6" s="1"/>
  <c r="V194" i="6"/>
  <c r="L194" i="6"/>
  <c r="M194" i="6" s="1"/>
  <c r="V193" i="6"/>
  <c r="L193" i="6"/>
  <c r="M193" i="6" s="1"/>
  <c r="V192" i="6"/>
  <c r="L192" i="6"/>
  <c r="M192" i="6" s="1"/>
  <c r="V191" i="6"/>
  <c r="L191" i="6"/>
  <c r="M191" i="6" s="1"/>
  <c r="V190" i="6"/>
  <c r="L190" i="6"/>
  <c r="M190" i="6" s="1"/>
  <c r="V189" i="6"/>
  <c r="L189" i="6"/>
  <c r="M189" i="6" s="1"/>
  <c r="V188" i="6"/>
  <c r="L188" i="6"/>
  <c r="M188" i="6" s="1"/>
  <c r="V187" i="6"/>
  <c r="L187" i="6"/>
  <c r="M187" i="6" s="1"/>
  <c r="V186" i="6"/>
  <c r="L186" i="6"/>
  <c r="M186" i="6" s="1"/>
  <c r="V185" i="6"/>
  <c r="L185" i="6"/>
  <c r="M185" i="6" s="1"/>
  <c r="V184" i="6"/>
  <c r="L184" i="6"/>
  <c r="M184" i="6" s="1"/>
  <c r="V183" i="6"/>
  <c r="L183" i="6"/>
  <c r="M183" i="6" s="1"/>
  <c r="V182" i="6"/>
  <c r="L182" i="6"/>
  <c r="M182" i="6" s="1"/>
  <c r="V181" i="6"/>
  <c r="L181" i="6"/>
  <c r="M181" i="6" s="1"/>
  <c r="V180" i="6"/>
  <c r="L180" i="6"/>
  <c r="M180" i="6" s="1"/>
  <c r="V179" i="6"/>
  <c r="L179" i="6"/>
  <c r="M179" i="6" s="1"/>
  <c r="V178" i="6"/>
  <c r="L178" i="6"/>
  <c r="M178" i="6" s="1"/>
  <c r="V177" i="6"/>
  <c r="L177" i="6"/>
  <c r="M177" i="6" s="1"/>
  <c r="V176" i="6"/>
  <c r="L176" i="6"/>
  <c r="M176" i="6" s="1"/>
  <c r="V175" i="6"/>
  <c r="L175" i="6"/>
  <c r="M175" i="6" s="1"/>
  <c r="V174" i="6"/>
  <c r="L174" i="6"/>
  <c r="M174" i="6" s="1"/>
  <c r="V173" i="6"/>
  <c r="L173" i="6"/>
  <c r="M173" i="6" s="1"/>
  <c r="V172" i="6"/>
  <c r="L172" i="6"/>
  <c r="M172" i="6" s="1"/>
  <c r="V171" i="6"/>
  <c r="L171" i="6"/>
  <c r="M171" i="6" s="1"/>
  <c r="V170" i="6"/>
  <c r="L170" i="6"/>
  <c r="M170" i="6" s="1"/>
  <c r="V169" i="6"/>
  <c r="L169" i="6"/>
  <c r="M169" i="6" s="1"/>
  <c r="V168" i="6"/>
  <c r="L168" i="6"/>
  <c r="M168" i="6" s="1"/>
  <c r="V167" i="6"/>
  <c r="L167" i="6"/>
  <c r="M167" i="6" s="1"/>
  <c r="V166" i="6"/>
  <c r="L166" i="6"/>
  <c r="M166" i="6" s="1"/>
  <c r="V165" i="6"/>
  <c r="L165" i="6"/>
  <c r="M165" i="6" s="1"/>
  <c r="V164" i="6"/>
  <c r="L164" i="6"/>
  <c r="M164" i="6" s="1"/>
  <c r="V163" i="6"/>
  <c r="L163" i="6"/>
  <c r="M163" i="6" s="1"/>
  <c r="V162" i="6"/>
  <c r="L162" i="6"/>
  <c r="M162" i="6" s="1"/>
  <c r="V161" i="6"/>
  <c r="L161" i="6"/>
  <c r="M161" i="6" s="1"/>
  <c r="V160" i="6"/>
  <c r="L160" i="6"/>
  <c r="M160" i="6" s="1"/>
  <c r="V159" i="6"/>
  <c r="L159" i="6"/>
  <c r="M159" i="6" s="1"/>
  <c r="V158" i="6"/>
  <c r="L158" i="6"/>
  <c r="M158" i="6" s="1"/>
  <c r="V157" i="6"/>
  <c r="L157" i="6"/>
  <c r="M157" i="6" s="1"/>
  <c r="V156" i="6"/>
  <c r="L156" i="6"/>
  <c r="M156" i="6" s="1"/>
  <c r="V155" i="6"/>
  <c r="L155" i="6"/>
  <c r="M155" i="6" s="1"/>
  <c r="V154" i="6"/>
  <c r="L154" i="6"/>
  <c r="M154" i="6" s="1"/>
  <c r="V153" i="6"/>
  <c r="L153" i="6"/>
  <c r="M153" i="6" s="1"/>
  <c r="V152" i="6"/>
  <c r="L152" i="6"/>
  <c r="M152" i="6" s="1"/>
  <c r="V151" i="6"/>
  <c r="L151" i="6"/>
  <c r="M151" i="6" s="1"/>
  <c r="V150" i="6"/>
  <c r="L150" i="6"/>
  <c r="M150" i="6" s="1"/>
  <c r="V149" i="6"/>
  <c r="L149" i="6"/>
  <c r="M149" i="6" s="1"/>
  <c r="V148" i="6"/>
  <c r="L148" i="6"/>
  <c r="M148" i="6" s="1"/>
  <c r="V147" i="6"/>
  <c r="L147" i="6"/>
  <c r="M147" i="6" s="1"/>
  <c r="V146" i="6"/>
  <c r="L146" i="6"/>
  <c r="M146" i="6" s="1"/>
  <c r="V145" i="6"/>
  <c r="L145" i="6"/>
  <c r="M145" i="6" s="1"/>
  <c r="V144" i="6"/>
  <c r="L144" i="6"/>
  <c r="M144" i="6" s="1"/>
  <c r="V143" i="6"/>
  <c r="L143" i="6"/>
  <c r="M143" i="6" s="1"/>
  <c r="V142" i="6"/>
  <c r="L142" i="6"/>
  <c r="M142" i="6" s="1"/>
  <c r="V141" i="6"/>
  <c r="L141" i="6"/>
  <c r="M141" i="6" s="1"/>
  <c r="V140" i="6"/>
  <c r="L140" i="6"/>
  <c r="M140" i="6" s="1"/>
  <c r="V139" i="6"/>
  <c r="L139" i="6"/>
  <c r="M139" i="6" s="1"/>
  <c r="V138" i="6"/>
  <c r="L138" i="6"/>
  <c r="M138" i="6" s="1"/>
  <c r="V137" i="6"/>
  <c r="L137" i="6"/>
  <c r="M137" i="6" s="1"/>
  <c r="V136" i="6"/>
  <c r="L136" i="6"/>
  <c r="M136" i="6" s="1"/>
  <c r="V135" i="6"/>
  <c r="L135" i="6"/>
  <c r="M135" i="6" s="1"/>
  <c r="V134" i="6"/>
  <c r="L134" i="6"/>
  <c r="M134" i="6" s="1"/>
  <c r="V133" i="6"/>
  <c r="L133" i="6"/>
  <c r="M133" i="6" s="1"/>
  <c r="V132" i="6"/>
  <c r="L132" i="6"/>
  <c r="M132" i="6" s="1"/>
  <c r="V131" i="6"/>
  <c r="L131" i="6"/>
  <c r="M131" i="6" s="1"/>
  <c r="V130" i="6"/>
  <c r="L130" i="6"/>
  <c r="M130" i="6" s="1"/>
  <c r="V129" i="6"/>
  <c r="L129" i="6"/>
  <c r="M129" i="6" s="1"/>
  <c r="V128" i="6"/>
  <c r="L128" i="6"/>
  <c r="M128" i="6" s="1"/>
  <c r="V127" i="6"/>
  <c r="L127" i="6"/>
  <c r="M127" i="6" s="1"/>
  <c r="V126" i="6"/>
  <c r="L126" i="6"/>
  <c r="M126" i="6" s="1"/>
  <c r="V125" i="6"/>
  <c r="L125" i="6"/>
  <c r="M125" i="6" s="1"/>
  <c r="V124" i="6"/>
  <c r="L124" i="6"/>
  <c r="M124" i="6" s="1"/>
  <c r="V123" i="6"/>
  <c r="L123" i="6"/>
  <c r="M123" i="6" s="1"/>
  <c r="V122" i="6"/>
  <c r="L122" i="6"/>
  <c r="M122" i="6" s="1"/>
  <c r="V121" i="6"/>
  <c r="L121" i="6"/>
  <c r="M121" i="6" s="1"/>
  <c r="V120" i="6"/>
  <c r="L120" i="6"/>
  <c r="M120" i="6" s="1"/>
  <c r="V119" i="6"/>
  <c r="L119" i="6"/>
  <c r="M119" i="6" s="1"/>
  <c r="V118" i="6"/>
  <c r="L118" i="6"/>
  <c r="M118" i="6" s="1"/>
  <c r="V117" i="6"/>
  <c r="L117" i="6"/>
  <c r="M117" i="6" s="1"/>
  <c r="V116" i="6"/>
  <c r="L116" i="6"/>
  <c r="M116" i="6" s="1"/>
  <c r="V115" i="6"/>
  <c r="L115" i="6"/>
  <c r="M115" i="6" s="1"/>
  <c r="V114" i="6"/>
  <c r="L114" i="6"/>
  <c r="M114" i="6" s="1"/>
  <c r="V113" i="6"/>
  <c r="L113" i="6"/>
  <c r="M113" i="6" s="1"/>
  <c r="V112" i="6"/>
  <c r="L112" i="6"/>
  <c r="M112" i="6" s="1"/>
  <c r="V111" i="6"/>
  <c r="L111" i="6"/>
  <c r="M111" i="6" s="1"/>
  <c r="V110" i="6"/>
  <c r="L110" i="6"/>
  <c r="M110" i="6" s="1"/>
  <c r="V109" i="6"/>
  <c r="L109" i="6"/>
  <c r="M109" i="6" s="1"/>
  <c r="V108" i="6"/>
  <c r="L108" i="6"/>
  <c r="M108" i="6" s="1"/>
  <c r="V107" i="6"/>
  <c r="L107" i="6"/>
  <c r="M107" i="6" s="1"/>
  <c r="V106" i="6"/>
  <c r="L106" i="6"/>
  <c r="M106" i="6" s="1"/>
  <c r="V105" i="6"/>
  <c r="L105" i="6"/>
  <c r="M105" i="6" s="1"/>
  <c r="V104" i="6"/>
  <c r="L104" i="6"/>
  <c r="M104" i="6" s="1"/>
  <c r="V103" i="6"/>
  <c r="L103" i="6"/>
  <c r="M103" i="6" s="1"/>
  <c r="V102" i="6"/>
  <c r="L102" i="6"/>
  <c r="M102" i="6" s="1"/>
  <c r="V101" i="6"/>
  <c r="L101" i="6"/>
  <c r="M101" i="6" s="1"/>
  <c r="V100" i="6"/>
  <c r="L100" i="6"/>
  <c r="M100" i="6" s="1"/>
  <c r="V99" i="6"/>
  <c r="L99" i="6"/>
  <c r="M99" i="6" s="1"/>
  <c r="V98" i="6"/>
  <c r="L98" i="6"/>
  <c r="M98" i="6" s="1"/>
  <c r="V97" i="6"/>
  <c r="L97" i="6"/>
  <c r="M97" i="6" s="1"/>
  <c r="V96" i="6"/>
  <c r="L96" i="6"/>
  <c r="M96" i="6" s="1"/>
  <c r="V95" i="6"/>
  <c r="L95" i="6"/>
  <c r="M95" i="6" s="1"/>
  <c r="V94" i="6"/>
  <c r="L94" i="6"/>
  <c r="M94" i="6" s="1"/>
  <c r="V93" i="6"/>
  <c r="L93" i="6"/>
  <c r="M93" i="6" s="1"/>
  <c r="V92" i="6"/>
  <c r="L92" i="6"/>
  <c r="M92" i="6" s="1"/>
  <c r="V91" i="6"/>
  <c r="L91" i="6"/>
  <c r="M91" i="6" s="1"/>
  <c r="V90" i="6"/>
  <c r="L90" i="6"/>
  <c r="M90" i="6" s="1"/>
  <c r="V89" i="6"/>
  <c r="L89" i="6"/>
  <c r="M89" i="6" s="1"/>
  <c r="V88" i="6"/>
  <c r="L88" i="6"/>
  <c r="M88" i="6" s="1"/>
  <c r="V87" i="6"/>
  <c r="L87" i="6"/>
  <c r="M87" i="6" s="1"/>
  <c r="V86" i="6"/>
  <c r="L86" i="6"/>
  <c r="M86" i="6" s="1"/>
  <c r="V85" i="6"/>
  <c r="L85" i="6"/>
  <c r="M85" i="6" s="1"/>
  <c r="V84" i="6"/>
  <c r="L84" i="6"/>
  <c r="M84" i="6" s="1"/>
  <c r="V83" i="6"/>
  <c r="L83" i="6"/>
  <c r="M83" i="6" s="1"/>
  <c r="V82" i="6"/>
  <c r="L82" i="6"/>
  <c r="M82" i="6" s="1"/>
  <c r="V81" i="6"/>
  <c r="L81" i="6"/>
  <c r="M81" i="6" s="1"/>
  <c r="V80" i="6"/>
  <c r="L80" i="6"/>
  <c r="M80" i="6" s="1"/>
  <c r="V79" i="6"/>
  <c r="L79" i="6"/>
  <c r="M79" i="6" s="1"/>
  <c r="V78" i="6"/>
  <c r="L78" i="6"/>
  <c r="M78" i="6" s="1"/>
  <c r="V77" i="6"/>
  <c r="L77" i="6"/>
  <c r="M77" i="6" s="1"/>
  <c r="V76" i="6"/>
  <c r="L76" i="6"/>
  <c r="M76" i="6" s="1"/>
  <c r="V75" i="6"/>
  <c r="L75" i="6"/>
  <c r="M75" i="6" s="1"/>
  <c r="V74" i="6"/>
  <c r="L74" i="6"/>
  <c r="M74" i="6" s="1"/>
  <c r="V73" i="6"/>
  <c r="L73" i="6"/>
  <c r="M73" i="6" s="1"/>
  <c r="V72" i="6"/>
  <c r="L72" i="6"/>
  <c r="M72" i="6" s="1"/>
  <c r="V71" i="6"/>
  <c r="L71" i="6"/>
  <c r="M71" i="6" s="1"/>
  <c r="V70" i="6"/>
  <c r="L70" i="6"/>
  <c r="M70" i="6" s="1"/>
  <c r="V69" i="6"/>
  <c r="L69" i="6"/>
  <c r="M69" i="6" s="1"/>
  <c r="V68" i="6"/>
  <c r="L68" i="6"/>
  <c r="M68" i="6" s="1"/>
  <c r="V67" i="6"/>
  <c r="L67" i="6"/>
  <c r="M67" i="6" s="1"/>
  <c r="V66" i="6"/>
  <c r="L66" i="6"/>
  <c r="M66" i="6" s="1"/>
  <c r="V65" i="6"/>
  <c r="L65" i="6"/>
  <c r="M65" i="6" s="1"/>
  <c r="V64" i="6"/>
  <c r="L64" i="6"/>
  <c r="M64" i="6" s="1"/>
  <c r="V63" i="6"/>
  <c r="L63" i="6"/>
  <c r="M63" i="6" s="1"/>
  <c r="V62" i="6"/>
  <c r="L62" i="6"/>
  <c r="M62" i="6" s="1"/>
  <c r="V61" i="6"/>
  <c r="L61" i="6"/>
  <c r="M61" i="6" s="1"/>
  <c r="V60" i="6"/>
  <c r="L60" i="6"/>
  <c r="M60" i="6" s="1"/>
  <c r="V59" i="6"/>
  <c r="L59" i="6"/>
  <c r="M59" i="6" s="1"/>
  <c r="V58" i="6"/>
  <c r="L58" i="6"/>
  <c r="M58" i="6" s="1"/>
  <c r="V57" i="6"/>
  <c r="L57" i="6"/>
  <c r="M57" i="6" s="1"/>
  <c r="V56" i="6"/>
  <c r="L56" i="6"/>
  <c r="M56" i="6" s="1"/>
  <c r="V55" i="6"/>
  <c r="L55" i="6"/>
  <c r="M55" i="6" s="1"/>
  <c r="V54" i="6"/>
  <c r="L54" i="6"/>
  <c r="M54" i="6" s="1"/>
  <c r="V53" i="6"/>
  <c r="L53" i="6"/>
  <c r="M53" i="6" s="1"/>
  <c r="V52" i="6"/>
  <c r="L52" i="6"/>
  <c r="M52" i="6" s="1"/>
  <c r="V51" i="6"/>
  <c r="L51" i="6"/>
  <c r="M51" i="6" s="1"/>
  <c r="V50" i="6"/>
  <c r="L50" i="6"/>
  <c r="M50" i="6" s="1"/>
  <c r="V49" i="6"/>
  <c r="L49" i="6"/>
  <c r="M49" i="6" s="1"/>
  <c r="V48" i="6"/>
  <c r="L48" i="6"/>
  <c r="M48" i="6" s="1"/>
  <c r="V47" i="6"/>
  <c r="L47" i="6"/>
  <c r="M47" i="6" s="1"/>
  <c r="V46" i="6"/>
  <c r="L46" i="6"/>
  <c r="M46" i="6" s="1"/>
  <c r="V45" i="6"/>
  <c r="L45" i="6"/>
  <c r="M45" i="6" s="1"/>
  <c r="V44" i="6"/>
  <c r="L44" i="6"/>
  <c r="M44" i="6" s="1"/>
  <c r="V43" i="6"/>
  <c r="L43" i="6"/>
  <c r="M43" i="6" s="1"/>
  <c r="V42" i="6"/>
  <c r="L42" i="6"/>
  <c r="M42" i="6" s="1"/>
  <c r="V41" i="6"/>
  <c r="L41" i="6"/>
  <c r="M41" i="6" s="1"/>
  <c r="V40" i="6"/>
  <c r="L40" i="6"/>
  <c r="M40" i="6" s="1"/>
  <c r="V39" i="6"/>
  <c r="L39" i="6"/>
  <c r="M39" i="6" s="1"/>
  <c r="V38" i="6"/>
  <c r="L38" i="6"/>
  <c r="M38" i="6" s="1"/>
  <c r="V37" i="6"/>
  <c r="L37" i="6"/>
  <c r="M37" i="6" s="1"/>
  <c r="V36" i="6"/>
  <c r="L36" i="6"/>
  <c r="M36" i="6" s="1"/>
  <c r="V35" i="6"/>
  <c r="L35" i="6"/>
  <c r="M35" i="6" s="1"/>
  <c r="V34" i="6"/>
  <c r="L34" i="6"/>
  <c r="M34" i="6" s="1"/>
  <c r="V33" i="6"/>
  <c r="L33" i="6"/>
  <c r="M33" i="6" s="1"/>
  <c r="V32" i="6"/>
  <c r="L32" i="6"/>
  <c r="M32" i="6" s="1"/>
  <c r="V31" i="6"/>
  <c r="L31" i="6"/>
  <c r="M31" i="6" s="1"/>
  <c r="V30" i="6"/>
  <c r="L30" i="6"/>
  <c r="M30" i="6" s="1"/>
  <c r="V29" i="6"/>
  <c r="L29" i="6"/>
  <c r="M29" i="6" s="1"/>
  <c r="V28" i="6"/>
  <c r="L28" i="6"/>
  <c r="M28" i="6" s="1"/>
  <c r="V27" i="6"/>
  <c r="L27" i="6"/>
  <c r="M27" i="6" s="1"/>
  <c r="V26" i="6"/>
  <c r="L26" i="6"/>
  <c r="M26" i="6" s="1"/>
  <c r="V25" i="6"/>
  <c r="L25" i="6"/>
  <c r="M25" i="6" s="1"/>
  <c r="V24" i="6"/>
  <c r="L24" i="6"/>
  <c r="M24" i="6" s="1"/>
  <c r="V23" i="6"/>
  <c r="L23" i="6"/>
  <c r="M23" i="6" s="1"/>
  <c r="V22" i="6"/>
  <c r="L22" i="6"/>
  <c r="M22" i="6" s="1"/>
  <c r="V21" i="6"/>
  <c r="L21" i="6"/>
  <c r="M21" i="6" s="1"/>
  <c r="V20" i="6"/>
  <c r="L20" i="6"/>
  <c r="M20" i="6" s="1"/>
  <c r="V19" i="6"/>
  <c r="L19" i="6"/>
  <c r="M19" i="6" s="1"/>
  <c r="V18" i="6"/>
  <c r="L18" i="6"/>
  <c r="M18" i="6" s="1"/>
  <c r="V17" i="6"/>
  <c r="L17" i="6"/>
  <c r="M17" i="6" s="1"/>
  <c r="V16" i="6"/>
  <c r="L16" i="6"/>
  <c r="M16" i="6" s="1"/>
  <c r="V15" i="6"/>
  <c r="L15" i="6"/>
  <c r="M15" i="6" s="1"/>
  <c r="V14" i="6"/>
  <c r="L14" i="6"/>
  <c r="M14" i="6" s="1"/>
  <c r="V13" i="6"/>
  <c r="L13" i="6"/>
  <c r="M13" i="6" s="1"/>
  <c r="V12" i="6"/>
  <c r="L12" i="6"/>
  <c r="M12" i="6" s="1"/>
  <c r="V11" i="6"/>
  <c r="L11" i="6"/>
  <c r="M11" i="6" s="1"/>
  <c r="V10" i="6"/>
  <c r="L10" i="6"/>
  <c r="M10" i="6" s="1"/>
  <c r="V9" i="6"/>
  <c r="L9" i="6"/>
  <c r="M9" i="6" s="1"/>
  <c r="V8" i="6"/>
  <c r="L8" i="6"/>
  <c r="M8" i="6" s="1"/>
  <c r="V7" i="6"/>
  <c r="L7" i="6"/>
  <c r="M7" i="6" s="1"/>
  <c r="V6" i="6"/>
  <c r="L6" i="6"/>
  <c r="M6" i="6" s="1"/>
  <c r="V5" i="6"/>
  <c r="L5" i="6"/>
  <c r="M5" i="6" s="1"/>
  <c r="V4" i="6"/>
  <c r="L4" i="6"/>
  <c r="M4" i="6" s="1"/>
  <c r="C623" i="5"/>
  <c r="A623" i="5"/>
  <c r="C622" i="5"/>
  <c r="A622" i="5"/>
  <c r="A622" i="6" s="1"/>
  <c r="C621" i="5"/>
  <c r="E621" i="5" s="1"/>
  <c r="E621" i="6" s="1"/>
  <c r="A621" i="5"/>
  <c r="A621" i="6" s="1"/>
  <c r="C620" i="5"/>
  <c r="E620" i="5" s="1"/>
  <c r="E620" i="6" s="1"/>
  <c r="A620" i="5"/>
  <c r="B620" i="5" s="1"/>
  <c r="B620" i="6" s="1"/>
  <c r="C619" i="5"/>
  <c r="E619" i="5" s="1"/>
  <c r="E619" i="6" s="1"/>
  <c r="A619" i="5"/>
  <c r="A619" i="6" s="1"/>
  <c r="C618" i="5"/>
  <c r="C618" i="6" s="1"/>
  <c r="P618" i="6" s="1"/>
  <c r="A618" i="5"/>
  <c r="A618" i="6" s="1"/>
  <c r="C617" i="5"/>
  <c r="E617" i="5" s="1"/>
  <c r="E617" i="6" s="1"/>
  <c r="A617" i="5"/>
  <c r="C616" i="5"/>
  <c r="C616" i="6" s="1"/>
  <c r="P616" i="6" s="1"/>
  <c r="A616" i="5"/>
  <c r="C615" i="5"/>
  <c r="C615" i="6" s="1"/>
  <c r="P615" i="6" s="1"/>
  <c r="A615" i="5"/>
  <c r="C614" i="5"/>
  <c r="C614" i="6" s="1"/>
  <c r="P614" i="6" s="1"/>
  <c r="A614" i="5"/>
  <c r="A614" i="6" s="1"/>
  <c r="C613" i="5"/>
  <c r="C613" i="6" s="1"/>
  <c r="P613" i="6" s="1"/>
  <c r="A613" i="5"/>
  <c r="A613" i="6" s="1"/>
  <c r="C612" i="5"/>
  <c r="A612" i="5"/>
  <c r="A612" i="6" s="1"/>
  <c r="C611" i="5"/>
  <c r="C611" i="6" s="1"/>
  <c r="P611" i="6" s="1"/>
  <c r="A611" i="5"/>
  <c r="C610" i="5"/>
  <c r="C610" i="6" s="1"/>
  <c r="P610" i="6" s="1"/>
  <c r="A610" i="5"/>
  <c r="A610" i="6" s="1"/>
  <c r="C609" i="5"/>
  <c r="A609" i="5"/>
  <c r="A609" i="6" s="1"/>
  <c r="C608" i="5"/>
  <c r="C608" i="6" s="1"/>
  <c r="P608" i="6" s="1"/>
  <c r="A608" i="5"/>
  <c r="C607" i="5"/>
  <c r="C607" i="6" s="1"/>
  <c r="P607" i="6" s="1"/>
  <c r="A607" i="5"/>
  <c r="M607" i="5" s="1"/>
  <c r="C606" i="5"/>
  <c r="C606" i="6" s="1"/>
  <c r="P606" i="6" s="1"/>
  <c r="A606" i="5"/>
  <c r="C605" i="5"/>
  <c r="A605" i="5"/>
  <c r="C604" i="5"/>
  <c r="C604" i="6" s="1"/>
  <c r="P604" i="6" s="1"/>
  <c r="A604" i="5"/>
  <c r="A604" i="6" s="1"/>
  <c r="C603" i="5"/>
  <c r="A603" i="5"/>
  <c r="C602" i="5"/>
  <c r="C602" i="6" s="1"/>
  <c r="P602" i="6" s="1"/>
  <c r="A602" i="5"/>
  <c r="A602" i="6" s="1"/>
  <c r="C601" i="5"/>
  <c r="A601" i="5"/>
  <c r="A601" i="6" s="1"/>
  <c r="C600" i="5"/>
  <c r="A600" i="5"/>
  <c r="A600" i="6" s="1"/>
  <c r="C599" i="5"/>
  <c r="D599" i="5" s="1"/>
  <c r="D599" i="6" s="1"/>
  <c r="A599" i="5"/>
  <c r="C598" i="5"/>
  <c r="A598" i="5"/>
  <c r="C597" i="5"/>
  <c r="A597" i="5"/>
  <c r="C596" i="5"/>
  <c r="C596" i="6" s="1"/>
  <c r="P596" i="6" s="1"/>
  <c r="A596" i="5"/>
  <c r="A596" i="6" s="1"/>
  <c r="C595" i="5"/>
  <c r="A595" i="5"/>
  <c r="A595" i="6" s="1"/>
  <c r="C594" i="5"/>
  <c r="C594" i="6" s="1"/>
  <c r="P594" i="6" s="1"/>
  <c r="A594" i="5"/>
  <c r="C593" i="5"/>
  <c r="C593" i="6" s="1"/>
  <c r="P593" i="6" s="1"/>
  <c r="A593" i="5"/>
  <c r="C592" i="5"/>
  <c r="C592" i="6" s="1"/>
  <c r="P592" i="6" s="1"/>
  <c r="A592" i="5"/>
  <c r="A592" i="6" s="1"/>
  <c r="C591" i="5"/>
  <c r="E591" i="5" s="1"/>
  <c r="E591" i="6" s="1"/>
  <c r="A591" i="5"/>
  <c r="A591" i="6" s="1"/>
  <c r="C590" i="5"/>
  <c r="C590" i="6" s="1"/>
  <c r="P590" i="6" s="1"/>
  <c r="A590" i="5"/>
  <c r="C589" i="5"/>
  <c r="A589" i="5"/>
  <c r="M589" i="5" s="1"/>
  <c r="J589" i="6" s="1"/>
  <c r="C588" i="5"/>
  <c r="C588" i="6" s="1"/>
  <c r="P588" i="6" s="1"/>
  <c r="A588" i="5"/>
  <c r="F588" i="5" s="1"/>
  <c r="C587" i="5"/>
  <c r="A587" i="5"/>
  <c r="C586" i="5"/>
  <c r="A586" i="5"/>
  <c r="A586" i="6" s="1"/>
  <c r="C585" i="5"/>
  <c r="C585" i="6" s="1"/>
  <c r="P585" i="6" s="1"/>
  <c r="A585" i="5"/>
  <c r="A585" i="6" s="1"/>
  <c r="C584" i="5"/>
  <c r="A584" i="5"/>
  <c r="C583" i="5"/>
  <c r="G583" i="5" s="1"/>
  <c r="J583" i="5" s="1"/>
  <c r="G583" i="6" s="1"/>
  <c r="A583" i="5"/>
  <c r="B583" i="5" s="1"/>
  <c r="C582" i="5"/>
  <c r="A582" i="5"/>
  <c r="A582" i="6" s="1"/>
  <c r="C581" i="5"/>
  <c r="C581" i="6" s="1"/>
  <c r="P581" i="6" s="1"/>
  <c r="A581" i="5"/>
  <c r="C580" i="5"/>
  <c r="A580" i="5"/>
  <c r="F580" i="5" s="1"/>
  <c r="C579" i="5"/>
  <c r="D579" i="5" s="1"/>
  <c r="D579" i="6" s="1"/>
  <c r="A579" i="5"/>
  <c r="M579" i="5" s="1"/>
  <c r="J579" i="6" s="1"/>
  <c r="C578" i="5"/>
  <c r="A578" i="5"/>
  <c r="L578" i="5" s="1"/>
  <c r="K578" i="6" s="1"/>
  <c r="C577" i="5"/>
  <c r="C577" i="6" s="1"/>
  <c r="P577" i="6" s="1"/>
  <c r="A577" i="5"/>
  <c r="A577" i="6" s="1"/>
  <c r="C576" i="5"/>
  <c r="E576" i="5" s="1"/>
  <c r="E576" i="6" s="1"/>
  <c r="A576" i="5"/>
  <c r="L576" i="5" s="1"/>
  <c r="K576" i="6" s="1"/>
  <c r="C575" i="5"/>
  <c r="A575" i="5"/>
  <c r="B575" i="5" s="1"/>
  <c r="C574" i="5"/>
  <c r="A574" i="5"/>
  <c r="M574" i="5" s="1"/>
  <c r="J574" i="6" s="1"/>
  <c r="C573" i="5"/>
  <c r="C573" i="6" s="1"/>
  <c r="P573" i="6" s="1"/>
  <c r="A573" i="5"/>
  <c r="B573" i="5" s="1"/>
  <c r="B573" i="6" s="1"/>
  <c r="C572" i="5"/>
  <c r="C572" i="6" s="1"/>
  <c r="P572" i="6" s="1"/>
  <c r="A572" i="5"/>
  <c r="F572" i="5" s="1"/>
  <c r="C571" i="5"/>
  <c r="D571" i="5" s="1"/>
  <c r="D571" i="6" s="1"/>
  <c r="A571" i="5"/>
  <c r="A571" i="6" s="1"/>
  <c r="C570" i="5"/>
  <c r="A570" i="5"/>
  <c r="L570" i="5" s="1"/>
  <c r="K570" i="6" s="1"/>
  <c r="C569" i="5"/>
  <c r="C569" i="6" s="1"/>
  <c r="P569" i="6" s="1"/>
  <c r="A569" i="5"/>
  <c r="M569" i="5" s="1"/>
  <c r="J569" i="6" s="1"/>
  <c r="C568" i="5"/>
  <c r="E568" i="5" s="1"/>
  <c r="E568" i="6" s="1"/>
  <c r="A568" i="5"/>
  <c r="C567" i="5"/>
  <c r="C567" i="6" s="1"/>
  <c r="P567" i="6" s="1"/>
  <c r="A567" i="5"/>
  <c r="B567" i="5" s="1"/>
  <c r="C566" i="5"/>
  <c r="A566" i="5"/>
  <c r="M566" i="5" s="1"/>
  <c r="J566" i="6" s="1"/>
  <c r="C565" i="5"/>
  <c r="C565" i="6" s="1"/>
  <c r="P565" i="6" s="1"/>
  <c r="A565" i="5"/>
  <c r="B565" i="5" s="1"/>
  <c r="B565" i="6" s="1"/>
  <c r="C564" i="5"/>
  <c r="A564" i="5"/>
  <c r="F564" i="5" s="1"/>
  <c r="C563" i="5"/>
  <c r="A563" i="5"/>
  <c r="A563" i="6" s="1"/>
  <c r="C562" i="5"/>
  <c r="G562" i="5" s="1"/>
  <c r="I562" i="5" s="1"/>
  <c r="A562" i="5"/>
  <c r="C561" i="5"/>
  <c r="D561" i="5" s="1"/>
  <c r="D561" i="6" s="1"/>
  <c r="A561" i="5"/>
  <c r="M561" i="5" s="1"/>
  <c r="J561" i="6" s="1"/>
  <c r="C560" i="5"/>
  <c r="A560" i="5"/>
  <c r="L560" i="5" s="1"/>
  <c r="K560" i="6" s="1"/>
  <c r="C559" i="5"/>
  <c r="C559" i="6" s="1"/>
  <c r="P559" i="6" s="1"/>
  <c r="A559" i="5"/>
  <c r="A559" i="6" s="1"/>
  <c r="C558" i="5"/>
  <c r="A558" i="5"/>
  <c r="A558" i="6" s="1"/>
  <c r="C557" i="5"/>
  <c r="A557" i="5"/>
  <c r="B557" i="5" s="1"/>
  <c r="B557" i="6" s="1"/>
  <c r="C556" i="5"/>
  <c r="A556" i="5"/>
  <c r="C555" i="5"/>
  <c r="D555" i="5" s="1"/>
  <c r="D555" i="6" s="1"/>
  <c r="A555" i="5"/>
  <c r="A555" i="6" s="1"/>
  <c r="C554" i="5"/>
  <c r="G554" i="5" s="1"/>
  <c r="A554" i="5"/>
  <c r="L554" i="5" s="1"/>
  <c r="K554" i="6" s="1"/>
  <c r="C553" i="5"/>
  <c r="A553" i="5"/>
  <c r="A553" i="6" s="1"/>
  <c r="C552" i="5"/>
  <c r="E552" i="5" s="1"/>
  <c r="E552" i="6" s="1"/>
  <c r="A552" i="5"/>
  <c r="C551" i="5"/>
  <c r="D551" i="5" s="1"/>
  <c r="D551" i="6" s="1"/>
  <c r="A551" i="5"/>
  <c r="C550" i="5"/>
  <c r="E550" i="5" s="1"/>
  <c r="E550" i="6" s="1"/>
  <c r="A550" i="5"/>
  <c r="C549" i="5"/>
  <c r="C549" i="6" s="1"/>
  <c r="P549" i="6" s="1"/>
  <c r="A549" i="5"/>
  <c r="M549" i="5" s="1"/>
  <c r="J549" i="6" s="1"/>
  <c r="C548" i="5"/>
  <c r="C548" i="6" s="1"/>
  <c r="P548" i="6" s="1"/>
  <c r="A548" i="5"/>
  <c r="F548" i="5" s="1"/>
  <c r="C547" i="5"/>
  <c r="D547" i="5" s="1"/>
  <c r="D547" i="6" s="1"/>
  <c r="A547" i="5"/>
  <c r="A547" i="6" s="1"/>
  <c r="C546" i="5"/>
  <c r="A546" i="5"/>
  <c r="L546" i="5" s="1"/>
  <c r="K546" i="6" s="1"/>
  <c r="C545" i="5"/>
  <c r="C545" i="6" s="1"/>
  <c r="P545" i="6" s="1"/>
  <c r="A545" i="5"/>
  <c r="B545" i="5" s="1"/>
  <c r="B545" i="6" s="1"/>
  <c r="C544" i="5"/>
  <c r="E544" i="5" s="1"/>
  <c r="E544" i="6" s="1"/>
  <c r="A544" i="5"/>
  <c r="C543" i="5"/>
  <c r="C543" i="6" s="1"/>
  <c r="P543" i="6" s="1"/>
  <c r="A543" i="5"/>
  <c r="A543" i="6" s="1"/>
  <c r="C542" i="5"/>
  <c r="A542" i="5"/>
  <c r="C541" i="5"/>
  <c r="C541" i="6" s="1"/>
  <c r="P541" i="6" s="1"/>
  <c r="A541" i="5"/>
  <c r="C540" i="5"/>
  <c r="A540" i="5"/>
  <c r="F540" i="5" s="1"/>
  <c r="C539" i="5"/>
  <c r="D539" i="5" s="1"/>
  <c r="D539" i="6" s="1"/>
  <c r="A539" i="5"/>
  <c r="A539" i="6" s="1"/>
  <c r="C538" i="5"/>
  <c r="A538" i="5"/>
  <c r="L538" i="5" s="1"/>
  <c r="K538" i="6" s="1"/>
  <c r="C537" i="5"/>
  <c r="C537" i="6" s="1"/>
  <c r="P537" i="6" s="1"/>
  <c r="A537" i="5"/>
  <c r="F537" i="5" s="1"/>
  <c r="C536" i="5"/>
  <c r="E536" i="5" s="1"/>
  <c r="E536" i="6" s="1"/>
  <c r="A536" i="5"/>
  <c r="L536" i="5" s="1"/>
  <c r="K536" i="6" s="1"/>
  <c r="C535" i="5"/>
  <c r="G535" i="5" s="1"/>
  <c r="J535" i="5" s="1"/>
  <c r="G535" i="6" s="1"/>
  <c r="A535" i="5"/>
  <c r="A535" i="6" s="1"/>
  <c r="C534" i="5"/>
  <c r="C534" i="6" s="1"/>
  <c r="P534" i="6" s="1"/>
  <c r="A534" i="5"/>
  <c r="C533" i="5"/>
  <c r="C533" i="6" s="1"/>
  <c r="P533" i="6" s="1"/>
  <c r="A533" i="5"/>
  <c r="B533" i="5" s="1"/>
  <c r="B533" i="6" s="1"/>
  <c r="C532" i="5"/>
  <c r="C532" i="6" s="1"/>
  <c r="P532" i="6" s="1"/>
  <c r="A532" i="5"/>
  <c r="F532" i="5" s="1"/>
  <c r="C531" i="5"/>
  <c r="D531" i="5" s="1"/>
  <c r="D531" i="6" s="1"/>
  <c r="A531" i="5"/>
  <c r="C530" i="5"/>
  <c r="A530" i="5"/>
  <c r="L530" i="5" s="1"/>
  <c r="K530" i="6" s="1"/>
  <c r="C529" i="5"/>
  <c r="D529" i="5" s="1"/>
  <c r="D529" i="6" s="1"/>
  <c r="A529" i="5"/>
  <c r="C528" i="5"/>
  <c r="E528" i="5" s="1"/>
  <c r="E528" i="6" s="1"/>
  <c r="A528" i="5"/>
  <c r="L528" i="5" s="1"/>
  <c r="K528" i="6" s="1"/>
  <c r="C527" i="5"/>
  <c r="C527" i="6" s="1"/>
  <c r="P527" i="6" s="1"/>
  <c r="A527" i="5"/>
  <c r="C526" i="5"/>
  <c r="A526" i="5"/>
  <c r="C525" i="5"/>
  <c r="C525" i="6" s="1"/>
  <c r="P525" i="6" s="1"/>
  <c r="A525" i="5"/>
  <c r="B525" i="5" s="1"/>
  <c r="B525" i="6" s="1"/>
  <c r="C524" i="5"/>
  <c r="C524" i="6" s="1"/>
  <c r="P524" i="6" s="1"/>
  <c r="A524" i="5"/>
  <c r="C523" i="5"/>
  <c r="D523" i="5" s="1"/>
  <c r="D523" i="6" s="1"/>
  <c r="A523" i="5"/>
  <c r="L523" i="5" s="1"/>
  <c r="K523" i="6" s="1"/>
  <c r="C522" i="5"/>
  <c r="G522" i="5" s="1"/>
  <c r="A522" i="5"/>
  <c r="C521" i="5"/>
  <c r="E521" i="5" s="1"/>
  <c r="E521" i="6" s="1"/>
  <c r="A521" i="5"/>
  <c r="A521" i="6" s="1"/>
  <c r="C520" i="5"/>
  <c r="A520" i="5"/>
  <c r="L520" i="5" s="1"/>
  <c r="K520" i="6" s="1"/>
  <c r="C519" i="5"/>
  <c r="A519" i="5"/>
  <c r="C518" i="5"/>
  <c r="C518" i="6" s="1"/>
  <c r="P518" i="6" s="1"/>
  <c r="A518" i="5"/>
  <c r="A518" i="6" s="1"/>
  <c r="C517" i="5"/>
  <c r="C517" i="6" s="1"/>
  <c r="P517" i="6" s="1"/>
  <c r="A517" i="5"/>
  <c r="F517" i="5" s="1"/>
  <c r="C516" i="5"/>
  <c r="C516" i="6" s="1"/>
  <c r="P516" i="6" s="1"/>
  <c r="A516" i="5"/>
  <c r="L516" i="5" s="1"/>
  <c r="K516" i="6" s="1"/>
  <c r="C515" i="5"/>
  <c r="D515" i="5" s="1"/>
  <c r="D515" i="6" s="1"/>
  <c r="A515" i="5"/>
  <c r="C514" i="5"/>
  <c r="A514" i="5"/>
  <c r="L514" i="5" s="1"/>
  <c r="K514" i="6" s="1"/>
  <c r="C513" i="5"/>
  <c r="E513" i="5" s="1"/>
  <c r="E513" i="6" s="1"/>
  <c r="A513" i="5"/>
  <c r="A513" i="6" s="1"/>
  <c r="C512" i="5"/>
  <c r="E512" i="5" s="1"/>
  <c r="E512" i="6" s="1"/>
  <c r="A512" i="5"/>
  <c r="B512" i="5" s="1"/>
  <c r="B512" i="6" s="1"/>
  <c r="C511" i="5"/>
  <c r="A511" i="5"/>
  <c r="C510" i="5"/>
  <c r="C510" i="6" s="1"/>
  <c r="P510" i="6" s="1"/>
  <c r="A510" i="5"/>
  <c r="M510" i="5" s="1"/>
  <c r="J510" i="6" s="1"/>
  <c r="C509" i="5"/>
  <c r="C509" i="6" s="1"/>
  <c r="P509" i="6" s="1"/>
  <c r="A509" i="5"/>
  <c r="C508" i="5"/>
  <c r="C508" i="6" s="1"/>
  <c r="P508" i="6" s="1"/>
  <c r="A508" i="5"/>
  <c r="F508" i="5" s="1"/>
  <c r="C507" i="5"/>
  <c r="D507" i="5" s="1"/>
  <c r="D507" i="6" s="1"/>
  <c r="A507" i="5"/>
  <c r="C506" i="5"/>
  <c r="E506" i="5" s="1"/>
  <c r="E506" i="6" s="1"/>
  <c r="A506" i="5"/>
  <c r="L506" i="5" s="1"/>
  <c r="K506" i="6" s="1"/>
  <c r="C505" i="5"/>
  <c r="D505" i="5" s="1"/>
  <c r="D505" i="6" s="1"/>
  <c r="A505" i="5"/>
  <c r="F505" i="5" s="1"/>
  <c r="C504" i="5"/>
  <c r="E504" i="5" s="1"/>
  <c r="E504" i="6" s="1"/>
  <c r="A504" i="5"/>
  <c r="B504" i="5" s="1"/>
  <c r="B504" i="6" s="1"/>
  <c r="C503" i="5"/>
  <c r="C503" i="6" s="1"/>
  <c r="P503" i="6" s="1"/>
  <c r="A503" i="5"/>
  <c r="C502" i="5"/>
  <c r="C502" i="6" s="1"/>
  <c r="P502" i="6" s="1"/>
  <c r="A502" i="5"/>
  <c r="B502" i="5" s="1"/>
  <c r="B502" i="6" s="1"/>
  <c r="C501" i="5"/>
  <c r="C501" i="6" s="1"/>
  <c r="P501" i="6" s="1"/>
  <c r="A501" i="5"/>
  <c r="C500" i="5"/>
  <c r="A500" i="5"/>
  <c r="F500" i="5" s="1"/>
  <c r="C499" i="5"/>
  <c r="D499" i="5" s="1"/>
  <c r="D499" i="6" s="1"/>
  <c r="A499" i="5"/>
  <c r="C498" i="5"/>
  <c r="A498" i="5"/>
  <c r="L498" i="5" s="1"/>
  <c r="K498" i="6" s="1"/>
  <c r="C497" i="5"/>
  <c r="E497" i="5" s="1"/>
  <c r="E497" i="6" s="1"/>
  <c r="A497" i="5"/>
  <c r="A497" i="6" s="1"/>
  <c r="C496" i="5"/>
  <c r="E496" i="5" s="1"/>
  <c r="E496" i="6" s="1"/>
  <c r="A496" i="5"/>
  <c r="B496" i="5" s="1"/>
  <c r="B496" i="6" s="1"/>
  <c r="C495" i="5"/>
  <c r="E495" i="5" s="1"/>
  <c r="E495" i="6" s="1"/>
  <c r="A495" i="5"/>
  <c r="C494" i="5"/>
  <c r="C494" i="6" s="1"/>
  <c r="P494" i="6" s="1"/>
  <c r="A494" i="5"/>
  <c r="B494" i="5" s="1"/>
  <c r="B494" i="6" s="1"/>
  <c r="C493" i="5"/>
  <c r="A493" i="5"/>
  <c r="C492" i="5"/>
  <c r="C492" i="6" s="1"/>
  <c r="P492" i="6" s="1"/>
  <c r="A492" i="5"/>
  <c r="F492" i="5" s="1"/>
  <c r="C491" i="5"/>
  <c r="D491" i="5" s="1"/>
  <c r="D491" i="6" s="1"/>
  <c r="A491" i="5"/>
  <c r="C490" i="5"/>
  <c r="A490" i="5"/>
  <c r="L490" i="5" s="1"/>
  <c r="K490" i="6" s="1"/>
  <c r="C489" i="5"/>
  <c r="D489" i="5" s="1"/>
  <c r="D489" i="6" s="1"/>
  <c r="A489" i="5"/>
  <c r="A489" i="6" s="1"/>
  <c r="C488" i="5"/>
  <c r="E488" i="5" s="1"/>
  <c r="E488" i="6" s="1"/>
  <c r="A488" i="5"/>
  <c r="B488" i="5" s="1"/>
  <c r="B488" i="6" s="1"/>
  <c r="C487" i="5"/>
  <c r="E487" i="5" s="1"/>
  <c r="E487" i="6" s="1"/>
  <c r="A487" i="5"/>
  <c r="C486" i="5"/>
  <c r="C486" i="6" s="1"/>
  <c r="P486" i="6" s="1"/>
  <c r="A486" i="5"/>
  <c r="B486" i="5" s="1"/>
  <c r="B486" i="6" s="1"/>
  <c r="C485" i="5"/>
  <c r="A485" i="5"/>
  <c r="F485" i="5" s="1"/>
  <c r="C484" i="5"/>
  <c r="A484" i="5"/>
  <c r="F484" i="5" s="1"/>
  <c r="C483" i="5"/>
  <c r="A483" i="5"/>
  <c r="A483" i="6" s="1"/>
  <c r="C482" i="5"/>
  <c r="G482" i="5" s="1"/>
  <c r="F482" i="6" s="1"/>
  <c r="N482" i="6" s="1"/>
  <c r="O482" i="6" s="1"/>
  <c r="A482" i="5"/>
  <c r="L482" i="5" s="1"/>
  <c r="K482" i="6" s="1"/>
  <c r="C481" i="5"/>
  <c r="G481" i="5" s="1"/>
  <c r="H481" i="5" s="1"/>
  <c r="A481" i="5"/>
  <c r="A481" i="6" s="1"/>
  <c r="C480" i="5"/>
  <c r="G480" i="5" s="1"/>
  <c r="A480" i="5"/>
  <c r="C479" i="5"/>
  <c r="A479" i="5"/>
  <c r="F479" i="5" s="1"/>
  <c r="C478" i="5"/>
  <c r="A478" i="5"/>
  <c r="C477" i="5"/>
  <c r="A477" i="5"/>
  <c r="F477" i="5" s="1"/>
  <c r="C476" i="5"/>
  <c r="C476" i="6" s="1"/>
  <c r="P476" i="6" s="1"/>
  <c r="A476" i="5"/>
  <c r="F476" i="5" s="1"/>
  <c r="C475" i="5"/>
  <c r="A475" i="5"/>
  <c r="C474" i="5"/>
  <c r="G474" i="5" s="1"/>
  <c r="A474" i="5"/>
  <c r="F474" i="5" s="1"/>
  <c r="C473" i="5"/>
  <c r="G473" i="5" s="1"/>
  <c r="A473" i="5"/>
  <c r="C472" i="5"/>
  <c r="A472" i="5"/>
  <c r="C471" i="5"/>
  <c r="E471" i="5" s="1"/>
  <c r="E471" i="6" s="1"/>
  <c r="A471" i="5"/>
  <c r="C470" i="5"/>
  <c r="C470" i="6" s="1"/>
  <c r="P470" i="6" s="1"/>
  <c r="A470" i="5"/>
  <c r="A470" i="6" s="1"/>
  <c r="C469" i="5"/>
  <c r="A469" i="5"/>
  <c r="C468" i="5"/>
  <c r="C468" i="6" s="1"/>
  <c r="P468" i="6" s="1"/>
  <c r="A468" i="5"/>
  <c r="F468" i="5" s="1"/>
  <c r="C467" i="5"/>
  <c r="A467" i="5"/>
  <c r="M467" i="5" s="1"/>
  <c r="C466" i="5"/>
  <c r="E466" i="5" s="1"/>
  <c r="E466" i="6" s="1"/>
  <c r="A466" i="5"/>
  <c r="L466" i="5" s="1"/>
  <c r="K466" i="6" s="1"/>
  <c r="C465" i="5"/>
  <c r="A465" i="5"/>
  <c r="C464" i="5"/>
  <c r="E464" i="5" s="1"/>
  <c r="E464" i="6" s="1"/>
  <c r="A464" i="5"/>
  <c r="L464" i="5" s="1"/>
  <c r="K464" i="6" s="1"/>
  <c r="C463" i="5"/>
  <c r="E463" i="5" s="1"/>
  <c r="E463" i="6" s="1"/>
  <c r="A463" i="5"/>
  <c r="C462" i="5"/>
  <c r="A462" i="5"/>
  <c r="C461" i="5"/>
  <c r="G461" i="5" s="1"/>
  <c r="A461" i="5"/>
  <c r="F461" i="5" s="1"/>
  <c r="C460" i="5"/>
  <c r="C460" i="6" s="1"/>
  <c r="P460" i="6" s="1"/>
  <c r="A460" i="5"/>
  <c r="F460" i="5" s="1"/>
  <c r="C459" i="5"/>
  <c r="D459" i="5" s="1"/>
  <c r="D459" i="6" s="1"/>
  <c r="A459" i="5"/>
  <c r="A459" i="6" s="1"/>
  <c r="C458" i="5"/>
  <c r="G458" i="5" s="1"/>
  <c r="A458" i="5"/>
  <c r="L458" i="5" s="1"/>
  <c r="K458" i="6" s="1"/>
  <c r="C457" i="5"/>
  <c r="A457" i="5"/>
  <c r="L457" i="5" s="1"/>
  <c r="K457" i="6" s="1"/>
  <c r="C456" i="5"/>
  <c r="C456" i="6" s="1"/>
  <c r="P456" i="6" s="1"/>
  <c r="A456" i="5"/>
  <c r="L456" i="5" s="1"/>
  <c r="K456" i="6" s="1"/>
  <c r="C455" i="5"/>
  <c r="A455" i="5"/>
  <c r="M455" i="5" s="1"/>
  <c r="J455" i="6" s="1"/>
  <c r="C454" i="5"/>
  <c r="C454" i="6" s="1"/>
  <c r="P454" i="6" s="1"/>
  <c r="A454" i="5"/>
  <c r="A454" i="6" s="1"/>
  <c r="C453" i="5"/>
  <c r="G453" i="5" s="1"/>
  <c r="F453" i="6" s="1"/>
  <c r="N453" i="6" s="1"/>
  <c r="O453" i="6" s="1"/>
  <c r="A453" i="5"/>
  <c r="C452" i="5"/>
  <c r="A452" i="5"/>
  <c r="F452" i="5" s="1"/>
  <c r="C451" i="5"/>
  <c r="E451" i="5" s="1"/>
  <c r="E451" i="6" s="1"/>
  <c r="A451" i="5"/>
  <c r="A451" i="6" s="1"/>
  <c r="C450" i="5"/>
  <c r="E450" i="5" s="1"/>
  <c r="E450" i="6" s="1"/>
  <c r="A450" i="5"/>
  <c r="L450" i="5" s="1"/>
  <c r="K450" i="6" s="1"/>
  <c r="C449" i="5"/>
  <c r="A449" i="5"/>
  <c r="C448" i="5"/>
  <c r="A448" i="5"/>
  <c r="M448" i="5" s="1"/>
  <c r="J448" i="6" s="1"/>
  <c r="C447" i="5"/>
  <c r="D447" i="5" s="1"/>
  <c r="D447" i="6" s="1"/>
  <c r="A447" i="5"/>
  <c r="B447" i="5" s="1"/>
  <c r="B447" i="6" s="1"/>
  <c r="C446" i="5"/>
  <c r="A446" i="5"/>
  <c r="A446" i="6" s="1"/>
  <c r="C445" i="5"/>
  <c r="A445" i="5"/>
  <c r="M445" i="5" s="1"/>
  <c r="J445" i="6" s="1"/>
  <c r="C444" i="5"/>
  <c r="C444" i="6" s="1"/>
  <c r="P444" i="6" s="1"/>
  <c r="A444" i="5"/>
  <c r="F444" i="5" s="1"/>
  <c r="C443" i="5"/>
  <c r="A443" i="5"/>
  <c r="C442" i="5"/>
  <c r="E442" i="5" s="1"/>
  <c r="E442" i="6" s="1"/>
  <c r="A442" i="5"/>
  <c r="F442" i="5" s="1"/>
  <c r="C441" i="5"/>
  <c r="A441" i="5"/>
  <c r="F441" i="5" s="1"/>
  <c r="C440" i="5"/>
  <c r="C440" i="6" s="1"/>
  <c r="P440" i="6" s="1"/>
  <c r="A440" i="5"/>
  <c r="C439" i="5"/>
  <c r="D439" i="5" s="1"/>
  <c r="D439" i="6" s="1"/>
  <c r="A439" i="5"/>
  <c r="F439" i="5" s="1"/>
  <c r="C438" i="5"/>
  <c r="E438" i="5" s="1"/>
  <c r="E438" i="6" s="1"/>
  <c r="A438" i="5"/>
  <c r="A438" i="6" s="1"/>
  <c r="C437" i="5"/>
  <c r="A437" i="5"/>
  <c r="F437" i="5" s="1"/>
  <c r="C436" i="5"/>
  <c r="D436" i="5" s="1"/>
  <c r="D436" i="6" s="1"/>
  <c r="A436" i="5"/>
  <c r="M436" i="5" s="1"/>
  <c r="J436" i="6" s="1"/>
  <c r="C435" i="5"/>
  <c r="A435" i="5"/>
  <c r="A435" i="6" s="1"/>
  <c r="C434" i="5"/>
  <c r="G434" i="5" s="1"/>
  <c r="F434" i="6" s="1"/>
  <c r="N434" i="6" s="1"/>
  <c r="O434" i="6" s="1"/>
  <c r="A434" i="5"/>
  <c r="C433" i="5"/>
  <c r="C433" i="6" s="1"/>
  <c r="P433" i="6" s="1"/>
  <c r="A433" i="5"/>
  <c r="B433" i="5" s="1"/>
  <c r="B433" i="6" s="1"/>
  <c r="C432" i="5"/>
  <c r="A432" i="5"/>
  <c r="C431" i="5"/>
  <c r="A431" i="5"/>
  <c r="C430" i="5"/>
  <c r="E430" i="5" s="1"/>
  <c r="E430" i="6" s="1"/>
  <c r="A430" i="5"/>
  <c r="L430" i="5" s="1"/>
  <c r="K430" i="6" s="1"/>
  <c r="C429" i="5"/>
  <c r="D429" i="5" s="1"/>
  <c r="D429" i="6" s="1"/>
  <c r="A429" i="5"/>
  <c r="F429" i="5" s="1"/>
  <c r="C428" i="5"/>
  <c r="A428" i="5"/>
  <c r="F428" i="5" s="1"/>
  <c r="C427" i="5"/>
  <c r="A427" i="5"/>
  <c r="M427" i="5" s="1"/>
  <c r="J427" i="6" s="1"/>
  <c r="C426" i="5"/>
  <c r="A426" i="5"/>
  <c r="F426" i="5" s="1"/>
  <c r="C425" i="5"/>
  <c r="A425" i="5"/>
  <c r="M425" i="5" s="1"/>
  <c r="J425" i="6" s="1"/>
  <c r="C424" i="5"/>
  <c r="A424" i="5"/>
  <c r="M424" i="5" s="1"/>
  <c r="J424" i="6" s="1"/>
  <c r="C423" i="5"/>
  <c r="A423" i="5"/>
  <c r="C422" i="5"/>
  <c r="G422" i="5" s="1"/>
  <c r="A422" i="5"/>
  <c r="A422" i="6" s="1"/>
  <c r="C421" i="5"/>
  <c r="G421" i="5" s="1"/>
  <c r="A421" i="5"/>
  <c r="L421" i="5" s="1"/>
  <c r="K421" i="6" s="1"/>
  <c r="C420" i="5"/>
  <c r="A420" i="5"/>
  <c r="L420" i="5" s="1"/>
  <c r="K420" i="6" s="1"/>
  <c r="C419" i="5"/>
  <c r="D419" i="5" s="1"/>
  <c r="D419" i="6" s="1"/>
  <c r="A419" i="5"/>
  <c r="C418" i="5"/>
  <c r="A418" i="5"/>
  <c r="L418" i="5" s="1"/>
  <c r="K418" i="6" s="1"/>
  <c r="C417" i="5"/>
  <c r="D417" i="5" s="1"/>
  <c r="D417" i="6" s="1"/>
  <c r="A417" i="5"/>
  <c r="A417" i="6" s="1"/>
  <c r="C416" i="5"/>
  <c r="D416" i="5" s="1"/>
  <c r="D416" i="6" s="1"/>
  <c r="A416" i="5"/>
  <c r="M416" i="5" s="1"/>
  <c r="J416" i="6" s="1"/>
  <c r="C415" i="5"/>
  <c r="G415" i="5" s="1"/>
  <c r="A415" i="5"/>
  <c r="M415" i="5" s="1"/>
  <c r="J415" i="6" s="1"/>
  <c r="C414" i="5"/>
  <c r="A414" i="5"/>
  <c r="L414" i="5" s="1"/>
  <c r="K414" i="6" s="1"/>
  <c r="C413" i="5"/>
  <c r="A413" i="5"/>
  <c r="F413" i="5" s="1"/>
  <c r="C412" i="5"/>
  <c r="A412" i="5"/>
  <c r="L412" i="5" s="1"/>
  <c r="K412" i="6" s="1"/>
  <c r="C411" i="5"/>
  <c r="E411" i="5" s="1"/>
  <c r="E411" i="6" s="1"/>
  <c r="A411" i="5"/>
  <c r="C410" i="5"/>
  <c r="A410" i="5"/>
  <c r="C409" i="5"/>
  <c r="A409" i="5"/>
  <c r="A409" i="6" s="1"/>
  <c r="C408" i="5"/>
  <c r="C408" i="6" s="1"/>
  <c r="P408" i="6" s="1"/>
  <c r="A408" i="5"/>
  <c r="C407" i="5"/>
  <c r="E407" i="5" s="1"/>
  <c r="E407" i="6" s="1"/>
  <c r="A407" i="5"/>
  <c r="C406" i="5"/>
  <c r="C406" i="6" s="1"/>
  <c r="P406" i="6" s="1"/>
  <c r="A406" i="5"/>
  <c r="C405" i="5"/>
  <c r="A405" i="5"/>
  <c r="C404" i="5"/>
  <c r="C404" i="6" s="1"/>
  <c r="P404" i="6" s="1"/>
  <c r="A404" i="5"/>
  <c r="M404" i="5" s="1"/>
  <c r="J404" i="6" s="1"/>
  <c r="C403" i="5"/>
  <c r="A403" i="5"/>
  <c r="C402" i="5"/>
  <c r="E402" i="5" s="1"/>
  <c r="E402" i="6" s="1"/>
  <c r="A402" i="5"/>
  <c r="L402" i="5" s="1"/>
  <c r="K402" i="6" s="1"/>
  <c r="C401" i="5"/>
  <c r="A401" i="5"/>
  <c r="A401" i="6" s="1"/>
  <c r="C400" i="5"/>
  <c r="C400" i="6" s="1"/>
  <c r="P400" i="6" s="1"/>
  <c r="A400" i="5"/>
  <c r="C399" i="5"/>
  <c r="G399" i="5" s="1"/>
  <c r="A399" i="5"/>
  <c r="C398" i="5"/>
  <c r="D398" i="5" s="1"/>
  <c r="D398" i="6" s="1"/>
  <c r="A398" i="5"/>
  <c r="A398" i="6" s="1"/>
  <c r="C397" i="5"/>
  <c r="G397" i="5" s="1"/>
  <c r="A397" i="5"/>
  <c r="C396" i="5"/>
  <c r="A396" i="5"/>
  <c r="C395" i="5"/>
  <c r="D395" i="5" s="1"/>
  <c r="D395" i="6" s="1"/>
  <c r="A395" i="5"/>
  <c r="A395" i="6" s="1"/>
  <c r="C394" i="5"/>
  <c r="A394" i="5"/>
  <c r="L394" i="5" s="1"/>
  <c r="K394" i="6" s="1"/>
  <c r="C393" i="5"/>
  <c r="A393" i="5"/>
  <c r="F393" i="5" s="1"/>
  <c r="C392" i="5"/>
  <c r="A392" i="5"/>
  <c r="C391" i="5"/>
  <c r="C391" i="6" s="1"/>
  <c r="P391" i="6" s="1"/>
  <c r="A391" i="5"/>
  <c r="M391" i="5" s="1"/>
  <c r="J391" i="6" s="1"/>
  <c r="C390" i="5"/>
  <c r="A390" i="5"/>
  <c r="A390" i="6" s="1"/>
  <c r="C389" i="5"/>
  <c r="D389" i="5" s="1"/>
  <c r="D389" i="6" s="1"/>
  <c r="A389" i="5"/>
  <c r="B389" i="5" s="1"/>
  <c r="B389" i="6" s="1"/>
  <c r="C388" i="5"/>
  <c r="A388" i="5"/>
  <c r="L388" i="5" s="1"/>
  <c r="K388" i="6" s="1"/>
  <c r="C387" i="5"/>
  <c r="E387" i="5" s="1"/>
  <c r="E387" i="6" s="1"/>
  <c r="A387" i="5"/>
  <c r="C386" i="5"/>
  <c r="E386" i="5" s="1"/>
  <c r="E386" i="6" s="1"/>
  <c r="A386" i="5"/>
  <c r="C385" i="5"/>
  <c r="A385" i="5"/>
  <c r="C384" i="5"/>
  <c r="C384" i="6" s="1"/>
  <c r="P384" i="6" s="1"/>
  <c r="A384" i="5"/>
  <c r="C383" i="5"/>
  <c r="A383" i="5"/>
  <c r="C382" i="5"/>
  <c r="A382" i="5"/>
  <c r="C381" i="5"/>
  <c r="A381" i="5"/>
  <c r="M381" i="5" s="1"/>
  <c r="J381" i="6" s="1"/>
  <c r="C380" i="5"/>
  <c r="A380" i="5"/>
  <c r="M380" i="5" s="1"/>
  <c r="J380" i="6" s="1"/>
  <c r="C379" i="5"/>
  <c r="D379" i="5" s="1"/>
  <c r="D379" i="6" s="1"/>
  <c r="A379" i="5"/>
  <c r="M379" i="5" s="1"/>
  <c r="J379" i="6" s="1"/>
  <c r="C378" i="5"/>
  <c r="G378" i="5" s="1"/>
  <c r="A378" i="5"/>
  <c r="C377" i="5"/>
  <c r="A377" i="5"/>
  <c r="F377" i="5" s="1"/>
  <c r="C376" i="5"/>
  <c r="A376" i="5"/>
  <c r="C375" i="5"/>
  <c r="C375" i="6" s="1"/>
  <c r="P375" i="6" s="1"/>
  <c r="A375" i="5"/>
  <c r="A375" i="6" s="1"/>
  <c r="C374" i="5"/>
  <c r="A374" i="5"/>
  <c r="M374" i="5" s="1"/>
  <c r="J374" i="6" s="1"/>
  <c r="C373" i="5"/>
  <c r="C373" i="6" s="1"/>
  <c r="P373" i="6" s="1"/>
  <c r="A373" i="5"/>
  <c r="M373" i="5" s="1"/>
  <c r="J373" i="6" s="1"/>
  <c r="C372" i="5"/>
  <c r="A372" i="5"/>
  <c r="L372" i="5" s="1"/>
  <c r="K372" i="6" s="1"/>
  <c r="C371" i="5"/>
  <c r="D371" i="5" s="1"/>
  <c r="D371" i="6" s="1"/>
  <c r="A371" i="5"/>
  <c r="L371" i="5" s="1"/>
  <c r="K371" i="6" s="1"/>
  <c r="C370" i="5"/>
  <c r="A370" i="5"/>
  <c r="L370" i="5" s="1"/>
  <c r="K370" i="6" s="1"/>
  <c r="C369" i="5"/>
  <c r="A369" i="5"/>
  <c r="A369" i="6" s="1"/>
  <c r="C368" i="5"/>
  <c r="E368" i="5" s="1"/>
  <c r="E368" i="6" s="1"/>
  <c r="A368" i="5"/>
  <c r="C367" i="5"/>
  <c r="C367" i="6" s="1"/>
  <c r="P367" i="6" s="1"/>
  <c r="A367" i="5"/>
  <c r="M367" i="5" s="1"/>
  <c r="J367" i="6" s="1"/>
  <c r="C366" i="5"/>
  <c r="A366" i="5"/>
  <c r="M366" i="5" s="1"/>
  <c r="J366" i="6" s="1"/>
  <c r="C365" i="5"/>
  <c r="C365" i="6" s="1"/>
  <c r="P365" i="6" s="1"/>
  <c r="A365" i="5"/>
  <c r="F365" i="5" s="1"/>
  <c r="C364" i="5"/>
  <c r="E364" i="5" s="1"/>
  <c r="E364" i="6" s="1"/>
  <c r="A364" i="5"/>
  <c r="L364" i="5" s="1"/>
  <c r="K364" i="6" s="1"/>
  <c r="C363" i="5"/>
  <c r="D363" i="5" s="1"/>
  <c r="D363" i="6" s="1"/>
  <c r="A363" i="5"/>
  <c r="C362" i="5"/>
  <c r="A362" i="5"/>
  <c r="L362" i="5" s="1"/>
  <c r="K362" i="6" s="1"/>
  <c r="C361" i="5"/>
  <c r="E361" i="5" s="1"/>
  <c r="E361" i="6" s="1"/>
  <c r="A361" i="5"/>
  <c r="B361" i="5" s="1"/>
  <c r="B361" i="6" s="1"/>
  <c r="C360" i="5"/>
  <c r="G360" i="5" s="1"/>
  <c r="A360" i="5"/>
  <c r="C359" i="5"/>
  <c r="A359" i="5"/>
  <c r="L359" i="5" s="1"/>
  <c r="K359" i="6" s="1"/>
  <c r="C358" i="5"/>
  <c r="C358" i="6" s="1"/>
  <c r="P358" i="6" s="1"/>
  <c r="A358" i="5"/>
  <c r="M358" i="5" s="1"/>
  <c r="J358" i="6" s="1"/>
  <c r="C357" i="5"/>
  <c r="C357" i="6" s="1"/>
  <c r="P357" i="6" s="1"/>
  <c r="A357" i="5"/>
  <c r="B357" i="5" s="1"/>
  <c r="B357" i="6" s="1"/>
  <c r="C356" i="5"/>
  <c r="A356" i="5"/>
  <c r="C355" i="5"/>
  <c r="A355" i="5"/>
  <c r="L355" i="5" s="1"/>
  <c r="K355" i="6" s="1"/>
  <c r="C354" i="5"/>
  <c r="E354" i="5" s="1"/>
  <c r="E354" i="6" s="1"/>
  <c r="A354" i="5"/>
  <c r="L354" i="5" s="1"/>
  <c r="K354" i="6" s="1"/>
  <c r="C353" i="5"/>
  <c r="A353" i="5"/>
  <c r="A353" i="6" s="1"/>
  <c r="C352" i="5"/>
  <c r="A352" i="5"/>
  <c r="B352" i="5" s="1"/>
  <c r="B352" i="6" s="1"/>
  <c r="C351" i="5"/>
  <c r="D351" i="5" s="1"/>
  <c r="D351" i="6" s="1"/>
  <c r="A351" i="5"/>
  <c r="L351" i="5" s="1"/>
  <c r="K351" i="6" s="1"/>
  <c r="C350" i="5"/>
  <c r="A350" i="5"/>
  <c r="L350" i="5" s="1"/>
  <c r="K350" i="6" s="1"/>
  <c r="C349" i="5"/>
  <c r="A349" i="5"/>
  <c r="F349" i="5" s="1"/>
  <c r="C348" i="5"/>
  <c r="A348" i="5"/>
  <c r="F348" i="5" s="1"/>
  <c r="C347" i="5"/>
  <c r="A347" i="5"/>
  <c r="B347" i="5" s="1"/>
  <c r="B347" i="6" s="1"/>
  <c r="C346" i="5"/>
  <c r="E346" i="5" s="1"/>
  <c r="E346" i="6" s="1"/>
  <c r="A346" i="5"/>
  <c r="L346" i="5" s="1"/>
  <c r="K346" i="6" s="1"/>
  <c r="C345" i="5"/>
  <c r="E345" i="5" s="1"/>
  <c r="E345" i="6" s="1"/>
  <c r="A345" i="5"/>
  <c r="B345" i="5" s="1"/>
  <c r="B345" i="6" s="1"/>
  <c r="C344" i="5"/>
  <c r="A344" i="5"/>
  <c r="C343" i="5"/>
  <c r="A343" i="5"/>
  <c r="B343" i="5" s="1"/>
  <c r="B343" i="6" s="1"/>
  <c r="C342" i="5"/>
  <c r="C342" i="6" s="1"/>
  <c r="P342" i="6" s="1"/>
  <c r="A342" i="5"/>
  <c r="M342" i="5" s="1"/>
  <c r="C341" i="5"/>
  <c r="E341" i="5" s="1"/>
  <c r="E341" i="6" s="1"/>
  <c r="A341" i="5"/>
  <c r="F341" i="5" s="1"/>
  <c r="C340" i="5"/>
  <c r="A340" i="5"/>
  <c r="L340" i="5" s="1"/>
  <c r="K340" i="6" s="1"/>
  <c r="C339" i="5"/>
  <c r="D339" i="5" s="1"/>
  <c r="D339" i="6" s="1"/>
  <c r="A339" i="5"/>
  <c r="L339" i="5" s="1"/>
  <c r="K339" i="6" s="1"/>
  <c r="C338" i="5"/>
  <c r="A338" i="5"/>
  <c r="L338" i="5" s="1"/>
  <c r="K338" i="6" s="1"/>
  <c r="C337" i="5"/>
  <c r="E337" i="5" s="1"/>
  <c r="E337" i="6" s="1"/>
  <c r="A337" i="5"/>
  <c r="A337" i="6" s="1"/>
  <c r="C336" i="5"/>
  <c r="G336" i="5" s="1"/>
  <c r="A336" i="5"/>
  <c r="L336" i="5" s="1"/>
  <c r="K336" i="6" s="1"/>
  <c r="C335" i="5"/>
  <c r="G335" i="5" s="1"/>
  <c r="A335" i="5"/>
  <c r="F335" i="5" s="1"/>
  <c r="C334" i="5"/>
  <c r="A334" i="5"/>
  <c r="M334" i="5" s="1"/>
  <c r="C333" i="5"/>
  <c r="D333" i="5" s="1"/>
  <c r="D333" i="6" s="1"/>
  <c r="A333" i="5"/>
  <c r="C332" i="5"/>
  <c r="A332" i="5"/>
  <c r="C331" i="5"/>
  <c r="D331" i="5" s="1"/>
  <c r="D331" i="6" s="1"/>
  <c r="A331" i="5"/>
  <c r="B331" i="5" s="1"/>
  <c r="B331" i="6" s="1"/>
  <c r="C330" i="5"/>
  <c r="A330" i="5"/>
  <c r="L330" i="5" s="1"/>
  <c r="K330" i="6" s="1"/>
  <c r="C329" i="5"/>
  <c r="C329" i="6" s="1"/>
  <c r="P329" i="6" s="1"/>
  <c r="A329" i="5"/>
  <c r="C328" i="5"/>
  <c r="E328" i="5" s="1"/>
  <c r="E328" i="6" s="1"/>
  <c r="A328" i="5"/>
  <c r="L328" i="5" s="1"/>
  <c r="K328" i="6" s="1"/>
  <c r="C327" i="5"/>
  <c r="A327" i="5"/>
  <c r="M327" i="5" s="1"/>
  <c r="C326" i="5"/>
  <c r="C326" i="6" s="1"/>
  <c r="P326" i="6" s="1"/>
  <c r="A326" i="5"/>
  <c r="M326" i="5" s="1"/>
  <c r="C325" i="5"/>
  <c r="A325" i="5"/>
  <c r="M325" i="5" s="1"/>
  <c r="C324" i="5"/>
  <c r="A324" i="5"/>
  <c r="L324" i="5" s="1"/>
  <c r="K324" i="6" s="1"/>
  <c r="C323" i="5"/>
  <c r="A323" i="5"/>
  <c r="A323" i="6" s="1"/>
  <c r="C322" i="5"/>
  <c r="A322" i="5"/>
  <c r="L322" i="5" s="1"/>
  <c r="K322" i="6" s="1"/>
  <c r="C321" i="5"/>
  <c r="C321" i="6" s="1"/>
  <c r="P321" i="6" s="1"/>
  <c r="A321" i="5"/>
  <c r="A321" i="6" s="1"/>
  <c r="C320" i="5"/>
  <c r="E320" i="5" s="1"/>
  <c r="E320" i="6" s="1"/>
  <c r="A320" i="5"/>
  <c r="C319" i="5"/>
  <c r="D319" i="5" s="1"/>
  <c r="D319" i="6" s="1"/>
  <c r="A319" i="5"/>
  <c r="F319" i="5" s="1"/>
  <c r="C318" i="5"/>
  <c r="C318" i="6" s="1"/>
  <c r="P318" i="6" s="1"/>
  <c r="A318" i="5"/>
  <c r="C317" i="5"/>
  <c r="C317" i="6" s="1"/>
  <c r="P317" i="6" s="1"/>
  <c r="A317" i="5"/>
  <c r="F317" i="5" s="1"/>
  <c r="C316" i="5"/>
  <c r="G316" i="5" s="1"/>
  <c r="A316" i="5"/>
  <c r="L316" i="5" s="1"/>
  <c r="K316" i="6" s="1"/>
  <c r="C315" i="5"/>
  <c r="A315" i="5"/>
  <c r="L315" i="5" s="1"/>
  <c r="K315" i="6" s="1"/>
  <c r="C314" i="5"/>
  <c r="G314" i="5" s="1"/>
  <c r="A314" i="5"/>
  <c r="L314" i="5" s="1"/>
  <c r="K314" i="6" s="1"/>
  <c r="C313" i="5"/>
  <c r="C313" i="6" s="1"/>
  <c r="P313" i="6" s="1"/>
  <c r="A313" i="5"/>
  <c r="F313" i="5" s="1"/>
  <c r="C312" i="5"/>
  <c r="A312" i="5"/>
  <c r="F312" i="5" s="1"/>
  <c r="C311" i="5"/>
  <c r="A311" i="5"/>
  <c r="A311" i="6" s="1"/>
  <c r="C310" i="5"/>
  <c r="A310" i="5"/>
  <c r="L310" i="5" s="1"/>
  <c r="K310" i="6" s="1"/>
  <c r="C309" i="5"/>
  <c r="C309" i="6" s="1"/>
  <c r="P309" i="6" s="1"/>
  <c r="A309" i="5"/>
  <c r="C308" i="5"/>
  <c r="E308" i="5" s="1"/>
  <c r="E308" i="6" s="1"/>
  <c r="A308" i="5"/>
  <c r="F308" i="5" s="1"/>
  <c r="C307" i="5"/>
  <c r="D307" i="5" s="1"/>
  <c r="D307" i="6" s="1"/>
  <c r="A307" i="5"/>
  <c r="C306" i="5"/>
  <c r="C306" i="6" s="1"/>
  <c r="P306" i="6" s="1"/>
  <c r="A306" i="5"/>
  <c r="C305" i="5"/>
  <c r="E305" i="5" s="1"/>
  <c r="E305" i="6" s="1"/>
  <c r="A305" i="5"/>
  <c r="F305" i="5" s="1"/>
  <c r="C304" i="5"/>
  <c r="A304" i="5"/>
  <c r="B304" i="5" s="1"/>
  <c r="B304" i="6" s="1"/>
  <c r="C303" i="5"/>
  <c r="A303" i="5"/>
  <c r="C302" i="5"/>
  <c r="A302" i="5"/>
  <c r="L302" i="5" s="1"/>
  <c r="K302" i="6" s="1"/>
  <c r="C301" i="5"/>
  <c r="A301" i="5"/>
  <c r="F301" i="5" s="1"/>
  <c r="C300" i="5"/>
  <c r="A300" i="5"/>
  <c r="C299" i="5"/>
  <c r="G299" i="5" s="1"/>
  <c r="A299" i="5"/>
  <c r="A299" i="6" s="1"/>
  <c r="C298" i="5"/>
  <c r="C298" i="6" s="1"/>
  <c r="P298" i="6" s="1"/>
  <c r="A298" i="5"/>
  <c r="L298" i="5" s="1"/>
  <c r="K298" i="6" s="1"/>
  <c r="C297" i="5"/>
  <c r="C297" i="6" s="1"/>
  <c r="P297" i="6" s="1"/>
  <c r="A297" i="5"/>
  <c r="F297" i="5" s="1"/>
  <c r="C296" i="5"/>
  <c r="G296" i="5" s="1"/>
  <c r="A296" i="5"/>
  <c r="L296" i="5" s="1"/>
  <c r="K296" i="6" s="1"/>
  <c r="C295" i="5"/>
  <c r="A295" i="5"/>
  <c r="C294" i="5"/>
  <c r="A294" i="5"/>
  <c r="L294" i="5" s="1"/>
  <c r="K294" i="6" s="1"/>
  <c r="C293" i="5"/>
  <c r="A293" i="5"/>
  <c r="F293" i="5" s="1"/>
  <c r="C292" i="5"/>
  <c r="E292" i="5" s="1"/>
  <c r="E292" i="6" s="1"/>
  <c r="A292" i="5"/>
  <c r="F292" i="5" s="1"/>
  <c r="C291" i="5"/>
  <c r="A291" i="5"/>
  <c r="M291" i="5" s="1"/>
  <c r="J291" i="6" s="1"/>
  <c r="C290" i="5"/>
  <c r="C290" i="6" s="1"/>
  <c r="P290" i="6" s="1"/>
  <c r="A290" i="5"/>
  <c r="L290" i="5" s="1"/>
  <c r="K290" i="6" s="1"/>
  <c r="C289" i="5"/>
  <c r="A289" i="5"/>
  <c r="C288" i="5"/>
  <c r="A288" i="5"/>
  <c r="B288" i="5" s="1"/>
  <c r="B288" i="6" s="1"/>
  <c r="C287" i="5"/>
  <c r="D287" i="5" s="1"/>
  <c r="D287" i="6" s="1"/>
  <c r="A287" i="5"/>
  <c r="A287" i="6" s="1"/>
  <c r="C286" i="5"/>
  <c r="C286" i="6" s="1"/>
  <c r="P286" i="6" s="1"/>
  <c r="A286" i="5"/>
  <c r="L286" i="5" s="1"/>
  <c r="K286" i="6" s="1"/>
  <c r="C285" i="5"/>
  <c r="C285" i="6" s="1"/>
  <c r="P285" i="6" s="1"/>
  <c r="A285" i="5"/>
  <c r="M285" i="5" s="1"/>
  <c r="J285" i="6" s="1"/>
  <c r="C284" i="5"/>
  <c r="A284" i="5"/>
  <c r="F284" i="5" s="1"/>
  <c r="C283" i="5"/>
  <c r="G283" i="5" s="1"/>
  <c r="A283" i="5"/>
  <c r="C282" i="5"/>
  <c r="A282" i="5"/>
  <c r="L282" i="5" s="1"/>
  <c r="K282" i="6" s="1"/>
  <c r="C281" i="5"/>
  <c r="A281" i="5"/>
  <c r="F281" i="5" s="1"/>
  <c r="C280" i="5"/>
  <c r="G280" i="5" s="1"/>
  <c r="A280" i="5"/>
  <c r="C279" i="5"/>
  <c r="D279" i="5" s="1"/>
  <c r="D279" i="6" s="1"/>
  <c r="A279" i="5"/>
  <c r="A279" i="6" s="1"/>
  <c r="C278" i="5"/>
  <c r="A278" i="5"/>
  <c r="C277" i="5"/>
  <c r="E277" i="5" s="1"/>
  <c r="E277" i="6" s="1"/>
  <c r="A277" i="5"/>
  <c r="F277" i="5" s="1"/>
  <c r="C276" i="5"/>
  <c r="G276" i="5" s="1"/>
  <c r="A276" i="5"/>
  <c r="C275" i="5"/>
  <c r="G275" i="5" s="1"/>
  <c r="J275" i="5" s="1"/>
  <c r="G275" i="6" s="1"/>
  <c r="A275" i="5"/>
  <c r="M275" i="5" s="1"/>
  <c r="J275" i="6" s="1"/>
  <c r="C274" i="5"/>
  <c r="A274" i="5"/>
  <c r="L274" i="5" s="1"/>
  <c r="K274" i="6" s="1"/>
  <c r="C273" i="5"/>
  <c r="A273" i="5"/>
  <c r="F273" i="5" s="1"/>
  <c r="C272" i="5"/>
  <c r="A272" i="5"/>
  <c r="C271" i="5"/>
  <c r="A271" i="5"/>
  <c r="C270" i="5"/>
  <c r="A270" i="5"/>
  <c r="L270" i="5" s="1"/>
  <c r="K270" i="6" s="1"/>
  <c r="C269" i="5"/>
  <c r="C269" i="6" s="1"/>
  <c r="P269" i="6" s="1"/>
  <c r="A269" i="5"/>
  <c r="B269" i="5" s="1"/>
  <c r="B269" i="6" s="1"/>
  <c r="C268" i="5"/>
  <c r="E268" i="5" s="1"/>
  <c r="E268" i="6" s="1"/>
  <c r="A268" i="5"/>
  <c r="C267" i="5"/>
  <c r="A267" i="5"/>
  <c r="A267" i="6" s="1"/>
  <c r="C266" i="5"/>
  <c r="A266" i="5"/>
  <c r="L266" i="5" s="1"/>
  <c r="K266" i="6" s="1"/>
  <c r="C265" i="5"/>
  <c r="C265" i="6" s="1"/>
  <c r="P265" i="6" s="1"/>
  <c r="A265" i="5"/>
  <c r="C264" i="5"/>
  <c r="A264" i="5"/>
  <c r="F264" i="5" s="1"/>
  <c r="C263" i="5"/>
  <c r="A263" i="5"/>
  <c r="A263" i="6" s="1"/>
  <c r="C262" i="5"/>
  <c r="C262" i="6" s="1"/>
  <c r="P262" i="6" s="1"/>
  <c r="A262" i="5"/>
  <c r="L262" i="5" s="1"/>
  <c r="K262" i="6" s="1"/>
  <c r="C261" i="5"/>
  <c r="A261" i="5"/>
  <c r="M261" i="5" s="1"/>
  <c r="J261" i="6" s="1"/>
  <c r="C260" i="5"/>
  <c r="A260" i="5"/>
  <c r="F260" i="5" s="1"/>
  <c r="C259" i="5"/>
  <c r="G259" i="5" s="1"/>
  <c r="A259" i="5"/>
  <c r="C258" i="5"/>
  <c r="A258" i="5"/>
  <c r="L258" i="5" s="1"/>
  <c r="K258" i="6" s="1"/>
  <c r="C257" i="5"/>
  <c r="A257" i="5"/>
  <c r="F257" i="5" s="1"/>
  <c r="C256" i="5"/>
  <c r="G256" i="5" s="1"/>
  <c r="A256" i="5"/>
  <c r="F256" i="5" s="1"/>
  <c r="C255" i="5"/>
  <c r="G255" i="5" s="1"/>
  <c r="J255" i="5" s="1"/>
  <c r="G255" i="6" s="1"/>
  <c r="A255" i="5"/>
  <c r="A255" i="6" s="1"/>
  <c r="C254" i="5"/>
  <c r="A254" i="5"/>
  <c r="C253" i="5"/>
  <c r="C253" i="6" s="1"/>
  <c r="P253" i="6" s="1"/>
  <c r="A253" i="5"/>
  <c r="F253" i="5" s="1"/>
  <c r="C252" i="5"/>
  <c r="A252" i="5"/>
  <c r="C251" i="5"/>
  <c r="A251" i="5"/>
  <c r="F251" i="5" s="1"/>
  <c r="C250" i="5"/>
  <c r="C250" i="6" s="1"/>
  <c r="P250" i="6" s="1"/>
  <c r="A250" i="5"/>
  <c r="C249" i="5"/>
  <c r="C249" i="6" s="1"/>
  <c r="P249" i="6" s="1"/>
  <c r="A249" i="5"/>
  <c r="F249" i="5" s="1"/>
  <c r="C248" i="5"/>
  <c r="A248" i="5"/>
  <c r="A248" i="6" s="1"/>
  <c r="C247" i="5"/>
  <c r="D247" i="5" s="1"/>
  <c r="D247" i="6" s="1"/>
  <c r="A247" i="5"/>
  <c r="C246" i="5"/>
  <c r="A246" i="5"/>
  <c r="F246" i="5" s="1"/>
  <c r="C245" i="5"/>
  <c r="A245" i="5"/>
  <c r="C244" i="5"/>
  <c r="E244" i="5" s="1"/>
  <c r="E244" i="6" s="1"/>
  <c r="A244" i="5"/>
  <c r="C243" i="5"/>
  <c r="C243" i="6" s="1"/>
  <c r="P243" i="6" s="1"/>
  <c r="A243" i="5"/>
  <c r="L243" i="5" s="1"/>
  <c r="K243" i="6" s="1"/>
  <c r="C242" i="5"/>
  <c r="D242" i="5" s="1"/>
  <c r="D242" i="6" s="1"/>
  <c r="A242" i="5"/>
  <c r="M242" i="5" s="1"/>
  <c r="J242" i="6" s="1"/>
  <c r="C241" i="5"/>
  <c r="C241" i="6" s="1"/>
  <c r="P241" i="6" s="1"/>
  <c r="A241" i="5"/>
  <c r="B241" i="5" s="1"/>
  <c r="B241" i="6" s="1"/>
  <c r="C240" i="5"/>
  <c r="A240" i="5"/>
  <c r="M240" i="5" s="1"/>
  <c r="J240" i="6" s="1"/>
  <c r="C239" i="5"/>
  <c r="A239" i="5"/>
  <c r="C238" i="5"/>
  <c r="A238" i="5"/>
  <c r="L238" i="5" s="1"/>
  <c r="K238" i="6" s="1"/>
  <c r="C237" i="5"/>
  <c r="A237" i="5"/>
  <c r="B237" i="5" s="1"/>
  <c r="B237" i="6" s="1"/>
  <c r="C236" i="5"/>
  <c r="G236" i="5" s="1"/>
  <c r="A236" i="5"/>
  <c r="C235" i="5"/>
  <c r="A235" i="5"/>
  <c r="B235" i="5" s="1"/>
  <c r="B235" i="6" s="1"/>
  <c r="C234" i="5"/>
  <c r="A234" i="5"/>
  <c r="A234" i="6" s="1"/>
  <c r="C233" i="5"/>
  <c r="C233" i="6" s="1"/>
  <c r="P233" i="6" s="1"/>
  <c r="A233" i="5"/>
  <c r="A233" i="6" s="1"/>
  <c r="C232" i="5"/>
  <c r="C232" i="6" s="1"/>
  <c r="P232" i="6" s="1"/>
  <c r="A232" i="5"/>
  <c r="A232" i="6" s="1"/>
  <c r="C231" i="5"/>
  <c r="A231" i="5"/>
  <c r="B231" i="5" s="1"/>
  <c r="B231" i="6" s="1"/>
  <c r="C230" i="5"/>
  <c r="C230" i="6" s="1"/>
  <c r="P230" i="6" s="1"/>
  <c r="A230" i="5"/>
  <c r="C229" i="5"/>
  <c r="A229" i="5"/>
  <c r="M229" i="5" s="1"/>
  <c r="J229" i="6" s="1"/>
  <c r="C228" i="5"/>
  <c r="C228" i="6" s="1"/>
  <c r="P228" i="6" s="1"/>
  <c r="A228" i="5"/>
  <c r="F228" i="5" s="1"/>
  <c r="C227" i="5"/>
  <c r="A227" i="5"/>
  <c r="A227" i="6" s="1"/>
  <c r="C226" i="5"/>
  <c r="A226" i="5"/>
  <c r="L226" i="5" s="1"/>
  <c r="K226" i="6" s="1"/>
  <c r="C225" i="5"/>
  <c r="C225" i="6" s="1"/>
  <c r="P225" i="6" s="1"/>
  <c r="A225" i="5"/>
  <c r="C224" i="5"/>
  <c r="A224" i="5"/>
  <c r="C223" i="5"/>
  <c r="A223" i="5"/>
  <c r="C222" i="5"/>
  <c r="A222" i="5"/>
  <c r="A222" i="6" s="1"/>
  <c r="C221" i="5"/>
  <c r="A221" i="5"/>
  <c r="L221" i="5" s="1"/>
  <c r="K221" i="6" s="1"/>
  <c r="C220" i="5"/>
  <c r="C220" i="6" s="1"/>
  <c r="P220" i="6" s="1"/>
  <c r="A220" i="5"/>
  <c r="C219" i="5"/>
  <c r="A219" i="5"/>
  <c r="A219" i="6" s="1"/>
  <c r="C218" i="5"/>
  <c r="A218" i="5"/>
  <c r="B218" i="5" s="1"/>
  <c r="B218" i="6" s="1"/>
  <c r="C217" i="5"/>
  <c r="C217" i="6" s="1"/>
  <c r="P217" i="6" s="1"/>
  <c r="A217" i="5"/>
  <c r="A217" i="6" s="1"/>
  <c r="C216" i="5"/>
  <c r="C216" i="6" s="1"/>
  <c r="P216" i="6" s="1"/>
  <c r="A216" i="5"/>
  <c r="C215" i="5"/>
  <c r="G215" i="5" s="1"/>
  <c r="F215" i="6" s="1"/>
  <c r="N215" i="6" s="1"/>
  <c r="O215" i="6" s="1"/>
  <c r="A215" i="5"/>
  <c r="F215" i="5" s="1"/>
  <c r="C214" i="5"/>
  <c r="D214" i="5" s="1"/>
  <c r="D214" i="6" s="1"/>
  <c r="A214" i="5"/>
  <c r="L214" i="5" s="1"/>
  <c r="K214" i="6" s="1"/>
  <c r="C213" i="5"/>
  <c r="A213" i="5"/>
  <c r="M213" i="5" s="1"/>
  <c r="J213" i="6" s="1"/>
  <c r="C212" i="5"/>
  <c r="E212" i="5" s="1"/>
  <c r="E212" i="6" s="1"/>
  <c r="A212" i="5"/>
  <c r="L212" i="5" s="1"/>
  <c r="K212" i="6" s="1"/>
  <c r="C211" i="5"/>
  <c r="E211" i="5" s="1"/>
  <c r="E211" i="6" s="1"/>
  <c r="A211" i="5"/>
  <c r="A211" i="6" s="1"/>
  <c r="C210" i="5"/>
  <c r="A210" i="5"/>
  <c r="C209" i="5"/>
  <c r="A209" i="5"/>
  <c r="A209" i="6" s="1"/>
  <c r="C208" i="5"/>
  <c r="C208" i="6" s="1"/>
  <c r="P208" i="6" s="1"/>
  <c r="A208" i="5"/>
  <c r="C207" i="5"/>
  <c r="A207" i="5"/>
  <c r="B207" i="5" s="1"/>
  <c r="B207" i="6" s="1"/>
  <c r="C206" i="5"/>
  <c r="A206" i="5"/>
  <c r="F206" i="5" s="1"/>
  <c r="C205" i="5"/>
  <c r="D205" i="5" s="1"/>
  <c r="D205" i="6" s="1"/>
  <c r="A205" i="5"/>
  <c r="C204" i="5"/>
  <c r="A204" i="5"/>
  <c r="L204" i="5" s="1"/>
  <c r="K204" i="6" s="1"/>
  <c r="C203" i="5"/>
  <c r="A203" i="5"/>
  <c r="C202" i="5"/>
  <c r="E202" i="5" s="1"/>
  <c r="E202" i="6" s="1"/>
  <c r="A202" i="5"/>
  <c r="B202" i="5" s="1"/>
  <c r="B202" i="6" s="1"/>
  <c r="C201" i="5"/>
  <c r="C201" i="6" s="1"/>
  <c r="P201" i="6" s="1"/>
  <c r="A201" i="5"/>
  <c r="C200" i="5"/>
  <c r="C200" i="6" s="1"/>
  <c r="P200" i="6" s="1"/>
  <c r="A200" i="5"/>
  <c r="C199" i="5"/>
  <c r="E199" i="5" s="1"/>
  <c r="E199" i="6" s="1"/>
  <c r="A199" i="5"/>
  <c r="F199" i="5" s="1"/>
  <c r="C198" i="5"/>
  <c r="A198" i="5"/>
  <c r="L198" i="5" s="1"/>
  <c r="K198" i="6" s="1"/>
  <c r="C197" i="5"/>
  <c r="A197" i="5"/>
  <c r="M197" i="5" s="1"/>
  <c r="C196" i="5"/>
  <c r="G196" i="5" s="1"/>
  <c r="H196" i="5" s="1"/>
  <c r="A196" i="5"/>
  <c r="L196" i="5" s="1"/>
  <c r="K196" i="6" s="1"/>
  <c r="C195" i="5"/>
  <c r="E195" i="5" s="1"/>
  <c r="E195" i="6" s="1"/>
  <c r="A195" i="5"/>
  <c r="C194" i="5"/>
  <c r="A194" i="5"/>
  <c r="C193" i="5"/>
  <c r="C193" i="6" s="1"/>
  <c r="P193" i="6" s="1"/>
  <c r="A193" i="5"/>
  <c r="A193" i="6" s="1"/>
  <c r="C192" i="5"/>
  <c r="C192" i="6" s="1"/>
  <c r="P192" i="6" s="1"/>
  <c r="A192" i="5"/>
  <c r="B192" i="5" s="1"/>
  <c r="B192" i="6" s="1"/>
  <c r="C191" i="5"/>
  <c r="A191" i="5"/>
  <c r="B191" i="5" s="1"/>
  <c r="B191" i="6" s="1"/>
  <c r="C190" i="5"/>
  <c r="C190" i="6" s="1"/>
  <c r="P190" i="6" s="1"/>
  <c r="A190" i="5"/>
  <c r="C189" i="5"/>
  <c r="D189" i="5" s="1"/>
  <c r="D189" i="6" s="1"/>
  <c r="A189" i="5"/>
  <c r="C188" i="5"/>
  <c r="A188" i="5"/>
  <c r="L188" i="5" s="1"/>
  <c r="K188" i="6" s="1"/>
  <c r="C187" i="5"/>
  <c r="A187" i="5"/>
  <c r="A187" i="6" s="1"/>
  <c r="C186" i="5"/>
  <c r="A186" i="5"/>
  <c r="F186" i="5" s="1"/>
  <c r="C185" i="5"/>
  <c r="C185" i="6" s="1"/>
  <c r="P185" i="6" s="1"/>
  <c r="A185" i="5"/>
  <c r="L185" i="5" s="1"/>
  <c r="K185" i="6" s="1"/>
  <c r="C184" i="5"/>
  <c r="A184" i="5"/>
  <c r="M184" i="5" s="1"/>
  <c r="C183" i="5"/>
  <c r="C183" i="6" s="1"/>
  <c r="P183" i="6" s="1"/>
  <c r="A183" i="5"/>
  <c r="C182" i="5"/>
  <c r="A182" i="5"/>
  <c r="C181" i="5"/>
  <c r="G181" i="5" s="1"/>
  <c r="A181" i="5"/>
  <c r="C180" i="5"/>
  <c r="A180" i="5"/>
  <c r="F180" i="5" s="1"/>
  <c r="C179" i="5"/>
  <c r="E179" i="5" s="1"/>
  <c r="E179" i="6" s="1"/>
  <c r="A179" i="5"/>
  <c r="L179" i="5" s="1"/>
  <c r="K179" i="6" s="1"/>
  <c r="C178" i="5"/>
  <c r="A178" i="5"/>
  <c r="F178" i="5" s="1"/>
  <c r="C177" i="5"/>
  <c r="G177" i="5" s="1"/>
  <c r="A177" i="5"/>
  <c r="M177" i="5" s="1"/>
  <c r="J177" i="6" s="1"/>
  <c r="C176" i="5"/>
  <c r="C176" i="6" s="1"/>
  <c r="P176" i="6" s="1"/>
  <c r="A176" i="5"/>
  <c r="C175" i="5"/>
  <c r="A175" i="5"/>
  <c r="F175" i="5" s="1"/>
  <c r="C174" i="5"/>
  <c r="C174" i="6" s="1"/>
  <c r="P174" i="6" s="1"/>
  <c r="A174" i="5"/>
  <c r="A174" i="6" s="1"/>
  <c r="C173" i="5"/>
  <c r="G173" i="5" s="1"/>
  <c r="F173" i="6" s="1"/>
  <c r="N173" i="6" s="1"/>
  <c r="O173" i="6" s="1"/>
  <c r="A173" i="5"/>
  <c r="F173" i="5" s="1"/>
  <c r="C172" i="5"/>
  <c r="A172" i="5"/>
  <c r="C171" i="5"/>
  <c r="A171" i="5"/>
  <c r="A171" i="6" s="1"/>
  <c r="C170" i="5"/>
  <c r="A170" i="5"/>
  <c r="C169" i="5"/>
  <c r="C169" i="6" s="1"/>
  <c r="P169" i="6" s="1"/>
  <c r="A169" i="5"/>
  <c r="A169" i="6" s="1"/>
  <c r="C168" i="5"/>
  <c r="A168" i="5"/>
  <c r="B168" i="5" s="1"/>
  <c r="B168" i="6" s="1"/>
  <c r="C167" i="5"/>
  <c r="C167" i="6" s="1"/>
  <c r="P167" i="6" s="1"/>
  <c r="A167" i="5"/>
  <c r="C166" i="5"/>
  <c r="A166" i="5"/>
  <c r="M166" i="5" s="1"/>
  <c r="J166" i="6" s="1"/>
  <c r="C165" i="5"/>
  <c r="A165" i="5"/>
  <c r="C164" i="5"/>
  <c r="E164" i="5" s="1"/>
  <c r="E164" i="6" s="1"/>
  <c r="A164" i="5"/>
  <c r="F164" i="5" s="1"/>
  <c r="C163" i="5"/>
  <c r="D163" i="5" s="1"/>
  <c r="D163" i="6" s="1"/>
  <c r="A163" i="5"/>
  <c r="A163" i="6" s="1"/>
  <c r="C162" i="5"/>
  <c r="E162" i="5" s="1"/>
  <c r="E162" i="6" s="1"/>
  <c r="A162" i="5"/>
  <c r="F162" i="5" s="1"/>
  <c r="C161" i="5"/>
  <c r="C161" i="6" s="1"/>
  <c r="P161" i="6" s="1"/>
  <c r="A161" i="5"/>
  <c r="L161" i="5" s="1"/>
  <c r="K161" i="6" s="1"/>
  <c r="C160" i="5"/>
  <c r="A160" i="5"/>
  <c r="L160" i="5" s="1"/>
  <c r="K160" i="6" s="1"/>
  <c r="C159" i="5"/>
  <c r="C159" i="6" s="1"/>
  <c r="P159" i="6" s="1"/>
  <c r="A159" i="5"/>
  <c r="C158" i="5"/>
  <c r="C158" i="6" s="1"/>
  <c r="P158" i="6" s="1"/>
  <c r="A158" i="5"/>
  <c r="A158" i="6" s="1"/>
  <c r="C157" i="5"/>
  <c r="A157" i="5"/>
  <c r="F157" i="5" s="1"/>
  <c r="C156" i="5"/>
  <c r="C156" i="6" s="1"/>
  <c r="P156" i="6" s="1"/>
  <c r="A156" i="5"/>
  <c r="F156" i="5" s="1"/>
  <c r="C155" i="5"/>
  <c r="E155" i="5" s="1"/>
  <c r="E155" i="6" s="1"/>
  <c r="A155" i="5"/>
  <c r="C154" i="5"/>
  <c r="E154" i="5" s="1"/>
  <c r="E154" i="6" s="1"/>
  <c r="A154" i="5"/>
  <c r="C153" i="5"/>
  <c r="A153" i="5"/>
  <c r="M153" i="5" s="1"/>
  <c r="J153" i="6" s="1"/>
  <c r="C152" i="5"/>
  <c r="C152" i="6" s="1"/>
  <c r="P152" i="6" s="1"/>
  <c r="A152" i="5"/>
  <c r="C151" i="5"/>
  <c r="A151" i="5"/>
  <c r="M151" i="5" s="1"/>
  <c r="J151" i="6" s="1"/>
  <c r="C150" i="5"/>
  <c r="D150" i="5" s="1"/>
  <c r="D150" i="6" s="1"/>
  <c r="A150" i="5"/>
  <c r="A150" i="6" s="1"/>
  <c r="C149" i="5"/>
  <c r="D149" i="5" s="1"/>
  <c r="D149" i="6" s="1"/>
  <c r="A149" i="5"/>
  <c r="L149" i="5" s="1"/>
  <c r="K149" i="6" s="1"/>
  <c r="C148" i="5"/>
  <c r="C148" i="6" s="1"/>
  <c r="P148" i="6" s="1"/>
  <c r="A148" i="5"/>
  <c r="M148" i="5" s="1"/>
  <c r="J148" i="6" s="1"/>
  <c r="C147" i="5"/>
  <c r="A147" i="5"/>
  <c r="C146" i="5"/>
  <c r="E146" i="5" s="1"/>
  <c r="E146" i="6" s="1"/>
  <c r="A146" i="5"/>
  <c r="C145" i="5"/>
  <c r="C145" i="6" s="1"/>
  <c r="P145" i="6" s="1"/>
  <c r="A145" i="5"/>
  <c r="B145" i="5" s="1"/>
  <c r="B145" i="6" s="1"/>
  <c r="C144" i="5"/>
  <c r="A144" i="5"/>
  <c r="C143" i="5"/>
  <c r="C143" i="6" s="1"/>
  <c r="P143" i="6" s="1"/>
  <c r="A143" i="5"/>
  <c r="M143" i="5" s="1"/>
  <c r="J143" i="6" s="1"/>
  <c r="C142" i="5"/>
  <c r="C142" i="6" s="1"/>
  <c r="P142" i="6" s="1"/>
  <c r="A142" i="5"/>
  <c r="A142" i="6" s="1"/>
  <c r="C141" i="5"/>
  <c r="D141" i="5" s="1"/>
  <c r="D141" i="6" s="1"/>
  <c r="A141" i="5"/>
  <c r="C140" i="5"/>
  <c r="C140" i="6" s="1"/>
  <c r="P140" i="6" s="1"/>
  <c r="A140" i="5"/>
  <c r="M140" i="5" s="1"/>
  <c r="J140" i="6" s="1"/>
  <c r="C139" i="5"/>
  <c r="A139" i="5"/>
  <c r="A139" i="6" s="1"/>
  <c r="C138" i="5"/>
  <c r="A138" i="5"/>
  <c r="F138" i="5" s="1"/>
  <c r="C137" i="5"/>
  <c r="C137" i="6" s="1"/>
  <c r="P137" i="6" s="1"/>
  <c r="A137" i="5"/>
  <c r="M137" i="5" s="1"/>
  <c r="J137" i="6" s="1"/>
  <c r="C136" i="5"/>
  <c r="C136" i="6" s="1"/>
  <c r="P136" i="6" s="1"/>
  <c r="A136" i="5"/>
  <c r="M136" i="5" s="1"/>
  <c r="J136" i="6" s="1"/>
  <c r="C135" i="5"/>
  <c r="C135" i="6" s="1"/>
  <c r="P135" i="6" s="1"/>
  <c r="A135" i="5"/>
  <c r="C134" i="5"/>
  <c r="C134" i="6" s="1"/>
  <c r="P134" i="6" s="1"/>
  <c r="A134" i="5"/>
  <c r="A134" i="6" s="1"/>
  <c r="C133" i="5"/>
  <c r="G133" i="5" s="1"/>
  <c r="F133" i="6" s="1"/>
  <c r="N133" i="6" s="1"/>
  <c r="O133" i="6" s="1"/>
  <c r="A133" i="5"/>
  <c r="C132" i="5"/>
  <c r="C132" i="6" s="1"/>
  <c r="P132" i="6" s="1"/>
  <c r="A132" i="5"/>
  <c r="L132" i="5" s="1"/>
  <c r="K132" i="6" s="1"/>
  <c r="C131" i="5"/>
  <c r="E131" i="5" s="1"/>
  <c r="E131" i="6" s="1"/>
  <c r="A131" i="5"/>
  <c r="A131" i="6" s="1"/>
  <c r="C130" i="5"/>
  <c r="A130" i="5"/>
  <c r="C129" i="5"/>
  <c r="E129" i="5" s="1"/>
  <c r="E129" i="6" s="1"/>
  <c r="A129" i="5"/>
  <c r="C128" i="5"/>
  <c r="C128" i="6" s="1"/>
  <c r="P128" i="6" s="1"/>
  <c r="A128" i="5"/>
  <c r="C127" i="5"/>
  <c r="E127" i="5" s="1"/>
  <c r="E127" i="6" s="1"/>
  <c r="A127" i="5"/>
  <c r="M127" i="5" s="1"/>
  <c r="J127" i="6" s="1"/>
  <c r="C126" i="5"/>
  <c r="C126" i="6" s="1"/>
  <c r="P126" i="6" s="1"/>
  <c r="A126" i="5"/>
  <c r="A126" i="6" s="1"/>
  <c r="C125" i="5"/>
  <c r="D125" i="5" s="1"/>
  <c r="D125" i="6" s="1"/>
  <c r="A125" i="5"/>
  <c r="F125" i="5" s="1"/>
  <c r="C124" i="5"/>
  <c r="C124" i="6" s="1"/>
  <c r="P124" i="6" s="1"/>
  <c r="A124" i="5"/>
  <c r="C123" i="5"/>
  <c r="A123" i="5"/>
  <c r="L123" i="5" s="1"/>
  <c r="K123" i="6" s="1"/>
  <c r="C122" i="5"/>
  <c r="G122" i="5" s="1"/>
  <c r="F122" i="6" s="1"/>
  <c r="N122" i="6" s="1"/>
  <c r="O122" i="6" s="1"/>
  <c r="A122" i="5"/>
  <c r="F122" i="5" s="1"/>
  <c r="C121" i="5"/>
  <c r="E121" i="5" s="1"/>
  <c r="E121" i="6" s="1"/>
  <c r="A121" i="5"/>
  <c r="A121" i="6" s="1"/>
  <c r="C120" i="5"/>
  <c r="C120" i="6" s="1"/>
  <c r="P120" i="6" s="1"/>
  <c r="A120" i="5"/>
  <c r="M120" i="5" s="1"/>
  <c r="J120" i="6" s="1"/>
  <c r="C119" i="5"/>
  <c r="D119" i="5" s="1"/>
  <c r="D119" i="6" s="1"/>
  <c r="A119" i="5"/>
  <c r="C118" i="5"/>
  <c r="C118" i="6" s="1"/>
  <c r="P118" i="6" s="1"/>
  <c r="A118" i="5"/>
  <c r="A118" i="6" s="1"/>
  <c r="C117" i="5"/>
  <c r="G117" i="5" s="1"/>
  <c r="I117" i="5" s="1"/>
  <c r="A117" i="5"/>
  <c r="C116" i="5"/>
  <c r="G116" i="5" s="1"/>
  <c r="A116" i="5"/>
  <c r="F116" i="5" s="1"/>
  <c r="C115" i="5"/>
  <c r="E115" i="5" s="1"/>
  <c r="E115" i="6" s="1"/>
  <c r="A115" i="5"/>
  <c r="A115" i="6" s="1"/>
  <c r="C114" i="5"/>
  <c r="A114" i="5"/>
  <c r="B114" i="5" s="1"/>
  <c r="B114" i="6" s="1"/>
  <c r="C113" i="5"/>
  <c r="C113" i="6" s="1"/>
  <c r="P113" i="6" s="1"/>
  <c r="A113" i="5"/>
  <c r="C112" i="5"/>
  <c r="C112" i="6" s="1"/>
  <c r="P112" i="6" s="1"/>
  <c r="A112" i="5"/>
  <c r="M112" i="5" s="1"/>
  <c r="J112" i="6" s="1"/>
  <c r="C111" i="5"/>
  <c r="A111" i="5"/>
  <c r="M111" i="5" s="1"/>
  <c r="J111" i="6" s="1"/>
  <c r="C110" i="5"/>
  <c r="C110" i="6" s="1"/>
  <c r="P110" i="6" s="1"/>
  <c r="A110" i="5"/>
  <c r="M110" i="5" s="1"/>
  <c r="J110" i="6" s="1"/>
  <c r="C109" i="5"/>
  <c r="A109" i="5"/>
  <c r="F109" i="5" s="1"/>
  <c r="C108" i="5"/>
  <c r="C108" i="6" s="1"/>
  <c r="P108" i="6" s="1"/>
  <c r="A108" i="5"/>
  <c r="F108" i="5" s="1"/>
  <c r="C107" i="5"/>
  <c r="E107" i="5" s="1"/>
  <c r="E107" i="6" s="1"/>
  <c r="A107" i="5"/>
  <c r="A107" i="6" s="1"/>
  <c r="C106" i="5"/>
  <c r="E106" i="5" s="1"/>
  <c r="E106" i="6" s="1"/>
  <c r="A106" i="5"/>
  <c r="C105" i="5"/>
  <c r="C105" i="6" s="1"/>
  <c r="P105" i="6" s="1"/>
  <c r="A105" i="5"/>
  <c r="L105" i="5" s="1"/>
  <c r="K105" i="6" s="1"/>
  <c r="C104" i="5"/>
  <c r="D104" i="5" s="1"/>
  <c r="D104" i="6" s="1"/>
  <c r="A104" i="5"/>
  <c r="C103" i="5"/>
  <c r="D103" i="5" s="1"/>
  <c r="D103" i="6" s="1"/>
  <c r="A103" i="5"/>
  <c r="F103" i="5" s="1"/>
  <c r="C102" i="5"/>
  <c r="C102" i="6" s="1"/>
  <c r="P102" i="6" s="1"/>
  <c r="A102" i="5"/>
  <c r="M102" i="5" s="1"/>
  <c r="J102" i="6" s="1"/>
  <c r="C101" i="5"/>
  <c r="A101" i="5"/>
  <c r="F101" i="5" s="1"/>
  <c r="C100" i="5"/>
  <c r="C100" i="6" s="1"/>
  <c r="P100" i="6" s="1"/>
  <c r="A100" i="5"/>
  <c r="C99" i="5"/>
  <c r="C99" i="6" s="1"/>
  <c r="P99" i="6" s="1"/>
  <c r="A99" i="5"/>
  <c r="L99" i="5" s="1"/>
  <c r="K99" i="6" s="1"/>
  <c r="C98" i="5"/>
  <c r="C98" i="6" s="1"/>
  <c r="P98" i="6" s="1"/>
  <c r="A98" i="5"/>
  <c r="A98" i="6" s="1"/>
  <c r="C97" i="5"/>
  <c r="C97" i="6" s="1"/>
  <c r="P97" i="6" s="1"/>
  <c r="A97" i="5"/>
  <c r="C96" i="5"/>
  <c r="C96" i="6" s="1"/>
  <c r="P96" i="6" s="1"/>
  <c r="A96" i="5"/>
  <c r="C95" i="5"/>
  <c r="A95" i="5"/>
  <c r="A95" i="6" s="1"/>
  <c r="C94" i="5"/>
  <c r="E94" i="5" s="1"/>
  <c r="E94" i="6" s="1"/>
  <c r="A94" i="5"/>
  <c r="A94" i="6" s="1"/>
  <c r="C93" i="5"/>
  <c r="A93" i="5"/>
  <c r="A93" i="6" s="1"/>
  <c r="C92" i="5"/>
  <c r="C92" i="6" s="1"/>
  <c r="P92" i="6" s="1"/>
  <c r="A92" i="5"/>
  <c r="A92" i="6" s="1"/>
  <c r="C91" i="5"/>
  <c r="C91" i="6" s="1"/>
  <c r="P91" i="6" s="1"/>
  <c r="A91" i="5"/>
  <c r="A91" i="6" s="1"/>
  <c r="C90" i="5"/>
  <c r="C90" i="6" s="1"/>
  <c r="P90" i="6" s="1"/>
  <c r="A90" i="5"/>
  <c r="A90" i="6" s="1"/>
  <c r="C89" i="5"/>
  <c r="C89" i="6" s="1"/>
  <c r="P89" i="6" s="1"/>
  <c r="A89" i="5"/>
  <c r="B89" i="5" s="1"/>
  <c r="B89" i="6" s="1"/>
  <c r="C88" i="5"/>
  <c r="C88" i="6" s="1"/>
  <c r="P88" i="6" s="1"/>
  <c r="A88" i="5"/>
  <c r="A88" i="6" s="1"/>
  <c r="C87" i="5"/>
  <c r="A87" i="5"/>
  <c r="A87" i="6" s="1"/>
  <c r="C86" i="5"/>
  <c r="C86" i="6" s="1"/>
  <c r="P86" i="6" s="1"/>
  <c r="A86" i="5"/>
  <c r="C85" i="5"/>
  <c r="C85" i="6" s="1"/>
  <c r="P85" i="6" s="1"/>
  <c r="A85" i="5"/>
  <c r="A85" i="6" s="1"/>
  <c r="C84" i="5"/>
  <c r="C84" i="6" s="1"/>
  <c r="P84" i="6" s="1"/>
  <c r="A84" i="5"/>
  <c r="A84" i="6" s="1"/>
  <c r="C83" i="5"/>
  <c r="C83" i="6" s="1"/>
  <c r="P83" i="6" s="1"/>
  <c r="A83" i="5"/>
  <c r="A83" i="6" s="1"/>
  <c r="C82" i="5"/>
  <c r="C82" i="6" s="1"/>
  <c r="P82" i="6" s="1"/>
  <c r="A82" i="5"/>
  <c r="A82" i="6" s="1"/>
  <c r="C81" i="5"/>
  <c r="C81" i="6" s="1"/>
  <c r="P81" i="6" s="1"/>
  <c r="A81" i="5"/>
  <c r="B81" i="5" s="1"/>
  <c r="B81" i="6" s="1"/>
  <c r="C80" i="5"/>
  <c r="C80" i="6" s="1"/>
  <c r="P80" i="6" s="1"/>
  <c r="A80" i="5"/>
  <c r="A80" i="6" s="1"/>
  <c r="C79" i="5"/>
  <c r="E79" i="5" s="1"/>
  <c r="E79" i="6" s="1"/>
  <c r="A79" i="5"/>
  <c r="A79" i="6" s="1"/>
  <c r="C78" i="5"/>
  <c r="C78" i="6" s="1"/>
  <c r="P78" i="6" s="1"/>
  <c r="A78" i="5"/>
  <c r="A78" i="6" s="1"/>
  <c r="C77" i="5"/>
  <c r="C77" i="6" s="1"/>
  <c r="P77" i="6" s="1"/>
  <c r="A77" i="5"/>
  <c r="A77" i="6" s="1"/>
  <c r="C76" i="5"/>
  <c r="C76" i="6" s="1"/>
  <c r="P76" i="6" s="1"/>
  <c r="A76" i="5"/>
  <c r="C75" i="5"/>
  <c r="C75" i="6" s="1"/>
  <c r="P75" i="6" s="1"/>
  <c r="A75" i="5"/>
  <c r="A75" i="6" s="1"/>
  <c r="C74" i="5"/>
  <c r="C74" i="6" s="1"/>
  <c r="P74" i="6" s="1"/>
  <c r="A74" i="5"/>
  <c r="A74" i="6" s="1"/>
  <c r="C73" i="5"/>
  <c r="C73" i="6" s="1"/>
  <c r="P73" i="6" s="1"/>
  <c r="A73" i="5"/>
  <c r="A73" i="6" s="1"/>
  <c r="C72" i="5"/>
  <c r="C72" i="6" s="1"/>
  <c r="P72" i="6" s="1"/>
  <c r="A72" i="5"/>
  <c r="F72" i="5" s="1"/>
  <c r="C71" i="5"/>
  <c r="C71" i="6" s="1"/>
  <c r="P71" i="6" s="1"/>
  <c r="A71" i="5"/>
  <c r="B71" i="5" s="1"/>
  <c r="B71" i="6" s="1"/>
  <c r="C70" i="5"/>
  <c r="C70" i="6" s="1"/>
  <c r="P70" i="6" s="1"/>
  <c r="A70" i="5"/>
  <c r="C69" i="5"/>
  <c r="D69" i="5" s="1"/>
  <c r="D69" i="6" s="1"/>
  <c r="A69" i="5"/>
  <c r="A69" i="6" s="1"/>
  <c r="C68" i="5"/>
  <c r="C68" i="6" s="1"/>
  <c r="P68" i="6" s="1"/>
  <c r="A68" i="5"/>
  <c r="A68" i="6" s="1"/>
  <c r="C67" i="5"/>
  <c r="C67" i="6" s="1"/>
  <c r="P67" i="6" s="1"/>
  <c r="A67" i="5"/>
  <c r="C66" i="5"/>
  <c r="C66" i="6" s="1"/>
  <c r="P66" i="6" s="1"/>
  <c r="A66" i="5"/>
  <c r="A66" i="6" s="1"/>
  <c r="C65" i="5"/>
  <c r="C65" i="6" s="1"/>
  <c r="P65" i="6" s="1"/>
  <c r="A65" i="5"/>
  <c r="F65" i="5" s="1"/>
  <c r="C64" i="5"/>
  <c r="C64" i="6" s="1"/>
  <c r="P64" i="6" s="1"/>
  <c r="A64" i="5"/>
  <c r="C63" i="5"/>
  <c r="E63" i="5" s="1"/>
  <c r="E63" i="6" s="1"/>
  <c r="A63" i="5"/>
  <c r="A63" i="6" s="1"/>
  <c r="C62" i="5"/>
  <c r="G62" i="5" s="1"/>
  <c r="F62" i="6" s="1"/>
  <c r="N62" i="6" s="1"/>
  <c r="O62" i="6" s="1"/>
  <c r="A62" i="5"/>
  <c r="C61" i="5"/>
  <c r="E61" i="5" s="1"/>
  <c r="E61" i="6" s="1"/>
  <c r="A61" i="5"/>
  <c r="A61" i="6" s="1"/>
  <c r="C60" i="5"/>
  <c r="C60" i="6" s="1"/>
  <c r="P60" i="6" s="1"/>
  <c r="A60" i="5"/>
  <c r="C59" i="5"/>
  <c r="C59" i="6" s="1"/>
  <c r="P59" i="6" s="1"/>
  <c r="A59" i="5"/>
  <c r="C58" i="5"/>
  <c r="A58" i="5"/>
  <c r="A58" i="6" s="1"/>
  <c r="C57" i="5"/>
  <c r="C57" i="6" s="1"/>
  <c r="P57" i="6" s="1"/>
  <c r="A57" i="5"/>
  <c r="C56" i="5"/>
  <c r="C56" i="6" s="1"/>
  <c r="P56" i="6" s="1"/>
  <c r="A56" i="5"/>
  <c r="L56" i="5" s="1"/>
  <c r="K56" i="6" s="1"/>
  <c r="C55" i="5"/>
  <c r="G55" i="5" s="1"/>
  <c r="F55" i="6" s="1"/>
  <c r="N55" i="6" s="1"/>
  <c r="O55" i="6" s="1"/>
  <c r="A55" i="5"/>
  <c r="A55" i="6" s="1"/>
  <c r="C54" i="5"/>
  <c r="A54" i="5"/>
  <c r="C53" i="5"/>
  <c r="D53" i="5" s="1"/>
  <c r="D53" i="6" s="1"/>
  <c r="A53" i="5"/>
  <c r="A53" i="6" s="1"/>
  <c r="C52" i="5"/>
  <c r="C52" i="6" s="1"/>
  <c r="P52" i="6" s="1"/>
  <c r="A52" i="5"/>
  <c r="C51" i="5"/>
  <c r="C51" i="6" s="1"/>
  <c r="P51" i="6" s="1"/>
  <c r="A51" i="5"/>
  <c r="A51" i="6" s="1"/>
  <c r="C50" i="5"/>
  <c r="C50" i="6" s="1"/>
  <c r="P50" i="6" s="1"/>
  <c r="A50" i="5"/>
  <c r="A50" i="6" s="1"/>
  <c r="C49" i="5"/>
  <c r="A49" i="5"/>
  <c r="B49" i="5" s="1"/>
  <c r="B49" i="6" s="1"/>
  <c r="C48" i="5"/>
  <c r="C48" i="6" s="1"/>
  <c r="P48" i="6" s="1"/>
  <c r="A48" i="5"/>
  <c r="A48" i="6" s="1"/>
  <c r="C47" i="5"/>
  <c r="E47" i="5" s="1"/>
  <c r="E47" i="6" s="1"/>
  <c r="A47" i="5"/>
  <c r="C46" i="5"/>
  <c r="C46" i="6" s="1"/>
  <c r="P46" i="6" s="1"/>
  <c r="A46" i="5"/>
  <c r="A46" i="6" s="1"/>
  <c r="C45" i="5"/>
  <c r="D45" i="5" s="1"/>
  <c r="D45" i="6" s="1"/>
  <c r="A45" i="5"/>
  <c r="A45" i="6" s="1"/>
  <c r="C44" i="5"/>
  <c r="C44" i="6" s="1"/>
  <c r="P44" i="6" s="1"/>
  <c r="A44" i="5"/>
  <c r="A44" i="6" s="1"/>
  <c r="C43" i="5"/>
  <c r="C43" i="6" s="1"/>
  <c r="P43" i="6" s="1"/>
  <c r="A43" i="5"/>
  <c r="C42" i="5"/>
  <c r="C42" i="6" s="1"/>
  <c r="P42" i="6" s="1"/>
  <c r="A42" i="5"/>
  <c r="A42" i="6" s="1"/>
  <c r="C41" i="5"/>
  <c r="C41" i="6" s="1"/>
  <c r="P41" i="6" s="1"/>
  <c r="A41" i="5"/>
  <c r="A41" i="6" s="1"/>
  <c r="C40" i="5"/>
  <c r="C40" i="6" s="1"/>
  <c r="P40" i="6" s="1"/>
  <c r="A40" i="5"/>
  <c r="A40" i="6" s="1"/>
  <c r="C39" i="5"/>
  <c r="C39" i="6" s="1"/>
  <c r="P39" i="6" s="1"/>
  <c r="A39" i="5"/>
  <c r="A39" i="6" s="1"/>
  <c r="C38" i="5"/>
  <c r="C38" i="6" s="1"/>
  <c r="P38" i="6" s="1"/>
  <c r="A38" i="5"/>
  <c r="A38" i="6" s="1"/>
  <c r="C37" i="5"/>
  <c r="C37" i="6" s="1"/>
  <c r="P37" i="6" s="1"/>
  <c r="A37" i="5"/>
  <c r="A37" i="6" s="1"/>
  <c r="C36" i="5"/>
  <c r="C36" i="6" s="1"/>
  <c r="P36" i="6" s="1"/>
  <c r="A36" i="5"/>
  <c r="A36" i="6" s="1"/>
  <c r="C35" i="5"/>
  <c r="C35" i="6" s="1"/>
  <c r="P35" i="6" s="1"/>
  <c r="A35" i="5"/>
  <c r="A35" i="6" s="1"/>
  <c r="C34" i="5"/>
  <c r="C34" i="6" s="1"/>
  <c r="P34" i="6" s="1"/>
  <c r="A34" i="5"/>
  <c r="A34" i="6" s="1"/>
  <c r="C33" i="5"/>
  <c r="C33" i="6" s="1"/>
  <c r="P33" i="6" s="1"/>
  <c r="A33" i="5"/>
  <c r="C32" i="5"/>
  <c r="C32" i="6" s="1"/>
  <c r="P32" i="6" s="1"/>
  <c r="A32" i="5"/>
  <c r="A32" i="6" s="1"/>
  <c r="C31" i="5"/>
  <c r="C31" i="6" s="1"/>
  <c r="P31" i="6" s="1"/>
  <c r="A31" i="5"/>
  <c r="F31" i="5" s="1"/>
  <c r="C30" i="5"/>
  <c r="C30" i="6" s="1"/>
  <c r="P30" i="6" s="1"/>
  <c r="A30" i="5"/>
  <c r="A30" i="6" s="1"/>
  <c r="C29" i="5"/>
  <c r="C29" i="6" s="1"/>
  <c r="P29" i="6" s="1"/>
  <c r="A29" i="5"/>
  <c r="A29" i="6" s="1"/>
  <c r="C28" i="5"/>
  <c r="C28" i="6" s="1"/>
  <c r="P28" i="6" s="1"/>
  <c r="A28" i="5"/>
  <c r="A28" i="6" s="1"/>
  <c r="C27" i="5"/>
  <c r="C27" i="6" s="1"/>
  <c r="P27" i="6" s="1"/>
  <c r="A27" i="5"/>
  <c r="C26" i="5"/>
  <c r="C26" i="6" s="1"/>
  <c r="P26" i="6" s="1"/>
  <c r="A26" i="5"/>
  <c r="A26" i="6" s="1"/>
  <c r="C25" i="5"/>
  <c r="C25" i="6" s="1"/>
  <c r="P25" i="6" s="1"/>
  <c r="A25" i="5"/>
  <c r="A25" i="6" s="1"/>
  <c r="C24" i="5"/>
  <c r="C24" i="6" s="1"/>
  <c r="P24" i="6" s="1"/>
  <c r="A24" i="5"/>
  <c r="C23" i="5"/>
  <c r="C23" i="6" s="1"/>
  <c r="P23" i="6" s="1"/>
  <c r="A23" i="5"/>
  <c r="A23" i="6" s="1"/>
  <c r="C22" i="5"/>
  <c r="C22" i="6" s="1"/>
  <c r="P22" i="6" s="1"/>
  <c r="A22" i="5"/>
  <c r="A22" i="6" s="1"/>
  <c r="C21" i="5"/>
  <c r="C21" i="6" s="1"/>
  <c r="P21" i="6" s="1"/>
  <c r="A21" i="5"/>
  <c r="A21" i="6" s="1"/>
  <c r="C20" i="5"/>
  <c r="C20" i="6" s="1"/>
  <c r="P20" i="6" s="1"/>
  <c r="A20" i="5"/>
  <c r="A20" i="6" s="1"/>
  <c r="C19" i="5"/>
  <c r="C19" i="6" s="1"/>
  <c r="P19" i="6" s="1"/>
  <c r="A19" i="5"/>
  <c r="A19" i="6" s="1"/>
  <c r="C18" i="5"/>
  <c r="C18" i="6" s="1"/>
  <c r="P18" i="6" s="1"/>
  <c r="A18" i="5"/>
  <c r="A18" i="6" s="1"/>
  <c r="C17" i="5"/>
  <c r="C17" i="6" s="1"/>
  <c r="P17" i="6" s="1"/>
  <c r="A17" i="5"/>
  <c r="B17" i="5" s="1"/>
  <c r="B17" i="6" s="1"/>
  <c r="C16" i="5"/>
  <c r="C16" i="6" s="1"/>
  <c r="P16" i="6" s="1"/>
  <c r="A16" i="5"/>
  <c r="A16" i="6" s="1"/>
  <c r="C15" i="5"/>
  <c r="C15" i="6" s="1"/>
  <c r="P15" i="6" s="1"/>
  <c r="A15" i="5"/>
  <c r="A15" i="6" s="1"/>
  <c r="C14" i="5"/>
  <c r="C14" i="6" s="1"/>
  <c r="P14" i="6" s="1"/>
  <c r="A14" i="5"/>
  <c r="C13" i="5"/>
  <c r="C13" i="6" s="1"/>
  <c r="P13" i="6" s="1"/>
  <c r="A13" i="5"/>
  <c r="A13" i="6" s="1"/>
  <c r="C12" i="5"/>
  <c r="C12" i="6" s="1"/>
  <c r="P12" i="6" s="1"/>
  <c r="A12" i="5"/>
  <c r="C11" i="5"/>
  <c r="C11" i="6" s="1"/>
  <c r="P11" i="6" s="1"/>
  <c r="A11" i="5"/>
  <c r="A11" i="6" s="1"/>
  <c r="C10" i="5"/>
  <c r="C10" i="6" s="1"/>
  <c r="P10" i="6" s="1"/>
  <c r="A10" i="5"/>
  <c r="A10" i="6" s="1"/>
  <c r="C9" i="5"/>
  <c r="C9" i="6" s="1"/>
  <c r="P9" i="6" s="1"/>
  <c r="A9" i="5"/>
  <c r="A9" i="6" s="1"/>
  <c r="C8" i="5"/>
  <c r="C8" i="6" s="1"/>
  <c r="P8" i="6" s="1"/>
  <c r="A8" i="5"/>
  <c r="A8" i="6" s="1"/>
  <c r="C7" i="5"/>
  <c r="C7" i="6" s="1"/>
  <c r="P7" i="6" s="1"/>
  <c r="A7" i="5"/>
  <c r="A7" i="6" s="1"/>
  <c r="C6" i="5"/>
  <c r="C6" i="6" s="1"/>
  <c r="P6" i="6" s="1"/>
  <c r="A6" i="5"/>
  <c r="A6" i="6" s="1"/>
  <c r="C5" i="5"/>
  <c r="C5" i="6" s="1"/>
  <c r="P5" i="6" s="1"/>
  <c r="A5" i="5"/>
  <c r="A5" i="6" s="1"/>
  <c r="C4" i="5"/>
  <c r="A4" i="5"/>
  <c r="A4" i="6" s="1"/>
  <c r="B327" i="5" l="1"/>
  <c r="B327" i="6" s="1"/>
  <c r="B446" i="5"/>
  <c r="B446" i="6" s="1"/>
  <c r="M428" i="5"/>
  <c r="J428" i="6" s="1"/>
  <c r="M293" i="5"/>
  <c r="J293" i="6" s="1"/>
  <c r="B308" i="5"/>
  <c r="B308" i="6" s="1"/>
  <c r="D298" i="5"/>
  <c r="D298" i="6" s="1"/>
  <c r="B227" i="5"/>
  <c r="B227" i="6" s="1"/>
  <c r="E25" i="5"/>
  <c r="E25" i="6" s="1"/>
  <c r="B275" i="5"/>
  <c r="B275" i="6" s="1"/>
  <c r="L92" i="5"/>
  <c r="K92" i="6" s="1"/>
  <c r="E82" i="5"/>
  <c r="E82" i="6" s="1"/>
  <c r="B418" i="5"/>
  <c r="B418" i="6" s="1"/>
  <c r="G158" i="5"/>
  <c r="I158" i="5" s="1"/>
  <c r="E314" i="5"/>
  <c r="E314" i="6" s="1"/>
  <c r="F345" i="5"/>
  <c r="G501" i="5"/>
  <c r="F501" i="6" s="1"/>
  <c r="N501" i="6" s="1"/>
  <c r="O501" i="6" s="1"/>
  <c r="D616" i="5"/>
  <c r="D616" i="6" s="1"/>
  <c r="L178" i="5"/>
  <c r="K178" i="6" s="1"/>
  <c r="D361" i="5"/>
  <c r="D361" i="6" s="1"/>
  <c r="B621" i="5"/>
  <c r="B621" i="6" s="1"/>
  <c r="B535" i="5"/>
  <c r="B535" i="6" s="1"/>
  <c r="F149" i="5"/>
  <c r="B421" i="5"/>
  <c r="B421" i="6" s="1"/>
  <c r="M95" i="5"/>
  <c r="J95" i="6" s="1"/>
  <c r="F337" i="5"/>
  <c r="B158" i="5"/>
  <c r="B158" i="6" s="1"/>
  <c r="B301" i="5"/>
  <c r="B301" i="6" s="1"/>
  <c r="B415" i="5"/>
  <c r="B415" i="6" s="1"/>
  <c r="B437" i="5"/>
  <c r="B437" i="6" s="1"/>
  <c r="E482" i="5"/>
  <c r="E482" i="6" s="1"/>
  <c r="E74" i="5"/>
  <c r="E74" i="6" s="1"/>
  <c r="F275" i="5"/>
  <c r="F455" i="5"/>
  <c r="E572" i="5"/>
  <c r="E572" i="6" s="1"/>
  <c r="M575" i="5"/>
  <c r="J575" i="6" s="1"/>
  <c r="G618" i="5"/>
  <c r="M8" i="5"/>
  <c r="J8" i="6" s="1"/>
  <c r="S8" i="6" s="1"/>
  <c r="M331" i="5"/>
  <c r="L437" i="5"/>
  <c r="K437" i="6" s="1"/>
  <c r="D565" i="5"/>
  <c r="D565" i="6" s="1"/>
  <c r="M121" i="5"/>
  <c r="J121" i="6" s="1"/>
  <c r="E152" i="5"/>
  <c r="E152" i="6" s="1"/>
  <c r="L389" i="5"/>
  <c r="K389" i="6" s="1"/>
  <c r="B543" i="5"/>
  <c r="E183" i="5"/>
  <c r="E183" i="6" s="1"/>
  <c r="L347" i="5"/>
  <c r="K347" i="6" s="1"/>
  <c r="F555" i="5"/>
  <c r="L558" i="5"/>
  <c r="K558" i="6" s="1"/>
  <c r="M91" i="5"/>
  <c r="J91" i="6" s="1"/>
  <c r="M94" i="5"/>
  <c r="J94" i="6" s="1"/>
  <c r="F191" i="5"/>
  <c r="F233" i="5"/>
  <c r="M281" i="5"/>
  <c r="J281" i="6" s="1"/>
  <c r="M377" i="5"/>
  <c r="J377" i="6" s="1"/>
  <c r="M555" i="5"/>
  <c r="J555" i="6" s="1"/>
  <c r="B178" i="5"/>
  <c r="B178" i="6" s="1"/>
  <c r="L233" i="5"/>
  <c r="K233" i="6" s="1"/>
  <c r="T290" i="6"/>
  <c r="B401" i="5"/>
  <c r="B401" i="6" s="1"/>
  <c r="E352" i="5"/>
  <c r="E352" i="6" s="1"/>
  <c r="B375" i="5"/>
  <c r="B375" i="6" s="1"/>
  <c r="E593" i="5"/>
  <c r="E593" i="6" s="1"/>
  <c r="D159" i="5"/>
  <c r="D159" i="6" s="1"/>
  <c r="F269" i="5"/>
  <c r="D297" i="5"/>
  <c r="D297" i="6" s="1"/>
  <c r="E336" i="5"/>
  <c r="E336" i="6" s="1"/>
  <c r="F339" i="5"/>
  <c r="B417" i="5"/>
  <c r="B417" i="6" s="1"/>
  <c r="G40" i="5"/>
  <c r="F40" i="6" s="1"/>
  <c r="N40" i="6" s="1"/>
  <c r="O40" i="6" s="1"/>
  <c r="L157" i="5"/>
  <c r="K157" i="6" s="1"/>
  <c r="F212" i="5"/>
  <c r="G212" i="5" s="1"/>
  <c r="M269" i="5"/>
  <c r="J269" i="6" s="1"/>
  <c r="S269" i="6" s="1"/>
  <c r="T298" i="6"/>
  <c r="F304" i="5"/>
  <c r="M339" i="5"/>
  <c r="F48" i="5"/>
  <c r="G201" i="5"/>
  <c r="F201" i="6" s="1"/>
  <c r="N201" i="6" s="1"/>
  <c r="O201" i="6" s="1"/>
  <c r="T516" i="6"/>
  <c r="M46" i="5"/>
  <c r="M157" i="5"/>
  <c r="J157" i="6" s="1"/>
  <c r="D329" i="5"/>
  <c r="D329" i="6" s="1"/>
  <c r="B510" i="5"/>
  <c r="B510" i="6" s="1"/>
  <c r="D524" i="5"/>
  <c r="D524" i="6" s="1"/>
  <c r="E534" i="5"/>
  <c r="E534" i="6" s="1"/>
  <c r="E543" i="5"/>
  <c r="E543" i="6" s="1"/>
  <c r="D581" i="5"/>
  <c r="D581" i="6" s="1"/>
  <c r="T185" i="6"/>
  <c r="T243" i="6"/>
  <c r="S569" i="6"/>
  <c r="G581" i="5"/>
  <c r="F581" i="6" s="1"/>
  <c r="N581" i="6" s="1"/>
  <c r="O581" i="6" s="1"/>
  <c r="L601" i="5"/>
  <c r="K601" i="6" s="1"/>
  <c r="D70" i="5"/>
  <c r="D70" i="6" s="1"/>
  <c r="F80" i="5"/>
  <c r="D107" i="5"/>
  <c r="D107" i="6" s="1"/>
  <c r="M192" i="5"/>
  <c r="B211" i="5"/>
  <c r="B211" i="6" s="1"/>
  <c r="F213" i="5"/>
  <c r="G243" i="5"/>
  <c r="H243" i="5" s="1"/>
  <c r="D291" i="5"/>
  <c r="D291" i="6" s="1"/>
  <c r="E297" i="5"/>
  <c r="E297" i="6" s="1"/>
  <c r="G320" i="5"/>
  <c r="F320" i="6" s="1"/>
  <c r="N320" i="6" s="1"/>
  <c r="O320" i="6" s="1"/>
  <c r="D365" i="5"/>
  <c r="D365" i="6" s="1"/>
  <c r="F372" i="5"/>
  <c r="D375" i="5"/>
  <c r="D375" i="6" s="1"/>
  <c r="F404" i="5"/>
  <c r="B445" i="5"/>
  <c r="B445" i="6" s="1"/>
  <c r="F447" i="5"/>
  <c r="D525" i="5"/>
  <c r="D525" i="6" s="1"/>
  <c r="D532" i="5"/>
  <c r="D532" i="6" s="1"/>
  <c r="E585" i="5"/>
  <c r="E585" i="6" s="1"/>
  <c r="B609" i="5"/>
  <c r="B609" i="6" s="1"/>
  <c r="L622" i="5"/>
  <c r="K622" i="6" s="1"/>
  <c r="M115" i="5"/>
  <c r="J115" i="6" s="1"/>
  <c r="L169" i="5"/>
  <c r="K169" i="6" s="1"/>
  <c r="T169" i="6" s="1"/>
  <c r="B217" i="5"/>
  <c r="B217" i="6" s="1"/>
  <c r="F227" i="5"/>
  <c r="D241" i="5"/>
  <c r="D241" i="6" s="1"/>
  <c r="F288" i="5"/>
  <c r="G297" i="5"/>
  <c r="F297" i="6" s="1"/>
  <c r="N297" i="6" s="1"/>
  <c r="O297" i="6" s="1"/>
  <c r="B311" i="5"/>
  <c r="B311" i="6" s="1"/>
  <c r="M369" i="5"/>
  <c r="J369" i="6" s="1"/>
  <c r="S373" i="6"/>
  <c r="L390" i="5"/>
  <c r="K390" i="6" s="1"/>
  <c r="L401" i="5"/>
  <c r="K401" i="6" s="1"/>
  <c r="F415" i="5"/>
  <c r="M447" i="5"/>
  <c r="J447" i="6" s="1"/>
  <c r="B481" i="5"/>
  <c r="B481" i="6" s="1"/>
  <c r="G494" i="5"/>
  <c r="I494" i="5" s="1"/>
  <c r="D501" i="5"/>
  <c r="D501" i="6" s="1"/>
  <c r="B539" i="5"/>
  <c r="B539" i="6" s="1"/>
  <c r="L582" i="5"/>
  <c r="K582" i="6" s="1"/>
  <c r="F585" i="5"/>
  <c r="E592" i="5"/>
  <c r="E592" i="6" s="1"/>
  <c r="F595" i="5"/>
  <c r="D606" i="5"/>
  <c r="D606" i="6" s="1"/>
  <c r="B613" i="5"/>
  <c r="B613" i="6" s="1"/>
  <c r="M211" i="5"/>
  <c r="J211" i="6" s="1"/>
  <c r="F241" i="5"/>
  <c r="L445" i="5"/>
  <c r="K445" i="6" s="1"/>
  <c r="F559" i="5"/>
  <c r="E606" i="5"/>
  <c r="E606" i="6" s="1"/>
  <c r="L55" i="5"/>
  <c r="K55" i="6" s="1"/>
  <c r="E14" i="5"/>
  <c r="E14" i="6" s="1"/>
  <c r="F28" i="5"/>
  <c r="G39" i="5"/>
  <c r="F39" i="6" s="1"/>
  <c r="N39" i="6" s="1"/>
  <c r="O39" i="6" s="1"/>
  <c r="D46" i="5"/>
  <c r="D46" i="6" s="1"/>
  <c r="M78" i="5"/>
  <c r="J78" i="6" s="1"/>
  <c r="S78" i="6" s="1"/>
  <c r="F88" i="5"/>
  <c r="B102" i="5"/>
  <c r="B102" i="6" s="1"/>
  <c r="B174" i="5"/>
  <c r="B174" i="6" s="1"/>
  <c r="G183" i="5"/>
  <c r="I183" i="5" s="1"/>
  <c r="B187" i="5"/>
  <c r="B187" i="6" s="1"/>
  <c r="F193" i="5"/>
  <c r="E196" i="5"/>
  <c r="E196" i="6" s="1"/>
  <c r="G202" i="5"/>
  <c r="F202" i="6" s="1"/>
  <c r="N202" i="6" s="1"/>
  <c r="O202" i="6" s="1"/>
  <c r="F217" i="5"/>
  <c r="M241" i="5"/>
  <c r="J241" i="6" s="1"/>
  <c r="S241" i="6" s="1"/>
  <c r="F311" i="5"/>
  <c r="D318" i="5"/>
  <c r="D318" i="6" s="1"/>
  <c r="F331" i="5"/>
  <c r="L352" i="5"/>
  <c r="K352" i="6" s="1"/>
  <c r="S367" i="6"/>
  <c r="M409" i="5"/>
  <c r="J409" i="6" s="1"/>
  <c r="T456" i="6"/>
  <c r="E470" i="5"/>
  <c r="E470" i="6" s="1"/>
  <c r="F481" i="5"/>
  <c r="F539" i="5"/>
  <c r="L11" i="5"/>
  <c r="G14" i="5"/>
  <c r="J14" i="5" s="1"/>
  <c r="G14" i="6" s="1"/>
  <c r="H14" i="6" s="1"/>
  <c r="R14" i="6" s="1"/>
  <c r="L28" i="5"/>
  <c r="K28" i="6" s="1"/>
  <c r="T28" i="6" s="1"/>
  <c r="E46" i="5"/>
  <c r="E46" i="6" s="1"/>
  <c r="G193" i="5"/>
  <c r="J193" i="5" s="1"/>
  <c r="G193" i="6" s="1"/>
  <c r="F209" i="5"/>
  <c r="S510" i="6"/>
  <c r="B513" i="5"/>
  <c r="B513" i="6" s="1"/>
  <c r="B537" i="5"/>
  <c r="B537" i="6" s="1"/>
  <c r="L586" i="5"/>
  <c r="K586" i="6" s="1"/>
  <c r="G37" i="5"/>
  <c r="F37" i="6" s="1"/>
  <c r="N37" i="6" s="1"/>
  <c r="O37" i="6" s="1"/>
  <c r="B48" i="5"/>
  <c r="B48" i="6" s="1"/>
  <c r="L68" i="5"/>
  <c r="K68" i="6" s="1"/>
  <c r="T68" i="6" s="1"/>
  <c r="M79" i="5"/>
  <c r="J79" i="6" s="1"/>
  <c r="G96" i="5"/>
  <c r="F96" i="6" s="1"/>
  <c r="N96" i="6" s="1"/>
  <c r="O96" i="6" s="1"/>
  <c r="G102" i="5"/>
  <c r="J102" i="5" s="1"/>
  <c r="G102" i="6" s="1"/>
  <c r="H102" i="6" s="1"/>
  <c r="R102" i="6" s="1"/>
  <c r="E150" i="5"/>
  <c r="E150" i="6" s="1"/>
  <c r="D158" i="5"/>
  <c r="D158" i="6" s="1"/>
  <c r="G162" i="5"/>
  <c r="H162" i="5" s="1"/>
  <c r="B169" i="5"/>
  <c r="B169" i="6" s="1"/>
  <c r="F174" i="5"/>
  <c r="F187" i="5"/>
  <c r="D195" i="5"/>
  <c r="D195" i="6" s="1"/>
  <c r="D201" i="5"/>
  <c r="D201" i="6" s="1"/>
  <c r="D211" i="5"/>
  <c r="D211" i="6" s="1"/>
  <c r="D217" i="5"/>
  <c r="D217" i="6" s="1"/>
  <c r="M219" i="5"/>
  <c r="J219" i="6" s="1"/>
  <c r="L222" i="5"/>
  <c r="K222" i="6" s="1"/>
  <c r="E225" i="5"/>
  <c r="E225" i="6" s="1"/>
  <c r="E249" i="5"/>
  <c r="E249" i="6" s="1"/>
  <c r="B253" i="5"/>
  <c r="B253" i="6" s="1"/>
  <c r="M255" i="5"/>
  <c r="J255" i="6" s="1"/>
  <c r="L287" i="5"/>
  <c r="K287" i="6" s="1"/>
  <c r="D290" i="5"/>
  <c r="D290" i="6" s="1"/>
  <c r="B293" i="5"/>
  <c r="B293" i="6" s="1"/>
  <c r="E306" i="5"/>
  <c r="E306" i="6" s="1"/>
  <c r="E309" i="5"/>
  <c r="E309" i="6" s="1"/>
  <c r="E317" i="5"/>
  <c r="E317" i="6" s="1"/>
  <c r="B328" i="5"/>
  <c r="B328" i="6" s="1"/>
  <c r="M353" i="5"/>
  <c r="J353" i="6" s="1"/>
  <c r="B390" i="5"/>
  <c r="B390" i="6" s="1"/>
  <c r="G398" i="5"/>
  <c r="I398" i="5" s="1"/>
  <c r="G400" i="5"/>
  <c r="F400" i="6" s="1"/>
  <c r="N400" i="6" s="1"/>
  <c r="O400" i="6" s="1"/>
  <c r="E406" i="5"/>
  <c r="E406" i="6" s="1"/>
  <c r="M414" i="5"/>
  <c r="J414" i="6" s="1"/>
  <c r="F418" i="5"/>
  <c r="D421" i="5"/>
  <c r="D421" i="6" s="1"/>
  <c r="G433" i="5"/>
  <c r="J433" i="5" s="1"/>
  <c r="G433" i="6" s="1"/>
  <c r="H433" i="6" s="1"/>
  <c r="R433" i="6" s="1"/>
  <c r="M444" i="5"/>
  <c r="J444" i="6" s="1"/>
  <c r="S444" i="6" s="1"/>
  <c r="L446" i="5"/>
  <c r="K446" i="6" s="1"/>
  <c r="L448" i="5"/>
  <c r="K448" i="6" s="1"/>
  <c r="D451" i="5"/>
  <c r="D451" i="6" s="1"/>
  <c r="L454" i="5"/>
  <c r="K454" i="6" s="1"/>
  <c r="T454" i="6" s="1"/>
  <c r="D473" i="5"/>
  <c r="D473" i="6" s="1"/>
  <c r="B489" i="5"/>
  <c r="B489" i="6" s="1"/>
  <c r="F497" i="5"/>
  <c r="D510" i="5"/>
  <c r="D510" i="6" s="1"/>
  <c r="D513" i="5"/>
  <c r="D513" i="6" s="1"/>
  <c r="F516" i="5"/>
  <c r="D518" i="5"/>
  <c r="D518" i="6" s="1"/>
  <c r="G533" i="5"/>
  <c r="J533" i="5" s="1"/>
  <c r="G533" i="6" s="1"/>
  <c r="H533" i="6" s="1"/>
  <c r="R533" i="6" s="1"/>
  <c r="D537" i="5"/>
  <c r="D537" i="6" s="1"/>
  <c r="D543" i="5"/>
  <c r="D543" i="6" s="1"/>
  <c r="B559" i="5"/>
  <c r="B559" i="6" s="1"/>
  <c r="D577" i="5"/>
  <c r="D577" i="6" s="1"/>
  <c r="D613" i="5"/>
  <c r="D613" i="6" s="1"/>
  <c r="D618" i="5"/>
  <c r="D618" i="6" s="1"/>
  <c r="L19" i="5"/>
  <c r="G119" i="5"/>
  <c r="F119" i="6" s="1"/>
  <c r="N119" i="6" s="1"/>
  <c r="O119" i="6" s="1"/>
  <c r="L168" i="5"/>
  <c r="K168" i="6" s="1"/>
  <c r="G15" i="5"/>
  <c r="F15" i="6" s="1"/>
  <c r="N15" i="6" s="1"/>
  <c r="O15" i="6" s="1"/>
  <c r="M20" i="5"/>
  <c r="J20" i="6" s="1"/>
  <c r="S20" i="6" s="1"/>
  <c r="D14" i="5"/>
  <c r="D14" i="6" s="1"/>
  <c r="L15" i="5"/>
  <c r="F40" i="5"/>
  <c r="D62" i="5"/>
  <c r="D62" i="6" s="1"/>
  <c r="M68" i="5"/>
  <c r="J68" i="6" s="1"/>
  <c r="F73" i="5"/>
  <c r="L91" i="5"/>
  <c r="K91" i="6" s="1"/>
  <c r="T91" i="6" s="1"/>
  <c r="L102" i="5"/>
  <c r="K102" i="6" s="1"/>
  <c r="T102" i="6" s="1"/>
  <c r="B115" i="5"/>
  <c r="B115" i="6" s="1"/>
  <c r="B157" i="5"/>
  <c r="B157" i="6" s="1"/>
  <c r="F158" i="5"/>
  <c r="L166" i="5"/>
  <c r="K166" i="6" s="1"/>
  <c r="M174" i="5"/>
  <c r="J174" i="6" s="1"/>
  <c r="D183" i="5"/>
  <c r="D183" i="6" s="1"/>
  <c r="D185" i="5"/>
  <c r="D185" i="6" s="1"/>
  <c r="D193" i="5"/>
  <c r="D193" i="6" s="1"/>
  <c r="E201" i="5"/>
  <c r="E201" i="6" s="1"/>
  <c r="L206" i="5"/>
  <c r="K206" i="6" s="1"/>
  <c r="F211" i="5"/>
  <c r="G211" i="5" s="1"/>
  <c r="B213" i="5"/>
  <c r="B213" i="6" s="1"/>
  <c r="E217" i="5"/>
  <c r="E217" i="6" s="1"/>
  <c r="M222" i="5"/>
  <c r="J222" i="6" s="1"/>
  <c r="B233" i="5"/>
  <c r="B233" i="6" s="1"/>
  <c r="M238" i="5"/>
  <c r="J238" i="6" s="1"/>
  <c r="D243" i="5"/>
  <c r="D243" i="6" s="1"/>
  <c r="S285" i="6"/>
  <c r="E290" i="5"/>
  <c r="E290" i="6" s="1"/>
  <c r="M317" i="5"/>
  <c r="J317" i="6" s="1"/>
  <c r="S317" i="6" s="1"/>
  <c r="L358" i="5"/>
  <c r="K358" i="6" s="1"/>
  <c r="T358" i="6" s="1"/>
  <c r="L366" i="5"/>
  <c r="K366" i="6" s="1"/>
  <c r="F395" i="5"/>
  <c r="S404" i="6"/>
  <c r="F409" i="5"/>
  <c r="M460" i="5"/>
  <c r="J460" i="6" s="1"/>
  <c r="M486" i="5"/>
  <c r="J486" i="6" s="1"/>
  <c r="S486" i="6" s="1"/>
  <c r="L492" i="5"/>
  <c r="K492" i="6" s="1"/>
  <c r="F513" i="5"/>
  <c r="M518" i="5"/>
  <c r="J518" i="6" s="1"/>
  <c r="S518" i="6" s="1"/>
  <c r="F521" i="5"/>
  <c r="M535" i="5"/>
  <c r="J535" i="6" s="1"/>
  <c r="E577" i="5"/>
  <c r="E577" i="6" s="1"/>
  <c r="B595" i="5"/>
  <c r="B595" i="6" s="1"/>
  <c r="E607" i="5"/>
  <c r="E607" i="6" s="1"/>
  <c r="G613" i="5"/>
  <c r="H613" i="5" s="1"/>
  <c r="E618" i="5"/>
  <c r="E618" i="6" s="1"/>
  <c r="G38" i="5"/>
  <c r="F38" i="6" s="1"/>
  <c r="N38" i="6" s="1"/>
  <c r="O38" i="6" s="1"/>
  <c r="D86" i="5"/>
  <c r="D86" i="6" s="1"/>
  <c r="E124" i="5"/>
  <c r="E124" i="6" s="1"/>
  <c r="E151" i="5"/>
  <c r="E151" i="6" s="1"/>
  <c r="L158" i="5"/>
  <c r="K158" i="6" s="1"/>
  <c r="T158" i="6" s="1"/>
  <c r="G220" i="5"/>
  <c r="I220" i="5" s="1"/>
  <c r="B232" i="5"/>
  <c r="B232" i="6" s="1"/>
  <c r="B264" i="5"/>
  <c r="B264" i="6" s="1"/>
  <c r="B267" i="5"/>
  <c r="B267" i="6" s="1"/>
  <c r="D285" i="5"/>
  <c r="D285" i="6" s="1"/>
  <c r="B299" i="5"/>
  <c r="B299" i="6" s="1"/>
  <c r="G305" i="5"/>
  <c r="H305" i="5" s="1"/>
  <c r="I305" i="5" s="1"/>
  <c r="D313" i="5"/>
  <c r="D313" i="6" s="1"/>
  <c r="B321" i="5"/>
  <c r="B321" i="6" s="1"/>
  <c r="B367" i="5"/>
  <c r="B367" i="6" s="1"/>
  <c r="B394" i="5"/>
  <c r="B394" i="6" s="1"/>
  <c r="E399" i="5"/>
  <c r="E399" i="6" s="1"/>
  <c r="E434" i="5"/>
  <c r="E434" i="6" s="1"/>
  <c r="B459" i="5"/>
  <c r="B459" i="6" s="1"/>
  <c r="B517" i="5"/>
  <c r="B517" i="6" s="1"/>
  <c r="B536" i="5"/>
  <c r="B536" i="6" s="1"/>
  <c r="B571" i="5"/>
  <c r="B571" i="6" s="1"/>
  <c r="E590" i="5"/>
  <c r="E590" i="6" s="1"/>
  <c r="M63" i="5"/>
  <c r="L101" i="5"/>
  <c r="K101" i="6" s="1"/>
  <c r="M131" i="5"/>
  <c r="J131" i="6" s="1"/>
  <c r="F207" i="5"/>
  <c r="F323" i="5"/>
  <c r="L334" i="5"/>
  <c r="K334" i="6" s="1"/>
  <c r="M413" i="5"/>
  <c r="J413" i="6" s="1"/>
  <c r="F563" i="5"/>
  <c r="D569" i="5"/>
  <c r="D569" i="6" s="1"/>
  <c r="B576" i="5"/>
  <c r="B576" i="6" s="1"/>
  <c r="L595" i="5"/>
  <c r="K595" i="6" s="1"/>
  <c r="D614" i="5"/>
  <c r="D614" i="6" s="1"/>
  <c r="M6" i="5"/>
  <c r="J6" i="6" s="1"/>
  <c r="S6" i="6" s="1"/>
  <c r="F16" i="5"/>
  <c r="L44" i="5"/>
  <c r="K44" i="6" s="1"/>
  <c r="T44" i="6" s="1"/>
  <c r="G80" i="5"/>
  <c r="F80" i="6" s="1"/>
  <c r="N80" i="6" s="1"/>
  <c r="O80" i="6" s="1"/>
  <c r="E86" i="5"/>
  <c r="E86" i="6" s="1"/>
  <c r="M173" i="5"/>
  <c r="J173" i="6" s="1"/>
  <c r="E9" i="5"/>
  <c r="E9" i="6" s="1"/>
  <c r="B15" i="5"/>
  <c r="B15" i="6" s="1"/>
  <c r="M19" i="5"/>
  <c r="J19" i="6" s="1"/>
  <c r="S19" i="6" s="1"/>
  <c r="M36" i="5"/>
  <c r="J36" i="6" s="1"/>
  <c r="S36" i="6" s="1"/>
  <c r="G53" i="5"/>
  <c r="F53" i="6" s="1"/>
  <c r="N53" i="6" s="1"/>
  <c r="O53" i="6" s="1"/>
  <c r="S143" i="6"/>
  <c r="D230" i="5"/>
  <c r="D230" i="6" s="1"/>
  <c r="D232" i="5"/>
  <c r="D232" i="6" s="1"/>
  <c r="B255" i="5"/>
  <c r="B255" i="6" s="1"/>
  <c r="F267" i="5"/>
  <c r="G279" i="5"/>
  <c r="J279" i="5" s="1"/>
  <c r="G279" i="6" s="1"/>
  <c r="H279" i="6" s="1"/>
  <c r="I279" i="6" s="1"/>
  <c r="F299" i="5"/>
  <c r="B317" i="5"/>
  <c r="B317" i="6" s="1"/>
  <c r="E321" i="5"/>
  <c r="E321" i="6" s="1"/>
  <c r="D337" i="5"/>
  <c r="D337" i="6" s="1"/>
  <c r="D342" i="5"/>
  <c r="D342" i="6" s="1"/>
  <c r="B353" i="5"/>
  <c r="B353" i="6" s="1"/>
  <c r="B355" i="5"/>
  <c r="B355" i="6" s="1"/>
  <c r="D357" i="5"/>
  <c r="D357" i="6" s="1"/>
  <c r="E378" i="5"/>
  <c r="E378" i="6" s="1"/>
  <c r="F459" i="5"/>
  <c r="M485" i="5"/>
  <c r="J485" i="6" s="1"/>
  <c r="B497" i="5"/>
  <c r="B497" i="6" s="1"/>
  <c r="D502" i="5"/>
  <c r="D502" i="6" s="1"/>
  <c r="M517" i="5"/>
  <c r="J517" i="6" s="1"/>
  <c r="S517" i="6" s="1"/>
  <c r="M563" i="5"/>
  <c r="J563" i="6" s="1"/>
  <c r="F569" i="5"/>
  <c r="M619" i="5"/>
  <c r="L109" i="5"/>
  <c r="K109" i="6" s="1"/>
  <c r="F161" i="5"/>
  <c r="F4" i="5"/>
  <c r="M267" i="5"/>
  <c r="J267" i="6" s="1"/>
  <c r="M299" i="5"/>
  <c r="J299" i="6" s="1"/>
  <c r="F321" i="5"/>
  <c r="E357" i="5"/>
  <c r="E357" i="6" s="1"/>
  <c r="F435" i="5"/>
  <c r="L459" i="5"/>
  <c r="K459" i="6" s="1"/>
  <c r="L569" i="5"/>
  <c r="K569" i="6" s="1"/>
  <c r="T569" i="6" s="1"/>
  <c r="L571" i="5"/>
  <c r="K571" i="6" s="1"/>
  <c r="L4" i="5"/>
  <c r="E7" i="5"/>
  <c r="E7" i="6" s="1"/>
  <c r="F15" i="5"/>
  <c r="G23" i="5"/>
  <c r="F23" i="6" s="1"/>
  <c r="N23" i="6" s="1"/>
  <c r="O23" i="6" s="1"/>
  <c r="E42" i="5"/>
  <c r="E42" i="6" s="1"/>
  <c r="F68" i="5"/>
  <c r="E70" i="5"/>
  <c r="E70" i="6" s="1"/>
  <c r="M87" i="5"/>
  <c r="J87" i="6" s="1"/>
  <c r="E143" i="5"/>
  <c r="E143" i="6" s="1"/>
  <c r="M156" i="5"/>
  <c r="J156" i="6" s="1"/>
  <c r="S156" i="6" s="1"/>
  <c r="G159" i="5"/>
  <c r="F159" i="6" s="1"/>
  <c r="N159" i="6" s="1"/>
  <c r="O159" i="6" s="1"/>
  <c r="L171" i="5"/>
  <c r="K171" i="6" s="1"/>
  <c r="E190" i="5"/>
  <c r="E190" i="6" s="1"/>
  <c r="B193" i="5"/>
  <c r="B193" i="6" s="1"/>
  <c r="E208" i="5"/>
  <c r="E208" i="6" s="1"/>
  <c r="F219" i="5"/>
  <c r="F255" i="5"/>
  <c r="D265" i="5"/>
  <c r="D265" i="6" s="1"/>
  <c r="D317" i="5"/>
  <c r="D317" i="6" s="1"/>
  <c r="M321" i="5"/>
  <c r="J321" i="6" s="1"/>
  <c r="S321" i="6" s="1"/>
  <c r="L335" i="5"/>
  <c r="K335" i="6" s="1"/>
  <c r="F340" i="5"/>
  <c r="F353" i="5"/>
  <c r="E360" i="5"/>
  <c r="E360" i="6" s="1"/>
  <c r="B395" i="5"/>
  <c r="B395" i="6" s="1"/>
  <c r="D400" i="5"/>
  <c r="D400" i="6" s="1"/>
  <c r="B409" i="5"/>
  <c r="B409" i="6" s="1"/>
  <c r="F414" i="5"/>
  <c r="D433" i="5"/>
  <c r="D433" i="6" s="1"/>
  <c r="D497" i="5"/>
  <c r="D497" i="6" s="1"/>
  <c r="B521" i="5"/>
  <c r="B521" i="6" s="1"/>
  <c r="L545" i="5"/>
  <c r="K545" i="6" s="1"/>
  <c r="B553" i="5"/>
  <c r="B553" i="6" s="1"/>
  <c r="D567" i="5"/>
  <c r="D567" i="6" s="1"/>
  <c r="G596" i="5"/>
  <c r="I596" i="5" s="1"/>
  <c r="G615" i="5"/>
  <c r="F615" i="6" s="1"/>
  <c r="N615" i="6" s="1"/>
  <c r="O615" i="6" s="1"/>
  <c r="A33" i="6"/>
  <c r="B33" i="5"/>
  <c r="B33" i="6" s="1"/>
  <c r="C191" i="6"/>
  <c r="P191" i="6" s="1"/>
  <c r="D191" i="5"/>
  <c r="D191" i="6" s="1"/>
  <c r="C206" i="6"/>
  <c r="P206" i="6" s="1"/>
  <c r="E206" i="5"/>
  <c r="E206" i="6" s="1"/>
  <c r="C222" i="6"/>
  <c r="P222" i="6" s="1"/>
  <c r="G222" i="5"/>
  <c r="F222" i="6" s="1"/>
  <c r="N222" i="6" s="1"/>
  <c r="O222" i="6" s="1"/>
  <c r="E222" i="5"/>
  <c r="E222" i="6" s="1"/>
  <c r="C270" i="6"/>
  <c r="P270" i="6" s="1"/>
  <c r="T270" i="6" s="1"/>
  <c r="C289" i="6"/>
  <c r="P289" i="6" s="1"/>
  <c r="D289" i="5"/>
  <c r="D289" i="6" s="1"/>
  <c r="H314" i="5"/>
  <c r="I314" i="5"/>
  <c r="E372" i="5"/>
  <c r="E372" i="6" s="1"/>
  <c r="F616" i="5"/>
  <c r="B616" i="5"/>
  <c r="B616" i="6" s="1"/>
  <c r="L320" i="5"/>
  <c r="K320" i="6" s="1"/>
  <c r="B320" i="5"/>
  <c r="B320" i="6" s="1"/>
  <c r="G514" i="5"/>
  <c r="I514" i="5" s="1"/>
  <c r="E514" i="5"/>
  <c r="E514" i="6" s="1"/>
  <c r="A62" i="6"/>
  <c r="M62" i="5"/>
  <c r="A14" i="6"/>
  <c r="M14" i="5"/>
  <c r="J14" i="6" s="1"/>
  <c r="S14" i="6" s="1"/>
  <c r="A52" i="6"/>
  <c r="M52" i="5"/>
  <c r="L52" i="5"/>
  <c r="K52" i="6" s="1"/>
  <c r="T52" i="6" s="1"/>
  <c r="C58" i="6"/>
  <c r="P58" i="6" s="1"/>
  <c r="E58" i="5"/>
  <c r="E58" i="6" s="1"/>
  <c r="G121" i="5"/>
  <c r="J121" i="5" s="1"/>
  <c r="G121" i="6" s="1"/>
  <c r="H121" i="6" s="1"/>
  <c r="F167" i="5"/>
  <c r="M167" i="5"/>
  <c r="J167" i="6" s="1"/>
  <c r="S167" i="6" s="1"/>
  <c r="C180" i="6"/>
  <c r="P180" i="6" s="1"/>
  <c r="E180" i="5"/>
  <c r="E180" i="6" s="1"/>
  <c r="D180" i="5"/>
  <c r="D180" i="6" s="1"/>
  <c r="C209" i="6"/>
  <c r="P209" i="6" s="1"/>
  <c r="D209" i="5"/>
  <c r="D209" i="6" s="1"/>
  <c r="A259" i="6"/>
  <c r="M259" i="5"/>
  <c r="J259" i="6" s="1"/>
  <c r="L259" i="5"/>
  <c r="K259" i="6" s="1"/>
  <c r="F259" i="5"/>
  <c r="B259" i="5"/>
  <c r="B259" i="6" s="1"/>
  <c r="M271" i="5"/>
  <c r="J271" i="6" s="1"/>
  <c r="F271" i="5"/>
  <c r="B271" i="5"/>
  <c r="B271" i="6" s="1"/>
  <c r="F280" i="5"/>
  <c r="B280" i="5"/>
  <c r="B280" i="6" s="1"/>
  <c r="A303" i="6"/>
  <c r="M303" i="5"/>
  <c r="J303" i="6" s="1"/>
  <c r="F303" i="5"/>
  <c r="B303" i="5"/>
  <c r="B303" i="6" s="1"/>
  <c r="L360" i="5"/>
  <c r="K360" i="6" s="1"/>
  <c r="B360" i="5"/>
  <c r="B360" i="6" s="1"/>
  <c r="E370" i="5"/>
  <c r="E370" i="6" s="1"/>
  <c r="A590" i="6"/>
  <c r="L590" i="5"/>
  <c r="K590" i="6" s="1"/>
  <c r="C601" i="6"/>
  <c r="P601" i="6" s="1"/>
  <c r="D601" i="5"/>
  <c r="D601" i="6" s="1"/>
  <c r="E601" i="5"/>
  <c r="E601" i="6" s="1"/>
  <c r="A24" i="6"/>
  <c r="L24" i="5"/>
  <c r="K24" i="6" s="1"/>
  <c r="T24" i="6" s="1"/>
  <c r="F52" i="5"/>
  <c r="A81" i="6"/>
  <c r="L81" i="5"/>
  <c r="K81" i="6" s="1"/>
  <c r="M104" i="5"/>
  <c r="J104" i="6" s="1"/>
  <c r="L104" i="5"/>
  <c r="K104" i="6" s="1"/>
  <c r="B104" i="5"/>
  <c r="B104" i="6" s="1"/>
  <c r="A110" i="6"/>
  <c r="L110" i="5"/>
  <c r="K110" i="6" s="1"/>
  <c r="T110" i="6" s="1"/>
  <c r="F110" i="5"/>
  <c r="B110" i="5"/>
  <c r="B110" i="6" s="1"/>
  <c r="M135" i="5"/>
  <c r="J135" i="6" s="1"/>
  <c r="S135" i="6" s="1"/>
  <c r="B135" i="5"/>
  <c r="B135" i="6" s="1"/>
  <c r="M176" i="5"/>
  <c r="J176" i="6" s="1"/>
  <c r="S176" i="6" s="1"/>
  <c r="L176" i="5"/>
  <c r="K176" i="6" s="1"/>
  <c r="T176" i="6" s="1"/>
  <c r="B176" i="5"/>
  <c r="B176" i="6" s="1"/>
  <c r="L263" i="5"/>
  <c r="K263" i="6" s="1"/>
  <c r="E300" i="5"/>
  <c r="E300" i="6" s="1"/>
  <c r="G300" i="5"/>
  <c r="J300" i="5" s="1"/>
  <c r="G300" i="6" s="1"/>
  <c r="H300" i="6" s="1"/>
  <c r="E420" i="5"/>
  <c r="E420" i="6" s="1"/>
  <c r="D420" i="5"/>
  <c r="D420" i="6" s="1"/>
  <c r="A475" i="6"/>
  <c r="L475" i="5"/>
  <c r="K475" i="6" s="1"/>
  <c r="F475" i="5"/>
  <c r="B475" i="5"/>
  <c r="B475" i="6" s="1"/>
  <c r="C584" i="6"/>
  <c r="P584" i="6" s="1"/>
  <c r="E584" i="5"/>
  <c r="E584" i="6" s="1"/>
  <c r="M593" i="5"/>
  <c r="J593" i="6" s="1"/>
  <c r="S593" i="6" s="1"/>
  <c r="L593" i="5"/>
  <c r="K593" i="6" s="1"/>
  <c r="G95" i="5"/>
  <c r="F95" i="6" s="1"/>
  <c r="N95" i="6" s="1"/>
  <c r="O95" i="6" s="1"/>
  <c r="D95" i="5"/>
  <c r="D95" i="6" s="1"/>
  <c r="M113" i="5"/>
  <c r="J113" i="6" s="1"/>
  <c r="S113" i="6" s="1"/>
  <c r="L113" i="5"/>
  <c r="K113" i="6" s="1"/>
  <c r="T113" i="6" s="1"/>
  <c r="B113" i="5"/>
  <c r="B113" i="6" s="1"/>
  <c r="B162" i="5"/>
  <c r="B162" i="6" s="1"/>
  <c r="L162" i="5"/>
  <c r="K162" i="6" s="1"/>
  <c r="L165" i="5"/>
  <c r="K165" i="6" s="1"/>
  <c r="F165" i="5"/>
  <c r="C168" i="6"/>
  <c r="P168" i="6" s="1"/>
  <c r="E168" i="5"/>
  <c r="E168" i="6" s="1"/>
  <c r="L190" i="5"/>
  <c r="K190" i="6" s="1"/>
  <c r="T190" i="6" s="1"/>
  <c r="F190" i="5"/>
  <c r="C223" i="6"/>
  <c r="P223" i="6" s="1"/>
  <c r="E223" i="5"/>
  <c r="E223" i="6" s="1"/>
  <c r="D239" i="5"/>
  <c r="D239" i="6" s="1"/>
  <c r="G239" i="5"/>
  <c r="H239" i="5" s="1"/>
  <c r="B400" i="5"/>
  <c r="B400" i="6" s="1"/>
  <c r="L400" i="5"/>
  <c r="K400" i="6" s="1"/>
  <c r="T400" i="6" s="1"/>
  <c r="M491" i="5"/>
  <c r="J491" i="6" s="1"/>
  <c r="B491" i="5"/>
  <c r="B491" i="6" s="1"/>
  <c r="C558" i="6"/>
  <c r="P558" i="6" s="1"/>
  <c r="D558" i="5"/>
  <c r="D558" i="6" s="1"/>
  <c r="A47" i="6"/>
  <c r="L47" i="5"/>
  <c r="K47" i="6" s="1"/>
  <c r="C49" i="6"/>
  <c r="P49" i="6" s="1"/>
  <c r="E49" i="5"/>
  <c r="E49" i="6" s="1"/>
  <c r="A60" i="6"/>
  <c r="M60" i="5"/>
  <c r="F60" i="5"/>
  <c r="G21" i="5"/>
  <c r="F21" i="6" s="1"/>
  <c r="N21" i="6" s="1"/>
  <c r="O21" i="6" s="1"/>
  <c r="L33" i="5"/>
  <c r="K33" i="6" s="1"/>
  <c r="T33" i="6" s="1"/>
  <c r="C45" i="6"/>
  <c r="P45" i="6" s="1"/>
  <c r="E45" i="5"/>
  <c r="E45" i="6" s="1"/>
  <c r="B47" i="5"/>
  <c r="B47" i="6" s="1"/>
  <c r="G63" i="5"/>
  <c r="F63" i="6" s="1"/>
  <c r="N63" i="6" s="1"/>
  <c r="O63" i="6" s="1"/>
  <c r="A67" i="6"/>
  <c r="M67" i="5"/>
  <c r="J67" i="6" s="1"/>
  <c r="S67" i="6" s="1"/>
  <c r="L67" i="5"/>
  <c r="K67" i="6" s="1"/>
  <c r="T67" i="6" s="1"/>
  <c r="D79" i="5"/>
  <c r="D79" i="6" s="1"/>
  <c r="F117" i="6"/>
  <c r="N117" i="6" s="1"/>
  <c r="O117" i="6" s="1"/>
  <c r="J117" i="5"/>
  <c r="G117" i="6" s="1"/>
  <c r="H117" i="6" s="1"/>
  <c r="C129" i="6"/>
  <c r="P129" i="6" s="1"/>
  <c r="D129" i="5"/>
  <c r="D129" i="6" s="1"/>
  <c r="D171" i="5"/>
  <c r="D171" i="6" s="1"/>
  <c r="E171" i="5"/>
  <c r="E171" i="6" s="1"/>
  <c r="B208" i="5"/>
  <c r="B208" i="6" s="1"/>
  <c r="M208" i="5"/>
  <c r="J208" i="6" s="1"/>
  <c r="S208" i="6" s="1"/>
  <c r="A224" i="6"/>
  <c r="B224" i="5"/>
  <c r="B224" i="6" s="1"/>
  <c r="C341" i="6"/>
  <c r="P341" i="6" s="1"/>
  <c r="D341" i="5"/>
  <c r="D341" i="6" s="1"/>
  <c r="L473" i="5"/>
  <c r="K473" i="6" s="1"/>
  <c r="F473" i="5"/>
  <c r="L480" i="5"/>
  <c r="K480" i="6" s="1"/>
  <c r="M480" i="5"/>
  <c r="B480" i="5"/>
  <c r="B480" i="6" s="1"/>
  <c r="A27" i="6"/>
  <c r="M27" i="5"/>
  <c r="J27" i="6" s="1"/>
  <c r="S27" i="6" s="1"/>
  <c r="L27" i="5"/>
  <c r="K27" i="6" s="1"/>
  <c r="T27" i="6" s="1"/>
  <c r="L170" i="5"/>
  <c r="K170" i="6" s="1"/>
  <c r="F170" i="5"/>
  <c r="B170" i="5"/>
  <c r="B170" i="6" s="1"/>
  <c r="F499" i="5"/>
  <c r="M499" i="5"/>
  <c r="J499" i="6" s="1"/>
  <c r="B499" i="5"/>
  <c r="B499" i="6" s="1"/>
  <c r="F33" i="5"/>
  <c r="B57" i="5"/>
  <c r="B57" i="6" s="1"/>
  <c r="L57" i="5"/>
  <c r="K57" i="6" s="1"/>
  <c r="T57" i="6" s="1"/>
  <c r="M71" i="5"/>
  <c r="J71" i="6" s="1"/>
  <c r="S71" i="6" s="1"/>
  <c r="A100" i="6"/>
  <c r="F100" i="5"/>
  <c r="M100" i="5"/>
  <c r="J100" i="6" s="1"/>
  <c r="C248" i="6"/>
  <c r="P248" i="6" s="1"/>
  <c r="D248" i="5"/>
  <c r="D248" i="6" s="1"/>
  <c r="C257" i="6"/>
  <c r="P257" i="6" s="1"/>
  <c r="E257" i="5"/>
  <c r="E257" i="6" s="1"/>
  <c r="D257" i="5"/>
  <c r="D257" i="6" s="1"/>
  <c r="C261" i="6"/>
  <c r="P261" i="6" s="1"/>
  <c r="S261" i="6" s="1"/>
  <c r="E261" i="5"/>
  <c r="E261" i="6" s="1"/>
  <c r="D261" i="5"/>
  <c r="D261" i="6" s="1"/>
  <c r="L326" i="5"/>
  <c r="K326" i="6" s="1"/>
  <c r="T326" i="6" s="1"/>
  <c r="F329" i="5"/>
  <c r="M329" i="5"/>
  <c r="C448" i="6"/>
  <c r="P448" i="6" s="1"/>
  <c r="D448" i="5"/>
  <c r="D448" i="6" s="1"/>
  <c r="C457" i="6"/>
  <c r="P457" i="6" s="1"/>
  <c r="T457" i="6" s="1"/>
  <c r="G457" i="5"/>
  <c r="I457" i="5" s="1"/>
  <c r="A155" i="6"/>
  <c r="F155" i="5"/>
  <c r="C199" i="6"/>
  <c r="P199" i="6" s="1"/>
  <c r="G199" i="5"/>
  <c r="F199" i="6" s="1"/>
  <c r="N199" i="6" s="1"/>
  <c r="O199" i="6" s="1"/>
  <c r="D199" i="5"/>
  <c r="D199" i="6" s="1"/>
  <c r="C277" i="6"/>
  <c r="P277" i="6" s="1"/>
  <c r="D277" i="5"/>
  <c r="D277" i="6" s="1"/>
  <c r="M509" i="5"/>
  <c r="J509" i="6" s="1"/>
  <c r="S509" i="6" s="1"/>
  <c r="F509" i="5"/>
  <c r="B509" i="5"/>
  <c r="B509" i="6" s="1"/>
  <c r="A12" i="6"/>
  <c r="L12" i="5"/>
  <c r="A31" i="6"/>
  <c r="B31" i="5"/>
  <c r="B31" i="6" s="1"/>
  <c r="F12" i="5"/>
  <c r="A17" i="6"/>
  <c r="L17" i="5"/>
  <c r="F17" i="5"/>
  <c r="L31" i="5"/>
  <c r="K31" i="6" s="1"/>
  <c r="T31" i="6" s="1"/>
  <c r="A43" i="6"/>
  <c r="M43" i="5"/>
  <c r="J43" i="6" s="1"/>
  <c r="S43" i="6" s="1"/>
  <c r="A54" i="6"/>
  <c r="M54" i="5"/>
  <c r="A64" i="6"/>
  <c r="F64" i="5"/>
  <c r="G77" i="5"/>
  <c r="F77" i="6" s="1"/>
  <c r="N77" i="6" s="1"/>
  <c r="O77" i="6" s="1"/>
  <c r="A86" i="6"/>
  <c r="M86" i="5"/>
  <c r="J86" i="6" s="1"/>
  <c r="S86" i="6" s="1"/>
  <c r="L97" i="5"/>
  <c r="K97" i="6" s="1"/>
  <c r="T97" i="6" s="1"/>
  <c r="B97" i="5"/>
  <c r="B97" i="6" s="1"/>
  <c r="B106" i="5"/>
  <c r="B106" i="6" s="1"/>
  <c r="F106" i="5"/>
  <c r="G106" i="5" s="1"/>
  <c r="D111" i="5"/>
  <c r="D111" i="6" s="1"/>
  <c r="A137" i="6"/>
  <c r="L137" i="5"/>
  <c r="K137" i="6" s="1"/>
  <c r="T137" i="6" s="1"/>
  <c r="F137" i="5"/>
  <c r="B137" i="5"/>
  <c r="B137" i="6" s="1"/>
  <c r="E252" i="5"/>
  <c r="E252" i="6" s="1"/>
  <c r="C294" i="6"/>
  <c r="P294" i="6" s="1"/>
  <c r="T294" i="6" s="1"/>
  <c r="G294" i="5"/>
  <c r="F294" i="6" s="1"/>
  <c r="N294" i="6" s="1"/>
  <c r="O294" i="6" s="1"/>
  <c r="M11" i="5"/>
  <c r="J11" i="6" s="1"/>
  <c r="S11" i="6" s="1"/>
  <c r="L16" i="5"/>
  <c r="F23" i="5"/>
  <c r="M44" i="5"/>
  <c r="M55" i="5"/>
  <c r="L73" i="5"/>
  <c r="K73" i="6" s="1"/>
  <c r="T73" i="6" s="1"/>
  <c r="M92" i="5"/>
  <c r="J92" i="6" s="1"/>
  <c r="S92" i="6" s="1"/>
  <c r="M103" i="5"/>
  <c r="J103" i="6" s="1"/>
  <c r="M109" i="5"/>
  <c r="J109" i="6" s="1"/>
  <c r="F143" i="5"/>
  <c r="M149" i="5"/>
  <c r="J149" i="6" s="1"/>
  <c r="F151" i="5"/>
  <c r="M169" i="5"/>
  <c r="J169" i="6" s="1"/>
  <c r="S169" i="6" s="1"/>
  <c r="F196" i="5"/>
  <c r="M207" i="5"/>
  <c r="J207" i="6" s="1"/>
  <c r="L217" i="5"/>
  <c r="K217" i="6" s="1"/>
  <c r="T217" i="6" s="1"/>
  <c r="L219" i="5"/>
  <c r="K219" i="6" s="1"/>
  <c r="G233" i="5"/>
  <c r="F233" i="6" s="1"/>
  <c r="N233" i="6" s="1"/>
  <c r="O233" i="6" s="1"/>
  <c r="F287" i="5"/>
  <c r="M311" i="5"/>
  <c r="J311" i="6" s="1"/>
  <c r="C351" i="6"/>
  <c r="P351" i="6" s="1"/>
  <c r="T351" i="6" s="1"/>
  <c r="A393" i="6"/>
  <c r="L393" i="5"/>
  <c r="K393" i="6" s="1"/>
  <c r="L432" i="5"/>
  <c r="K432" i="6" s="1"/>
  <c r="B432" i="5"/>
  <c r="B432" i="6" s="1"/>
  <c r="C485" i="6"/>
  <c r="P485" i="6" s="1"/>
  <c r="D485" i="5"/>
  <c r="D485" i="6" s="1"/>
  <c r="E490" i="5"/>
  <c r="E490" i="6" s="1"/>
  <c r="C542" i="6"/>
  <c r="P542" i="6" s="1"/>
  <c r="E542" i="5"/>
  <c r="E542" i="6" s="1"/>
  <c r="A584" i="6"/>
  <c r="B584" i="5"/>
  <c r="B584" i="6" s="1"/>
  <c r="T132" i="6"/>
  <c r="M168" i="5"/>
  <c r="J168" i="6" s="1"/>
  <c r="L209" i="5"/>
  <c r="K209" i="6" s="1"/>
  <c r="F226" i="5"/>
  <c r="M232" i="5"/>
  <c r="J232" i="6" s="1"/>
  <c r="S232" i="6" s="1"/>
  <c r="E243" i="5"/>
  <c r="E243" i="6" s="1"/>
  <c r="M246" i="5"/>
  <c r="J246" i="6" s="1"/>
  <c r="E285" i="5"/>
  <c r="E285" i="6" s="1"/>
  <c r="M287" i="5"/>
  <c r="J287" i="6" s="1"/>
  <c r="F316" i="5"/>
  <c r="M337" i="5"/>
  <c r="M341" i="5"/>
  <c r="L348" i="5"/>
  <c r="K348" i="6" s="1"/>
  <c r="A371" i="6"/>
  <c r="M371" i="5"/>
  <c r="J371" i="6" s="1"/>
  <c r="F371" i="5"/>
  <c r="F423" i="5"/>
  <c r="M423" i="5"/>
  <c r="J423" i="6" s="1"/>
  <c r="B423" i="5"/>
  <c r="B423" i="6" s="1"/>
  <c r="J434" i="5"/>
  <c r="G434" i="6" s="1"/>
  <c r="H434" i="6" s="1"/>
  <c r="I482" i="5"/>
  <c r="A503" i="6"/>
  <c r="F503" i="5"/>
  <c r="B503" i="5"/>
  <c r="B503" i="6" s="1"/>
  <c r="A599" i="6"/>
  <c r="B599" i="5"/>
  <c r="B599" i="6" s="1"/>
  <c r="A606" i="6"/>
  <c r="M606" i="5"/>
  <c r="L606" i="5"/>
  <c r="K606" i="6" s="1"/>
  <c r="T606" i="6" s="1"/>
  <c r="D152" i="5"/>
  <c r="D152" i="6" s="1"/>
  <c r="D155" i="5"/>
  <c r="D155" i="6" s="1"/>
  <c r="D167" i="5"/>
  <c r="D167" i="6" s="1"/>
  <c r="M191" i="5"/>
  <c r="M209" i="5"/>
  <c r="J209" i="6" s="1"/>
  <c r="G241" i="5"/>
  <c r="F241" i="6" s="1"/>
  <c r="N241" i="6" s="1"/>
  <c r="O241" i="6" s="1"/>
  <c r="G340" i="5"/>
  <c r="I340" i="5" s="1"/>
  <c r="E340" i="5"/>
  <c r="E340" i="6" s="1"/>
  <c r="A345" i="6"/>
  <c r="M345" i="5"/>
  <c r="J345" i="6" s="1"/>
  <c r="A367" i="6"/>
  <c r="L367" i="5"/>
  <c r="K367" i="6" s="1"/>
  <c r="B369" i="5"/>
  <c r="B369" i="6" s="1"/>
  <c r="M393" i="5"/>
  <c r="J393" i="6" s="1"/>
  <c r="C423" i="6"/>
  <c r="P423" i="6" s="1"/>
  <c r="G423" i="5"/>
  <c r="H423" i="5" s="1"/>
  <c r="E423" i="5"/>
  <c r="E423" i="6" s="1"/>
  <c r="D423" i="5"/>
  <c r="D423" i="6" s="1"/>
  <c r="A427" i="6"/>
  <c r="L427" i="5"/>
  <c r="K427" i="6" s="1"/>
  <c r="F427" i="5"/>
  <c r="B427" i="5"/>
  <c r="B427" i="6" s="1"/>
  <c r="A495" i="6"/>
  <c r="M495" i="5"/>
  <c r="J495" i="6" s="1"/>
  <c r="F495" i="5"/>
  <c r="B495" i="5"/>
  <c r="B495" i="6" s="1"/>
  <c r="A527" i="6"/>
  <c r="M527" i="5"/>
  <c r="J527" i="6" s="1"/>
  <c r="S527" i="6" s="1"/>
  <c r="B527" i="5"/>
  <c r="B527" i="6" s="1"/>
  <c r="C582" i="6"/>
  <c r="P582" i="6" s="1"/>
  <c r="E582" i="5"/>
  <c r="E582" i="6" s="1"/>
  <c r="C617" i="6"/>
  <c r="P617" i="6" s="1"/>
  <c r="G617" i="5"/>
  <c r="H617" i="5" s="1"/>
  <c r="D617" i="5"/>
  <c r="D617" i="6" s="1"/>
  <c r="B109" i="5"/>
  <c r="B109" i="6" s="1"/>
  <c r="E116" i="5"/>
  <c r="E116" i="6" s="1"/>
  <c r="D135" i="5"/>
  <c r="D135" i="6" s="1"/>
  <c r="B143" i="5"/>
  <c r="B143" i="6" s="1"/>
  <c r="A347" i="6"/>
  <c r="M347" i="5"/>
  <c r="J347" i="6" s="1"/>
  <c r="F347" i="5"/>
  <c r="F386" i="5"/>
  <c r="G386" i="5" s="1"/>
  <c r="B386" i="5"/>
  <c r="B386" i="6" s="1"/>
  <c r="S391" i="6"/>
  <c r="F396" i="5"/>
  <c r="M396" i="5"/>
  <c r="J396" i="6" s="1"/>
  <c r="J398" i="5"/>
  <c r="G398" i="6" s="1"/>
  <c r="H398" i="6" s="1"/>
  <c r="C464" i="6"/>
  <c r="P464" i="6" s="1"/>
  <c r="T464" i="6" s="1"/>
  <c r="D464" i="5"/>
  <c r="D464" i="6" s="1"/>
  <c r="L568" i="5"/>
  <c r="K568" i="6" s="1"/>
  <c r="B568" i="5"/>
  <c r="B568" i="6" s="1"/>
  <c r="C574" i="6"/>
  <c r="P574" i="6" s="1"/>
  <c r="E574" i="5"/>
  <c r="E574" i="6" s="1"/>
  <c r="C591" i="6"/>
  <c r="P591" i="6" s="1"/>
  <c r="D591" i="5"/>
  <c r="D591" i="6" s="1"/>
  <c r="A603" i="6"/>
  <c r="F603" i="5"/>
  <c r="B603" i="5"/>
  <c r="B603" i="6" s="1"/>
  <c r="A615" i="6"/>
  <c r="F615" i="5"/>
  <c r="B615" i="5"/>
  <c r="B615" i="6" s="1"/>
  <c r="M615" i="5"/>
  <c r="D37" i="5"/>
  <c r="D37" i="6" s="1"/>
  <c r="D39" i="5"/>
  <c r="D39" i="6" s="1"/>
  <c r="D71" i="5"/>
  <c r="D71" i="6" s="1"/>
  <c r="B73" i="5"/>
  <c r="B73" i="6" s="1"/>
  <c r="D78" i="5"/>
  <c r="D78" i="6" s="1"/>
  <c r="B112" i="5"/>
  <c r="B112" i="6" s="1"/>
  <c r="E118" i="5"/>
  <c r="E118" i="6" s="1"/>
  <c r="D133" i="5"/>
  <c r="D133" i="6" s="1"/>
  <c r="E135" i="5"/>
  <c r="E135" i="6" s="1"/>
  <c r="G137" i="5"/>
  <c r="F137" i="6" s="1"/>
  <c r="N137" i="6" s="1"/>
  <c r="O137" i="6" s="1"/>
  <c r="B149" i="5"/>
  <c r="B149" i="6" s="1"/>
  <c r="B219" i="5"/>
  <c r="B219" i="6" s="1"/>
  <c r="E276" i="5"/>
  <c r="E276" i="6" s="1"/>
  <c r="A319" i="6"/>
  <c r="M319" i="5"/>
  <c r="J319" i="6" s="1"/>
  <c r="C325" i="6"/>
  <c r="P325" i="6" s="1"/>
  <c r="D325" i="5"/>
  <c r="D325" i="6" s="1"/>
  <c r="A335" i="6"/>
  <c r="M335" i="5"/>
  <c r="A339" i="6"/>
  <c r="B339" i="5"/>
  <c r="B339" i="6" s="1"/>
  <c r="A363" i="6"/>
  <c r="M363" i="5"/>
  <c r="J363" i="6" s="1"/>
  <c r="A377" i="6"/>
  <c r="B377" i="5"/>
  <c r="B377" i="6" s="1"/>
  <c r="C396" i="6"/>
  <c r="P396" i="6" s="1"/>
  <c r="D396" i="5"/>
  <c r="D396" i="6" s="1"/>
  <c r="A441" i="6"/>
  <c r="M441" i="5"/>
  <c r="J441" i="6" s="1"/>
  <c r="L441" i="5"/>
  <c r="K441" i="6" s="1"/>
  <c r="A478" i="6"/>
  <c r="L478" i="5"/>
  <c r="K478" i="6" s="1"/>
  <c r="F478" i="5"/>
  <c r="B478" i="5"/>
  <c r="B478" i="6" s="1"/>
  <c r="B8" i="5"/>
  <c r="B8" i="6" s="1"/>
  <c r="B16" i="5"/>
  <c r="B16" i="6" s="1"/>
  <c r="D94" i="5"/>
  <c r="D94" i="6" s="1"/>
  <c r="F20" i="5"/>
  <c r="B23" i="5"/>
  <c r="B23" i="6" s="1"/>
  <c r="M30" i="5"/>
  <c r="J30" i="6" s="1"/>
  <c r="S30" i="6" s="1"/>
  <c r="E37" i="5"/>
  <c r="E37" i="6" s="1"/>
  <c r="E39" i="5"/>
  <c r="E39" i="6" s="1"/>
  <c r="E41" i="5"/>
  <c r="E41" i="6" s="1"/>
  <c r="E71" i="5"/>
  <c r="E71" i="6" s="1"/>
  <c r="E78" i="5"/>
  <c r="E78" i="6" s="1"/>
  <c r="E85" i="5"/>
  <c r="E85" i="6" s="1"/>
  <c r="L87" i="5"/>
  <c r="K87" i="6" s="1"/>
  <c r="F92" i="5"/>
  <c r="F118" i="5"/>
  <c r="M125" i="5"/>
  <c r="J125" i="6" s="1"/>
  <c r="G135" i="5"/>
  <c r="F135" i="6" s="1"/>
  <c r="N135" i="6" s="1"/>
  <c r="O135" i="6" s="1"/>
  <c r="F140" i="5"/>
  <c r="D143" i="5"/>
  <c r="D143" i="6" s="1"/>
  <c r="F169" i="5"/>
  <c r="B171" i="5"/>
  <c r="B171" i="6" s="1"/>
  <c r="E192" i="5"/>
  <c r="E192" i="6" s="1"/>
  <c r="L193" i="5"/>
  <c r="K193" i="6" s="1"/>
  <c r="T193" i="6" s="1"/>
  <c r="B209" i="5"/>
  <c r="B209" i="6" s="1"/>
  <c r="G217" i="5"/>
  <c r="F217" i="6" s="1"/>
  <c r="N217" i="6" s="1"/>
  <c r="O217" i="6" s="1"/>
  <c r="B221" i="5"/>
  <c r="B221" i="6" s="1"/>
  <c r="D225" i="5"/>
  <c r="D225" i="6" s="1"/>
  <c r="D233" i="5"/>
  <c r="D233" i="6" s="1"/>
  <c r="E262" i="5"/>
  <c r="E262" i="6" s="1"/>
  <c r="L267" i="5"/>
  <c r="K267" i="6" s="1"/>
  <c r="B287" i="5"/>
  <c r="B287" i="6" s="1"/>
  <c r="J297" i="5"/>
  <c r="G297" i="6" s="1"/>
  <c r="W297" i="6" s="1"/>
  <c r="L299" i="5"/>
  <c r="K299" i="6" s="1"/>
  <c r="M301" i="5"/>
  <c r="J301" i="6" s="1"/>
  <c r="D306" i="5"/>
  <c r="D306" i="6" s="1"/>
  <c r="E313" i="5"/>
  <c r="E313" i="6" s="1"/>
  <c r="B319" i="5"/>
  <c r="B319" i="6" s="1"/>
  <c r="E325" i="5"/>
  <c r="E325" i="6" s="1"/>
  <c r="A331" i="6"/>
  <c r="L331" i="5"/>
  <c r="K331" i="6" s="1"/>
  <c r="E332" i="5"/>
  <c r="E332" i="6" s="1"/>
  <c r="B335" i="5"/>
  <c r="B335" i="6" s="1"/>
  <c r="B337" i="5"/>
  <c r="B337" i="6" s="1"/>
  <c r="B341" i="5"/>
  <c r="B341" i="6" s="1"/>
  <c r="L343" i="5"/>
  <c r="K343" i="6" s="1"/>
  <c r="M343" i="5"/>
  <c r="A359" i="6"/>
  <c r="F359" i="5"/>
  <c r="B359" i="5"/>
  <c r="B359" i="6" s="1"/>
  <c r="C361" i="6"/>
  <c r="P361" i="6" s="1"/>
  <c r="G361" i="5"/>
  <c r="B363" i="5"/>
  <c r="B363" i="6" s="1"/>
  <c r="F367" i="5"/>
  <c r="C377" i="6"/>
  <c r="P377" i="6" s="1"/>
  <c r="G377" i="5"/>
  <c r="J377" i="5" s="1"/>
  <c r="G377" i="6" s="1"/>
  <c r="H377" i="6" s="1"/>
  <c r="E377" i="5"/>
  <c r="E377" i="6" s="1"/>
  <c r="L386" i="5"/>
  <c r="K386" i="6" s="1"/>
  <c r="F389" i="5"/>
  <c r="E396" i="5"/>
  <c r="E396" i="6" s="1"/>
  <c r="M412" i="5"/>
  <c r="J412" i="6" s="1"/>
  <c r="A425" i="6"/>
  <c r="L425" i="5"/>
  <c r="K425" i="6" s="1"/>
  <c r="F425" i="5"/>
  <c r="B425" i="5"/>
  <c r="B425" i="6" s="1"/>
  <c r="B441" i="5"/>
  <c r="B441" i="6" s="1"/>
  <c r="E443" i="5"/>
  <c r="E443" i="6" s="1"/>
  <c r="D443" i="5"/>
  <c r="D443" i="6" s="1"/>
  <c r="A487" i="6"/>
  <c r="M487" i="5"/>
  <c r="J487" i="6" s="1"/>
  <c r="F487" i="5"/>
  <c r="G487" i="5" s="1"/>
  <c r="B487" i="5"/>
  <c r="B487" i="6" s="1"/>
  <c r="E498" i="5"/>
  <c r="E498" i="6" s="1"/>
  <c r="G498" i="5"/>
  <c r="H498" i="5" s="1"/>
  <c r="A534" i="6"/>
  <c r="M534" i="5"/>
  <c r="J534" i="6" s="1"/>
  <c r="S534" i="6" s="1"/>
  <c r="M551" i="5"/>
  <c r="J551" i="6" s="1"/>
  <c r="B551" i="5"/>
  <c r="B551" i="6" s="1"/>
  <c r="F398" i="5"/>
  <c r="F401" i="5"/>
  <c r="F446" i="5"/>
  <c r="F457" i="5"/>
  <c r="M477" i="5"/>
  <c r="L500" i="5"/>
  <c r="K500" i="6" s="1"/>
  <c r="G502" i="5"/>
  <c r="I502" i="5" s="1"/>
  <c r="L508" i="5"/>
  <c r="K508" i="6" s="1"/>
  <c r="T508" i="6" s="1"/>
  <c r="G518" i="5"/>
  <c r="I518" i="5" s="1"/>
  <c r="F535" i="5"/>
  <c r="G543" i="5"/>
  <c r="H543" i="5" s="1"/>
  <c r="M545" i="5"/>
  <c r="J545" i="6" s="1"/>
  <c r="S545" i="6" s="1"/>
  <c r="F553" i="5"/>
  <c r="L555" i="5"/>
  <c r="K555" i="6" s="1"/>
  <c r="G559" i="5"/>
  <c r="J559" i="5" s="1"/>
  <c r="G559" i="6" s="1"/>
  <c r="H559" i="6" s="1"/>
  <c r="R559" i="6" s="1"/>
  <c r="L563" i="5"/>
  <c r="K563" i="6" s="1"/>
  <c r="M565" i="5"/>
  <c r="J565" i="6" s="1"/>
  <c r="S565" i="6" s="1"/>
  <c r="E567" i="5"/>
  <c r="E567" i="6" s="1"/>
  <c r="E569" i="5"/>
  <c r="E569" i="6" s="1"/>
  <c r="G572" i="5"/>
  <c r="F577" i="5"/>
  <c r="L592" i="5"/>
  <c r="K592" i="6" s="1"/>
  <c r="F596" i="5"/>
  <c r="E614" i="5"/>
  <c r="E614" i="6" s="1"/>
  <c r="E365" i="5"/>
  <c r="E365" i="6" s="1"/>
  <c r="F381" i="5"/>
  <c r="E400" i="5"/>
  <c r="E400" i="6" s="1"/>
  <c r="M401" i="5"/>
  <c r="J401" i="6" s="1"/>
  <c r="E433" i="5"/>
  <c r="E433" i="6" s="1"/>
  <c r="M446" i="5"/>
  <c r="J446" i="6" s="1"/>
  <c r="E510" i="5"/>
  <c r="E510" i="6" s="1"/>
  <c r="L521" i="5"/>
  <c r="K521" i="6" s="1"/>
  <c r="M537" i="5"/>
  <c r="J537" i="6" s="1"/>
  <c r="S537" i="6" s="1"/>
  <c r="L539" i="5"/>
  <c r="K539" i="6" s="1"/>
  <c r="F571" i="5"/>
  <c r="M582" i="5"/>
  <c r="J582" i="6" s="1"/>
  <c r="F591" i="5"/>
  <c r="G591" i="5" s="1"/>
  <c r="J591" i="5" s="1"/>
  <c r="G591" i="6" s="1"/>
  <c r="H591" i="6" s="1"/>
  <c r="F601" i="5"/>
  <c r="L610" i="5"/>
  <c r="K610" i="6" s="1"/>
  <c r="T610" i="6" s="1"/>
  <c r="M618" i="5"/>
  <c r="L481" i="5"/>
  <c r="K481" i="6" s="1"/>
  <c r="M521" i="5"/>
  <c r="J521" i="6" s="1"/>
  <c r="M350" i="5"/>
  <c r="J350" i="6" s="1"/>
  <c r="M375" i="5"/>
  <c r="J375" i="6" s="1"/>
  <c r="S375" i="6" s="1"/>
  <c r="M390" i="5"/>
  <c r="J390" i="6" s="1"/>
  <c r="E419" i="5"/>
  <c r="E419" i="6" s="1"/>
  <c r="D432" i="5"/>
  <c r="D432" i="6" s="1"/>
  <c r="D440" i="5"/>
  <c r="D440" i="6" s="1"/>
  <c r="B454" i="5"/>
  <c r="B454" i="6" s="1"/>
  <c r="B456" i="5"/>
  <c r="B456" i="6" s="1"/>
  <c r="D460" i="5"/>
  <c r="D460" i="6" s="1"/>
  <c r="D468" i="5"/>
  <c r="D468" i="6" s="1"/>
  <c r="F489" i="5"/>
  <c r="D494" i="5"/>
  <c r="D494" i="6" s="1"/>
  <c r="D527" i="5"/>
  <c r="D527" i="6" s="1"/>
  <c r="D573" i="5"/>
  <c r="D573" i="6" s="1"/>
  <c r="B577" i="5"/>
  <c r="B577" i="6" s="1"/>
  <c r="B585" i="5"/>
  <c r="B585" i="6" s="1"/>
  <c r="B600" i="5"/>
  <c r="B600" i="6" s="1"/>
  <c r="D615" i="5"/>
  <c r="D615" i="6" s="1"/>
  <c r="E440" i="5"/>
  <c r="E440" i="6" s="1"/>
  <c r="E460" i="5"/>
  <c r="E460" i="6" s="1"/>
  <c r="B482" i="5"/>
  <c r="B482" i="6" s="1"/>
  <c r="D486" i="5"/>
  <c r="D486" i="6" s="1"/>
  <c r="M489" i="5"/>
  <c r="J489" i="6" s="1"/>
  <c r="E494" i="5"/>
  <c r="E494" i="6" s="1"/>
  <c r="L497" i="5"/>
  <c r="K497" i="6" s="1"/>
  <c r="M513" i="5"/>
  <c r="J513" i="6" s="1"/>
  <c r="E516" i="5"/>
  <c r="E516" i="6" s="1"/>
  <c r="B518" i="5"/>
  <c r="B518" i="6" s="1"/>
  <c r="D533" i="5"/>
  <c r="D533" i="6" s="1"/>
  <c r="D550" i="5"/>
  <c r="D550" i="6" s="1"/>
  <c r="B555" i="5"/>
  <c r="B555" i="6" s="1"/>
  <c r="D559" i="5"/>
  <c r="D559" i="6" s="1"/>
  <c r="B561" i="5"/>
  <c r="B561" i="6" s="1"/>
  <c r="B563" i="5"/>
  <c r="B563" i="6" s="1"/>
  <c r="G573" i="5"/>
  <c r="J573" i="5" s="1"/>
  <c r="G573" i="6" s="1"/>
  <c r="B592" i="5"/>
  <c r="B592" i="6" s="1"/>
  <c r="M595" i="5"/>
  <c r="J595" i="6" s="1"/>
  <c r="E604" i="5"/>
  <c r="E604" i="6" s="1"/>
  <c r="D611" i="5"/>
  <c r="D611" i="6" s="1"/>
  <c r="E615" i="5"/>
  <c r="E615" i="6" s="1"/>
  <c r="E616" i="5"/>
  <c r="E616" i="6" s="1"/>
  <c r="B618" i="5"/>
  <c r="B618" i="6" s="1"/>
  <c r="L547" i="5"/>
  <c r="K547" i="6" s="1"/>
  <c r="E559" i="5"/>
  <c r="E559" i="6" s="1"/>
  <c r="L602" i="5"/>
  <c r="K602" i="6" s="1"/>
  <c r="T602" i="6" s="1"/>
  <c r="F604" i="5"/>
  <c r="G604" i="5" s="1"/>
  <c r="H604" i="5" s="1"/>
  <c r="I604" i="5" s="1"/>
  <c r="L619" i="5"/>
  <c r="K619" i="6" s="1"/>
  <c r="C54" i="6"/>
  <c r="P54" i="6" s="1"/>
  <c r="G54" i="5"/>
  <c r="H54" i="5" s="1"/>
  <c r="F183" i="6"/>
  <c r="N183" i="6" s="1"/>
  <c r="O183" i="6" s="1"/>
  <c r="E26" i="5"/>
  <c r="E26" i="6" s="1"/>
  <c r="B41" i="5"/>
  <c r="B41" i="6" s="1"/>
  <c r="D55" i="5"/>
  <c r="D55" i="6" s="1"/>
  <c r="A72" i="6"/>
  <c r="L72" i="5"/>
  <c r="K72" i="6" s="1"/>
  <c r="T72" i="6" s="1"/>
  <c r="A96" i="6"/>
  <c r="F96" i="5"/>
  <c r="B105" i="5"/>
  <c r="B105" i="6" s="1"/>
  <c r="D108" i="5"/>
  <c r="D108" i="6" s="1"/>
  <c r="A129" i="6"/>
  <c r="L129" i="5"/>
  <c r="K129" i="6" s="1"/>
  <c r="D142" i="5"/>
  <c r="D142" i="6" s="1"/>
  <c r="C153" i="6"/>
  <c r="P153" i="6" s="1"/>
  <c r="S153" i="6" s="1"/>
  <c r="E153" i="5"/>
  <c r="E153" i="6" s="1"/>
  <c r="C160" i="6"/>
  <c r="P160" i="6" s="1"/>
  <c r="T160" i="6" s="1"/>
  <c r="D160" i="5"/>
  <c r="D160" i="6" s="1"/>
  <c r="D172" i="5"/>
  <c r="D172" i="6" s="1"/>
  <c r="A182" i="6"/>
  <c r="M182" i="5"/>
  <c r="J182" i="6" s="1"/>
  <c r="A195" i="6"/>
  <c r="B195" i="5"/>
  <c r="B195" i="6" s="1"/>
  <c r="M195" i="5"/>
  <c r="L195" i="5"/>
  <c r="K195" i="6" s="1"/>
  <c r="F195" i="5"/>
  <c r="A203" i="6"/>
  <c r="B203" i="5"/>
  <c r="B203" i="6" s="1"/>
  <c r="M203" i="5"/>
  <c r="C207" i="6"/>
  <c r="P207" i="6" s="1"/>
  <c r="E207" i="5"/>
  <c r="E207" i="6" s="1"/>
  <c r="A230" i="6"/>
  <c r="M230" i="5"/>
  <c r="J230" i="6" s="1"/>
  <c r="S230" i="6" s="1"/>
  <c r="C327" i="6"/>
  <c r="P327" i="6" s="1"/>
  <c r="D327" i="5"/>
  <c r="D327" i="6" s="1"/>
  <c r="M4" i="5"/>
  <c r="J4" i="6" s="1"/>
  <c r="E6" i="5"/>
  <c r="E6" i="6" s="1"/>
  <c r="M7" i="5"/>
  <c r="J7" i="6" s="1"/>
  <c r="S7" i="6" s="1"/>
  <c r="B9" i="5"/>
  <c r="B9" i="6" s="1"/>
  <c r="M12" i="5"/>
  <c r="J12" i="6" s="1"/>
  <c r="S12" i="6" s="1"/>
  <c r="M15" i="5"/>
  <c r="J15" i="6" s="1"/>
  <c r="S15" i="6" s="1"/>
  <c r="E18" i="5"/>
  <c r="E18" i="6" s="1"/>
  <c r="L20" i="5"/>
  <c r="M22" i="5"/>
  <c r="J22" i="6" s="1"/>
  <c r="S22" i="6" s="1"/>
  <c r="L23" i="5"/>
  <c r="B25" i="5"/>
  <c r="B25" i="6" s="1"/>
  <c r="M28" i="5"/>
  <c r="J28" i="6" s="1"/>
  <c r="S28" i="6" s="1"/>
  <c r="E30" i="5"/>
  <c r="E30" i="6" s="1"/>
  <c r="D31" i="5"/>
  <c r="D31" i="6" s="1"/>
  <c r="E33" i="5"/>
  <c r="E33" i="6" s="1"/>
  <c r="L35" i="5"/>
  <c r="K35" i="6" s="1"/>
  <c r="T35" i="6" s="1"/>
  <c r="D38" i="5"/>
  <c r="D38" i="6" s="1"/>
  <c r="B40" i="5"/>
  <c r="B40" i="6" s="1"/>
  <c r="M47" i="5"/>
  <c r="L51" i="5"/>
  <c r="K51" i="6" s="1"/>
  <c r="T51" i="6" s="1"/>
  <c r="C53" i="6"/>
  <c r="P53" i="6" s="1"/>
  <c r="E53" i="5"/>
  <c r="E53" i="6" s="1"/>
  <c r="E54" i="5"/>
  <c r="E54" i="6" s="1"/>
  <c r="F55" i="5"/>
  <c r="L60" i="5"/>
  <c r="K60" i="6" s="1"/>
  <c r="T60" i="6" s="1"/>
  <c r="B63" i="5"/>
  <c r="B63" i="6" s="1"/>
  <c r="B64" i="5"/>
  <c r="B64" i="6" s="1"/>
  <c r="A70" i="6"/>
  <c r="M70" i="5"/>
  <c r="J70" i="6" s="1"/>
  <c r="S70" i="6" s="1"/>
  <c r="B72" i="5"/>
  <c r="B72" i="6" s="1"/>
  <c r="E73" i="5"/>
  <c r="E73" i="6" s="1"/>
  <c r="L75" i="5"/>
  <c r="K75" i="6" s="1"/>
  <c r="T75" i="6" s="1"/>
  <c r="D77" i="5"/>
  <c r="D77" i="6" s="1"/>
  <c r="G78" i="5"/>
  <c r="H78" i="5" s="1"/>
  <c r="F79" i="5"/>
  <c r="L80" i="5"/>
  <c r="K80" i="6" s="1"/>
  <c r="T80" i="6" s="1"/>
  <c r="F84" i="5"/>
  <c r="F87" i="5"/>
  <c r="L88" i="5"/>
  <c r="K88" i="6" s="1"/>
  <c r="T88" i="6" s="1"/>
  <c r="E90" i="5"/>
  <c r="E90" i="6" s="1"/>
  <c r="B95" i="5"/>
  <c r="B95" i="6" s="1"/>
  <c r="B96" i="5"/>
  <c r="B96" i="6" s="1"/>
  <c r="E97" i="5"/>
  <c r="E97" i="6" s="1"/>
  <c r="M101" i="5"/>
  <c r="J101" i="6" s="1"/>
  <c r="L106" i="5"/>
  <c r="K106" i="6" s="1"/>
  <c r="E108" i="5"/>
  <c r="E108" i="6" s="1"/>
  <c r="C111" i="6"/>
  <c r="P111" i="6" s="1"/>
  <c r="S111" i="6" s="1"/>
  <c r="E111" i="5"/>
  <c r="E111" i="6" s="1"/>
  <c r="L112" i="5"/>
  <c r="K112" i="6" s="1"/>
  <c r="T112" i="6" s="1"/>
  <c r="F114" i="5"/>
  <c r="C116" i="6"/>
  <c r="P116" i="6" s="1"/>
  <c r="D116" i="5"/>
  <c r="D116" i="6" s="1"/>
  <c r="B121" i="5"/>
  <c r="B121" i="6" s="1"/>
  <c r="B127" i="5"/>
  <c r="B127" i="6" s="1"/>
  <c r="B129" i="5"/>
  <c r="B129" i="6" s="1"/>
  <c r="M134" i="5"/>
  <c r="J134" i="6" s="1"/>
  <c r="S134" i="6" s="1"/>
  <c r="E140" i="5"/>
  <c r="E140" i="6" s="1"/>
  <c r="E142" i="5"/>
  <c r="E142" i="6" s="1"/>
  <c r="C150" i="6"/>
  <c r="P150" i="6" s="1"/>
  <c r="F153" i="5"/>
  <c r="E160" i="5"/>
  <c r="E160" i="6" s="1"/>
  <c r="E163" i="5"/>
  <c r="E163" i="6" s="1"/>
  <c r="A166" i="6"/>
  <c r="B166" i="5"/>
  <c r="B166" i="6" s="1"/>
  <c r="C182" i="6"/>
  <c r="P182" i="6" s="1"/>
  <c r="E182" i="5"/>
  <c r="E182" i="6" s="1"/>
  <c r="D207" i="5"/>
  <c r="D207" i="6" s="1"/>
  <c r="A235" i="6"/>
  <c r="L235" i="5"/>
  <c r="K235" i="6" s="1"/>
  <c r="F235" i="5"/>
  <c r="F248" i="5"/>
  <c r="C258" i="6"/>
  <c r="P258" i="6" s="1"/>
  <c r="T258" i="6" s="1"/>
  <c r="G258" i="5"/>
  <c r="I258" i="5" s="1"/>
  <c r="A283" i="6"/>
  <c r="L283" i="5"/>
  <c r="K283" i="6" s="1"/>
  <c r="M283" i="5"/>
  <c r="J283" i="6" s="1"/>
  <c r="F283" i="5"/>
  <c r="B283" i="5"/>
  <c r="B283" i="6" s="1"/>
  <c r="A295" i="6"/>
  <c r="F295" i="5"/>
  <c r="M295" i="5"/>
  <c r="J295" i="6" s="1"/>
  <c r="L295" i="5"/>
  <c r="K295" i="6" s="1"/>
  <c r="B295" i="5"/>
  <c r="B295" i="6" s="1"/>
  <c r="D303" i="5"/>
  <c r="D303" i="6" s="1"/>
  <c r="G303" i="5"/>
  <c r="F303" i="6" s="1"/>
  <c r="N303" i="6" s="1"/>
  <c r="O303" i="6" s="1"/>
  <c r="C310" i="6"/>
  <c r="P310" i="6" s="1"/>
  <c r="T310" i="6" s="1"/>
  <c r="L318" i="5"/>
  <c r="K318" i="6" s="1"/>
  <c r="T318" i="6" s="1"/>
  <c r="M318" i="5"/>
  <c r="J318" i="6" s="1"/>
  <c r="S318" i="6" s="1"/>
  <c r="A385" i="6"/>
  <c r="M385" i="5"/>
  <c r="J385" i="6" s="1"/>
  <c r="L385" i="5"/>
  <c r="K385" i="6" s="1"/>
  <c r="F385" i="5"/>
  <c r="B385" i="5"/>
  <c r="B385" i="6" s="1"/>
  <c r="M39" i="5"/>
  <c r="J39" i="6" s="1"/>
  <c r="S39" i="6" s="1"/>
  <c r="A145" i="6"/>
  <c r="M145" i="5"/>
  <c r="J145" i="6" s="1"/>
  <c r="S145" i="6" s="1"/>
  <c r="F145" i="5"/>
  <c r="F181" i="6"/>
  <c r="N181" i="6" s="1"/>
  <c r="O181" i="6" s="1"/>
  <c r="J181" i="5"/>
  <c r="G181" i="6" s="1"/>
  <c r="H181" i="6" s="1"/>
  <c r="I181" i="5"/>
  <c r="A237" i="6"/>
  <c r="L237" i="5"/>
  <c r="K237" i="6" s="1"/>
  <c r="F237" i="5"/>
  <c r="A251" i="6"/>
  <c r="B251" i="5"/>
  <c r="B251" i="6" s="1"/>
  <c r="M251" i="5"/>
  <c r="J251" i="6" s="1"/>
  <c r="L251" i="5"/>
  <c r="K251" i="6" s="1"/>
  <c r="C273" i="6"/>
  <c r="P273" i="6" s="1"/>
  <c r="D273" i="5"/>
  <c r="D273" i="6" s="1"/>
  <c r="G273" i="5"/>
  <c r="E273" i="5"/>
  <c r="E273" i="6" s="1"/>
  <c r="C479" i="6"/>
  <c r="P479" i="6" s="1"/>
  <c r="E479" i="5"/>
  <c r="E479" i="6" s="1"/>
  <c r="G479" i="5"/>
  <c r="I479" i="5" s="1"/>
  <c r="D479" i="5"/>
  <c r="D479" i="6" s="1"/>
  <c r="D6" i="5"/>
  <c r="D6" i="6" s="1"/>
  <c r="L7" i="5"/>
  <c r="E10" i="5"/>
  <c r="E10" i="6" s="1"/>
  <c r="D30" i="5"/>
  <c r="D30" i="6" s="1"/>
  <c r="B32" i="5"/>
  <c r="B32" i="6" s="1"/>
  <c r="B39" i="5"/>
  <c r="B39" i="6" s="1"/>
  <c r="D54" i="5"/>
  <c r="D54" i="6" s="1"/>
  <c r="G56" i="5"/>
  <c r="I56" i="5" s="1"/>
  <c r="E65" i="5"/>
  <c r="E65" i="6" s="1"/>
  <c r="A71" i="6"/>
  <c r="L71" i="5"/>
  <c r="K71" i="6" s="1"/>
  <c r="T71" i="6" s="1"/>
  <c r="E87" i="5"/>
  <c r="E87" i="6" s="1"/>
  <c r="M23" i="5"/>
  <c r="J23" i="6" s="1"/>
  <c r="S23" i="6" s="1"/>
  <c r="E31" i="5"/>
  <c r="E31" i="6" s="1"/>
  <c r="F32" i="5"/>
  <c r="M35" i="5"/>
  <c r="J35" i="6" s="1"/>
  <c r="S35" i="6" s="1"/>
  <c r="E38" i="5"/>
  <c r="E38" i="6" s="1"/>
  <c r="L43" i="5"/>
  <c r="K43" i="6" s="1"/>
  <c r="T43" i="6" s="1"/>
  <c r="M51" i="5"/>
  <c r="C62" i="6"/>
  <c r="P62" i="6" s="1"/>
  <c r="E62" i="5"/>
  <c r="E62" i="6" s="1"/>
  <c r="C63" i="6"/>
  <c r="P63" i="6" s="1"/>
  <c r="D63" i="5"/>
  <c r="D63" i="6" s="1"/>
  <c r="M75" i="5"/>
  <c r="J75" i="6" s="1"/>
  <c r="S75" i="6" s="1"/>
  <c r="E77" i="5"/>
  <c r="E77" i="6" s="1"/>
  <c r="L79" i="5"/>
  <c r="K79" i="6" s="1"/>
  <c r="L84" i="5"/>
  <c r="K84" i="6" s="1"/>
  <c r="T84" i="6" s="1"/>
  <c r="A89" i="6"/>
  <c r="L89" i="5"/>
  <c r="K89" i="6" s="1"/>
  <c r="T89" i="6" s="1"/>
  <c r="C94" i="6"/>
  <c r="P94" i="6" s="1"/>
  <c r="G94" i="5"/>
  <c r="H94" i="5" s="1"/>
  <c r="C95" i="6"/>
  <c r="P95" i="6" s="1"/>
  <c r="E95" i="5"/>
  <c r="E95" i="6" s="1"/>
  <c r="A102" i="6"/>
  <c r="F102" i="5"/>
  <c r="F105" i="5"/>
  <c r="A113" i="6"/>
  <c r="F113" i="5"/>
  <c r="L114" i="5"/>
  <c r="K114" i="6" s="1"/>
  <c r="C121" i="6"/>
  <c r="P121" i="6" s="1"/>
  <c r="D121" i="5"/>
  <c r="D121" i="6" s="1"/>
  <c r="C127" i="6"/>
  <c r="P127" i="6" s="1"/>
  <c r="S127" i="6" s="1"/>
  <c r="D127" i="5"/>
  <c r="D127" i="6" s="1"/>
  <c r="G142" i="5"/>
  <c r="J142" i="5" s="1"/>
  <c r="G142" i="6" s="1"/>
  <c r="L145" i="5"/>
  <c r="K145" i="6" s="1"/>
  <c r="T145" i="6" s="1"/>
  <c r="F148" i="5"/>
  <c r="G160" i="5"/>
  <c r="J160" i="5" s="1"/>
  <c r="G160" i="6" s="1"/>
  <c r="G164" i="5"/>
  <c r="J164" i="5" s="1"/>
  <c r="G164" i="6" s="1"/>
  <c r="C166" i="6"/>
  <c r="P166" i="6" s="1"/>
  <c r="S166" i="6" s="1"/>
  <c r="E166" i="5"/>
  <c r="E166" i="6" s="1"/>
  <c r="F182" i="5"/>
  <c r="C184" i="6"/>
  <c r="P184" i="6" s="1"/>
  <c r="E184" i="5"/>
  <c r="E184" i="6" s="1"/>
  <c r="F203" i="5"/>
  <c r="C214" i="6"/>
  <c r="P214" i="6" s="1"/>
  <c r="T214" i="6" s="1"/>
  <c r="G214" i="5"/>
  <c r="H214" i="5" s="1"/>
  <c r="M237" i="5"/>
  <c r="J237" i="6" s="1"/>
  <c r="C350" i="6"/>
  <c r="P350" i="6" s="1"/>
  <c r="T350" i="6" s="1"/>
  <c r="D350" i="5"/>
  <c r="D350" i="6" s="1"/>
  <c r="C103" i="6"/>
  <c r="P103" i="6" s="1"/>
  <c r="G103" i="5"/>
  <c r="J103" i="5" s="1"/>
  <c r="G103" i="6" s="1"/>
  <c r="C104" i="6"/>
  <c r="P104" i="6" s="1"/>
  <c r="E104" i="5"/>
  <c r="E104" i="6" s="1"/>
  <c r="F111" i="5"/>
  <c r="C164" i="6"/>
  <c r="P164" i="6" s="1"/>
  <c r="D164" i="5"/>
  <c r="D164" i="6" s="1"/>
  <c r="L203" i="5"/>
  <c r="K203" i="6" s="1"/>
  <c r="A226" i="6"/>
  <c r="B226" i="5"/>
  <c r="B226" i="6" s="1"/>
  <c r="F230" i="5"/>
  <c r="L247" i="5"/>
  <c r="K247" i="6" s="1"/>
  <c r="B247" i="5"/>
  <c r="B247" i="6" s="1"/>
  <c r="C293" i="6"/>
  <c r="P293" i="6" s="1"/>
  <c r="E293" i="5"/>
  <c r="E293" i="6" s="1"/>
  <c r="D293" i="5"/>
  <c r="D293" i="6" s="1"/>
  <c r="A49" i="6"/>
  <c r="L49" i="5"/>
  <c r="K49" i="6" s="1"/>
  <c r="A105" i="6"/>
  <c r="M105" i="5"/>
  <c r="J105" i="6" s="1"/>
  <c r="S105" i="6" s="1"/>
  <c r="A225" i="6"/>
  <c r="B225" i="5"/>
  <c r="B225" i="6" s="1"/>
  <c r="M225" i="5"/>
  <c r="J225" i="6" s="1"/>
  <c r="S225" i="6" s="1"/>
  <c r="L225" i="5"/>
  <c r="K225" i="6" s="1"/>
  <c r="T225" i="6" s="1"/>
  <c r="F225" i="5"/>
  <c r="F49" i="5"/>
  <c r="A76" i="6"/>
  <c r="F76" i="5"/>
  <c r="D5" i="5"/>
  <c r="D5" i="6" s="1"/>
  <c r="B7" i="5"/>
  <c r="B7" i="6" s="1"/>
  <c r="E17" i="5"/>
  <c r="E17" i="6" s="1"/>
  <c r="B24" i="5"/>
  <c r="B24" i="6" s="1"/>
  <c r="F25" i="5"/>
  <c r="D29" i="5"/>
  <c r="D29" i="6" s="1"/>
  <c r="C93" i="6"/>
  <c r="P93" i="6" s="1"/>
  <c r="E93" i="5"/>
  <c r="E93" i="6" s="1"/>
  <c r="F95" i="5"/>
  <c r="F121" i="5"/>
  <c r="A123" i="6"/>
  <c r="M123" i="5"/>
  <c r="J123" i="6" s="1"/>
  <c r="B123" i="5"/>
  <c r="B123" i="6" s="1"/>
  <c r="F127" i="5"/>
  <c r="G127" i="5" s="1"/>
  <c r="C175" i="6"/>
  <c r="P175" i="6" s="1"/>
  <c r="D175" i="5"/>
  <c r="D175" i="6" s="1"/>
  <c r="A177" i="6"/>
  <c r="B177" i="5"/>
  <c r="B177" i="6" s="1"/>
  <c r="L177" i="5"/>
  <c r="K177" i="6" s="1"/>
  <c r="A185" i="6"/>
  <c r="M185" i="5"/>
  <c r="F185" i="5"/>
  <c r="C198" i="6"/>
  <c r="P198" i="6" s="1"/>
  <c r="T198" i="6" s="1"/>
  <c r="G198" i="5"/>
  <c r="H198" i="5" s="1"/>
  <c r="D198" i="5"/>
  <c r="D198" i="6" s="1"/>
  <c r="C366" i="6"/>
  <c r="P366" i="6" s="1"/>
  <c r="E366" i="5"/>
  <c r="E366" i="6" s="1"/>
  <c r="C55" i="6"/>
  <c r="P55" i="6" s="1"/>
  <c r="E55" i="5"/>
  <c r="E55" i="6" s="1"/>
  <c r="C69" i="6"/>
  <c r="P69" i="6" s="1"/>
  <c r="E69" i="5"/>
  <c r="E69" i="6" s="1"/>
  <c r="M160" i="5"/>
  <c r="J160" i="6" s="1"/>
  <c r="B160" i="5"/>
  <c r="B160" i="6" s="1"/>
  <c r="F41" i="5"/>
  <c r="A57" i="6"/>
  <c r="F57" i="5"/>
  <c r="A59" i="6"/>
  <c r="M59" i="5"/>
  <c r="D15" i="5"/>
  <c r="D15" i="6" s="1"/>
  <c r="D22" i="5"/>
  <c r="D22" i="6" s="1"/>
  <c r="L41" i="5"/>
  <c r="K41" i="6" s="1"/>
  <c r="T41" i="6" s="1"/>
  <c r="F63" i="5"/>
  <c r="E66" i="5"/>
  <c r="E66" i="6" s="1"/>
  <c r="E5" i="5"/>
  <c r="E5" i="6" s="1"/>
  <c r="E13" i="5"/>
  <c r="E13" i="6" s="1"/>
  <c r="D21" i="5"/>
  <c r="D21" i="6" s="1"/>
  <c r="E22" i="5"/>
  <c r="E22" i="6" s="1"/>
  <c r="F36" i="5"/>
  <c r="A56" i="6"/>
  <c r="F56" i="5"/>
  <c r="L59" i="5"/>
  <c r="K59" i="6" s="1"/>
  <c r="T59" i="6" s="1"/>
  <c r="I62" i="5"/>
  <c r="A65" i="6"/>
  <c r="L65" i="5"/>
  <c r="K65" i="6" s="1"/>
  <c r="T65" i="6" s="1"/>
  <c r="F71" i="5"/>
  <c r="L76" i="5"/>
  <c r="K76" i="6" s="1"/>
  <c r="T76" i="6" s="1"/>
  <c r="B79" i="5"/>
  <c r="B79" i="6" s="1"/>
  <c r="B80" i="5"/>
  <c r="B80" i="6" s="1"/>
  <c r="E81" i="5"/>
  <c r="E81" i="6" s="1"/>
  <c r="L83" i="5"/>
  <c r="K83" i="6" s="1"/>
  <c r="T83" i="6" s="1"/>
  <c r="E89" i="5"/>
  <c r="E89" i="6" s="1"/>
  <c r="D93" i="5"/>
  <c r="D93" i="6" s="1"/>
  <c r="L96" i="5"/>
  <c r="K96" i="6" s="1"/>
  <c r="T96" i="6" s="1"/>
  <c r="E98" i="5"/>
  <c r="E98" i="6" s="1"/>
  <c r="D102" i="5"/>
  <c r="D102" i="6" s="1"/>
  <c r="E103" i="5"/>
  <c r="E103" i="6" s="1"/>
  <c r="E120" i="5"/>
  <c r="E120" i="6" s="1"/>
  <c r="F129" i="5"/>
  <c r="G129" i="5" s="1"/>
  <c r="C144" i="6"/>
  <c r="P144" i="6" s="1"/>
  <c r="E144" i="5"/>
  <c r="E144" i="6" s="1"/>
  <c r="A161" i="6"/>
  <c r="B161" i="5"/>
  <c r="B161" i="6" s="1"/>
  <c r="M161" i="5"/>
  <c r="J161" i="6" s="1"/>
  <c r="S161" i="6" s="1"/>
  <c r="B165" i="5"/>
  <c r="B165" i="6" s="1"/>
  <c r="M165" i="5"/>
  <c r="J165" i="6" s="1"/>
  <c r="E175" i="5"/>
  <c r="E175" i="6" s="1"/>
  <c r="C177" i="6"/>
  <c r="P177" i="6" s="1"/>
  <c r="S177" i="6" s="1"/>
  <c r="E177" i="5"/>
  <c r="E177" i="6" s="1"/>
  <c r="D177" i="5"/>
  <c r="D177" i="6" s="1"/>
  <c r="B185" i="5"/>
  <c r="B185" i="6" s="1"/>
  <c r="A201" i="6"/>
  <c r="M201" i="5"/>
  <c r="L201" i="5"/>
  <c r="K201" i="6" s="1"/>
  <c r="T201" i="6" s="1"/>
  <c r="B201" i="5"/>
  <c r="B201" i="6" s="1"/>
  <c r="F201" i="5"/>
  <c r="C87" i="6"/>
  <c r="P87" i="6" s="1"/>
  <c r="D87" i="5"/>
  <c r="D87" i="6" s="1"/>
  <c r="A153" i="6"/>
  <c r="L153" i="5"/>
  <c r="K153" i="6" s="1"/>
  <c r="B153" i="5"/>
  <c r="B153" i="6" s="1"/>
  <c r="C172" i="6"/>
  <c r="P172" i="6" s="1"/>
  <c r="E172" i="5"/>
  <c r="E172" i="6" s="1"/>
  <c r="A526" i="6"/>
  <c r="M526" i="5"/>
  <c r="J526" i="6" s="1"/>
  <c r="L526" i="5"/>
  <c r="K526" i="6" s="1"/>
  <c r="B526" i="5"/>
  <c r="B526" i="6" s="1"/>
  <c r="M84" i="5"/>
  <c r="J84" i="6" s="1"/>
  <c r="S84" i="6" s="1"/>
  <c r="F9" i="5"/>
  <c r="D13" i="5"/>
  <c r="D13" i="6" s="1"/>
  <c r="F39" i="5"/>
  <c r="C47" i="6"/>
  <c r="P47" i="6" s="1"/>
  <c r="D47" i="5"/>
  <c r="D47" i="6" s="1"/>
  <c r="C61" i="6"/>
  <c r="P61" i="6" s="1"/>
  <c r="D61" i="5"/>
  <c r="D61" i="6" s="1"/>
  <c r="L64" i="5"/>
  <c r="K64" i="6" s="1"/>
  <c r="T64" i="6" s="1"/>
  <c r="F8" i="5"/>
  <c r="L9" i="5"/>
  <c r="E15" i="5"/>
  <c r="E15" i="6" s="1"/>
  <c r="D23" i="5"/>
  <c r="D23" i="6" s="1"/>
  <c r="L25" i="5"/>
  <c r="K25" i="6" s="1"/>
  <c r="T25" i="6" s="1"/>
  <c r="E29" i="5"/>
  <c r="E29" i="6" s="1"/>
  <c r="L32" i="5"/>
  <c r="K32" i="6" s="1"/>
  <c r="T32" i="6" s="1"/>
  <c r="D7" i="5"/>
  <c r="D7" i="6" s="1"/>
  <c r="L8" i="5"/>
  <c r="G13" i="5"/>
  <c r="H13" i="5" s="1"/>
  <c r="G16" i="5"/>
  <c r="I16" i="5" s="1"/>
  <c r="E21" i="5"/>
  <c r="E21" i="6" s="1"/>
  <c r="G22" i="5"/>
  <c r="H22" i="5" s="1"/>
  <c r="E23" i="5"/>
  <c r="E23" i="6" s="1"/>
  <c r="F24" i="5"/>
  <c r="M31" i="5"/>
  <c r="J31" i="6" s="1"/>
  <c r="S31" i="6" s="1"/>
  <c r="E34" i="5"/>
  <c r="E34" i="6" s="1"/>
  <c r="L36" i="5"/>
  <c r="K36" i="6" s="1"/>
  <c r="T36" i="6" s="1"/>
  <c r="M38" i="5"/>
  <c r="J38" i="6" s="1"/>
  <c r="S38" i="6" s="1"/>
  <c r="L39" i="5"/>
  <c r="K39" i="6" s="1"/>
  <c r="T39" i="6" s="1"/>
  <c r="L40" i="5"/>
  <c r="K40" i="6" s="1"/>
  <c r="T40" i="6" s="1"/>
  <c r="F44" i="5"/>
  <c r="F47" i="5"/>
  <c r="G47" i="5" s="1"/>
  <c r="F47" i="6" s="1"/>
  <c r="N47" i="6" s="1"/>
  <c r="O47" i="6" s="1"/>
  <c r="L48" i="5"/>
  <c r="K48" i="6" s="1"/>
  <c r="T48" i="6" s="1"/>
  <c r="E50" i="5"/>
  <c r="E50" i="6" s="1"/>
  <c r="B55" i="5"/>
  <c r="B55" i="6" s="1"/>
  <c r="B56" i="5"/>
  <c r="B56" i="6" s="1"/>
  <c r="E57" i="5"/>
  <c r="E57" i="6" s="1"/>
  <c r="G61" i="5"/>
  <c r="H61" i="5" s="1"/>
  <c r="J62" i="5"/>
  <c r="G62" i="6" s="1"/>
  <c r="W62" i="6" s="1"/>
  <c r="L63" i="5"/>
  <c r="K63" i="6" s="1"/>
  <c r="B65" i="5"/>
  <c r="B65" i="6" s="1"/>
  <c r="M76" i="5"/>
  <c r="J76" i="6" s="1"/>
  <c r="S76" i="6" s="1"/>
  <c r="C79" i="6"/>
  <c r="P79" i="6" s="1"/>
  <c r="G79" i="5"/>
  <c r="F79" i="6" s="1"/>
  <c r="N79" i="6" s="1"/>
  <c r="O79" i="6" s="1"/>
  <c r="F81" i="5"/>
  <c r="M83" i="5"/>
  <c r="J83" i="6" s="1"/>
  <c r="S83" i="6" s="1"/>
  <c r="D85" i="5"/>
  <c r="D85" i="6" s="1"/>
  <c r="B87" i="5"/>
  <c r="B87" i="6" s="1"/>
  <c r="B88" i="5"/>
  <c r="B88" i="6" s="1"/>
  <c r="F89" i="5"/>
  <c r="G93" i="5"/>
  <c r="H93" i="5" s="1"/>
  <c r="L95" i="5"/>
  <c r="K95" i="6" s="1"/>
  <c r="A97" i="6"/>
  <c r="F97" i="5"/>
  <c r="A99" i="6"/>
  <c r="M99" i="5"/>
  <c r="J99" i="6" s="1"/>
  <c r="S99" i="6" s="1"/>
  <c r="B101" i="5"/>
  <c r="B101" i="6" s="1"/>
  <c r="E102" i="5"/>
  <c r="E102" i="6" s="1"/>
  <c r="C119" i="6"/>
  <c r="P119" i="6" s="1"/>
  <c r="E119" i="5"/>
  <c r="E119" i="6" s="1"/>
  <c r="G120" i="5"/>
  <c r="F120" i="6" s="1"/>
  <c r="N120" i="6" s="1"/>
  <c r="O120" i="6" s="1"/>
  <c r="L121" i="5"/>
  <c r="K121" i="6" s="1"/>
  <c r="F123" i="5"/>
  <c r="M129" i="5"/>
  <c r="J129" i="6" s="1"/>
  <c r="F131" i="5"/>
  <c r="G131" i="5" s="1"/>
  <c r="E137" i="5"/>
  <c r="E137" i="6" s="1"/>
  <c r="D144" i="5"/>
  <c r="D144" i="6" s="1"/>
  <c r="A147" i="6"/>
  <c r="M147" i="5"/>
  <c r="J147" i="6" s="1"/>
  <c r="C151" i="6"/>
  <c r="P151" i="6" s="1"/>
  <c r="S151" i="6" s="1"/>
  <c r="D151" i="5"/>
  <c r="D151" i="6" s="1"/>
  <c r="G175" i="5"/>
  <c r="F175" i="6" s="1"/>
  <c r="N175" i="6" s="1"/>
  <c r="O175" i="6" s="1"/>
  <c r="F177" i="5"/>
  <c r="A179" i="6"/>
  <c r="B179" i="5"/>
  <c r="B179" i="6" s="1"/>
  <c r="C215" i="6"/>
  <c r="P215" i="6" s="1"/>
  <c r="E215" i="5"/>
  <c r="E215" i="6" s="1"/>
  <c r="D215" i="5"/>
  <c r="D215" i="6" s="1"/>
  <c r="G218" i="5"/>
  <c r="F218" i="6" s="1"/>
  <c r="N218" i="6" s="1"/>
  <c r="O218" i="6" s="1"/>
  <c r="E218" i="5"/>
  <c r="E218" i="6" s="1"/>
  <c r="C224" i="6"/>
  <c r="P224" i="6" s="1"/>
  <c r="E224" i="5"/>
  <c r="E224" i="6" s="1"/>
  <c r="D224" i="5"/>
  <c r="D224" i="6" s="1"/>
  <c r="C231" i="6"/>
  <c r="P231" i="6" s="1"/>
  <c r="E231" i="5"/>
  <c r="E231" i="6" s="1"/>
  <c r="D231" i="5"/>
  <c r="D231" i="6" s="1"/>
  <c r="A243" i="6"/>
  <c r="M243" i="5"/>
  <c r="J243" i="6" s="1"/>
  <c r="S243" i="6" s="1"/>
  <c r="B243" i="5"/>
  <c r="B243" i="6" s="1"/>
  <c r="F243" i="5"/>
  <c r="H255" i="5"/>
  <c r="C266" i="6"/>
  <c r="P266" i="6" s="1"/>
  <c r="T266" i="6" s="1"/>
  <c r="D266" i="5"/>
  <c r="D266" i="6" s="1"/>
  <c r="A307" i="6"/>
  <c r="L307" i="5"/>
  <c r="K307" i="6" s="1"/>
  <c r="M307" i="5"/>
  <c r="J307" i="6" s="1"/>
  <c r="F307" i="5"/>
  <c r="B307" i="5"/>
  <c r="B307" i="6" s="1"/>
  <c r="F279" i="5"/>
  <c r="C301" i="6"/>
  <c r="P301" i="6" s="1"/>
  <c r="D301" i="5"/>
  <c r="D301" i="6" s="1"/>
  <c r="A315" i="6"/>
  <c r="M315" i="5"/>
  <c r="J315" i="6" s="1"/>
  <c r="L323" i="5"/>
  <c r="K323" i="6" s="1"/>
  <c r="C343" i="6"/>
  <c r="P343" i="6" s="1"/>
  <c r="G343" i="5"/>
  <c r="I343" i="5" s="1"/>
  <c r="L368" i="5"/>
  <c r="K368" i="6" s="1"/>
  <c r="B368" i="5"/>
  <c r="B368" i="6" s="1"/>
  <c r="F373" i="5"/>
  <c r="B373" i="5"/>
  <c r="B373" i="6" s="1"/>
  <c r="A379" i="6"/>
  <c r="L379" i="5"/>
  <c r="K379" i="6" s="1"/>
  <c r="F379" i="5"/>
  <c r="B379" i="5"/>
  <c r="B379" i="6" s="1"/>
  <c r="A382" i="6"/>
  <c r="M382" i="5"/>
  <c r="J382" i="6" s="1"/>
  <c r="L382" i="5"/>
  <c r="K382" i="6" s="1"/>
  <c r="F382" i="5"/>
  <c r="B382" i="5"/>
  <c r="B382" i="6" s="1"/>
  <c r="C388" i="6"/>
  <c r="P388" i="6" s="1"/>
  <c r="T388" i="6" s="1"/>
  <c r="D388" i="5"/>
  <c r="D388" i="6" s="1"/>
  <c r="C452" i="6"/>
  <c r="P452" i="6" s="1"/>
  <c r="D452" i="5"/>
  <c r="D452" i="6" s="1"/>
  <c r="E452" i="5"/>
  <c r="E452" i="6" s="1"/>
  <c r="M158" i="5"/>
  <c r="J158" i="6" s="1"/>
  <c r="S158" i="6" s="1"/>
  <c r="G180" i="5"/>
  <c r="J180" i="5" s="1"/>
  <c r="G180" i="6" s="1"/>
  <c r="M193" i="5"/>
  <c r="L211" i="5"/>
  <c r="K211" i="6" s="1"/>
  <c r="M233" i="5"/>
  <c r="J233" i="6" s="1"/>
  <c r="S233" i="6" s="1"/>
  <c r="B249" i="5"/>
  <c r="B249" i="6" s="1"/>
  <c r="D250" i="5"/>
  <c r="D250" i="6" s="1"/>
  <c r="D253" i="5"/>
  <c r="D253" i="6" s="1"/>
  <c r="D255" i="5"/>
  <c r="D255" i="6" s="1"/>
  <c r="B256" i="5"/>
  <c r="B256" i="6" s="1"/>
  <c r="G257" i="5"/>
  <c r="T262" i="6"/>
  <c r="B263" i="5"/>
  <c r="B263" i="6" s="1"/>
  <c r="A275" i="6"/>
  <c r="L275" i="5"/>
  <c r="K275" i="6" s="1"/>
  <c r="M277" i="5"/>
  <c r="J277" i="6" s="1"/>
  <c r="B292" i="5"/>
  <c r="B292" i="6" s="1"/>
  <c r="E301" i="5"/>
  <c r="E301" i="6" s="1"/>
  <c r="C305" i="6"/>
  <c r="P305" i="6" s="1"/>
  <c r="D305" i="5"/>
  <c r="D305" i="6" s="1"/>
  <c r="F309" i="5"/>
  <c r="B309" i="5"/>
  <c r="B309" i="6" s="1"/>
  <c r="E312" i="5"/>
  <c r="E312" i="6" s="1"/>
  <c r="B315" i="5"/>
  <c r="B315" i="6" s="1"/>
  <c r="M323" i="5"/>
  <c r="J323" i="6" s="1"/>
  <c r="C333" i="6"/>
  <c r="P333" i="6" s="1"/>
  <c r="E333" i="5"/>
  <c r="E333" i="6" s="1"/>
  <c r="D343" i="5"/>
  <c r="D343" i="6" s="1"/>
  <c r="C345" i="6"/>
  <c r="P345" i="6" s="1"/>
  <c r="D345" i="5"/>
  <c r="D345" i="6" s="1"/>
  <c r="F357" i="5"/>
  <c r="M357" i="5"/>
  <c r="J357" i="6" s="1"/>
  <c r="S357" i="6" s="1"/>
  <c r="S358" i="6"/>
  <c r="C382" i="6"/>
  <c r="P382" i="6" s="1"/>
  <c r="G382" i="5"/>
  <c r="F382" i="6" s="1"/>
  <c r="N382" i="6" s="1"/>
  <c r="O382" i="6" s="1"/>
  <c r="D382" i="5"/>
  <c r="D382" i="6" s="1"/>
  <c r="E388" i="5"/>
  <c r="E388" i="6" s="1"/>
  <c r="F405" i="5"/>
  <c r="M405" i="5"/>
  <c r="J405" i="6" s="1"/>
  <c r="L405" i="5"/>
  <c r="K405" i="6" s="1"/>
  <c r="B405" i="5"/>
  <c r="B405" i="6" s="1"/>
  <c r="D475" i="5"/>
  <c r="D475" i="6" s="1"/>
  <c r="E475" i="5"/>
  <c r="E475" i="6" s="1"/>
  <c r="E253" i="5"/>
  <c r="E253" i="6" s="1"/>
  <c r="G263" i="5"/>
  <c r="I263" i="5" s="1"/>
  <c r="D263" i="5"/>
  <c r="D263" i="6" s="1"/>
  <c r="A291" i="6"/>
  <c r="L291" i="5"/>
  <c r="K291" i="6" s="1"/>
  <c r="A351" i="6"/>
  <c r="F351" i="5"/>
  <c r="M351" i="5"/>
  <c r="J351" i="6" s="1"/>
  <c r="B351" i="5"/>
  <c r="B351" i="6" s="1"/>
  <c r="C353" i="6"/>
  <c r="P353" i="6" s="1"/>
  <c r="D353" i="5"/>
  <c r="D353" i="6" s="1"/>
  <c r="F383" i="5"/>
  <c r="M383" i="5"/>
  <c r="J383" i="6" s="1"/>
  <c r="B383" i="5"/>
  <c r="B383" i="6" s="1"/>
  <c r="D437" i="5"/>
  <c r="D437" i="6" s="1"/>
  <c r="G437" i="5"/>
  <c r="J437" i="5" s="1"/>
  <c r="G437" i="6" s="1"/>
  <c r="E167" i="5"/>
  <c r="E167" i="6" s="1"/>
  <c r="F171" i="5"/>
  <c r="B197" i="5"/>
  <c r="B197" i="6" s="1"/>
  <c r="E220" i="5"/>
  <c r="E220" i="6" s="1"/>
  <c r="D223" i="5"/>
  <c r="D223" i="6" s="1"/>
  <c r="M224" i="5"/>
  <c r="J224" i="6" s="1"/>
  <c r="B234" i="5"/>
  <c r="B234" i="6" s="1"/>
  <c r="D249" i="5"/>
  <c r="D249" i="6" s="1"/>
  <c r="M253" i="5"/>
  <c r="J253" i="6" s="1"/>
  <c r="S253" i="6" s="1"/>
  <c r="D262" i="5"/>
  <c r="D262" i="6" s="1"/>
  <c r="F263" i="5"/>
  <c r="E270" i="5"/>
  <c r="E270" i="6" s="1"/>
  <c r="T286" i="6"/>
  <c r="E289" i="5"/>
  <c r="E289" i="6" s="1"/>
  <c r="B291" i="5"/>
  <c r="B291" i="6" s="1"/>
  <c r="G292" i="5"/>
  <c r="D309" i="5"/>
  <c r="D309" i="6" s="1"/>
  <c r="B313" i="5"/>
  <c r="B313" i="6" s="1"/>
  <c r="F315" i="5"/>
  <c r="D321" i="5"/>
  <c r="D321" i="6" s="1"/>
  <c r="G322" i="5"/>
  <c r="J322" i="5" s="1"/>
  <c r="G322" i="6" s="1"/>
  <c r="E322" i="5"/>
  <c r="E322" i="6" s="1"/>
  <c r="C335" i="6"/>
  <c r="P335" i="6" s="1"/>
  <c r="D335" i="5"/>
  <c r="D335" i="6" s="1"/>
  <c r="B349" i="5"/>
  <c r="B349" i="6" s="1"/>
  <c r="E353" i="5"/>
  <c r="E353" i="6" s="1"/>
  <c r="A355" i="6"/>
  <c r="M355" i="5"/>
  <c r="J355" i="6" s="1"/>
  <c r="F355" i="5"/>
  <c r="C383" i="6"/>
  <c r="P383" i="6" s="1"/>
  <c r="G383" i="5"/>
  <c r="I383" i="5" s="1"/>
  <c r="E383" i="5"/>
  <c r="E383" i="6" s="1"/>
  <c r="D383" i="5"/>
  <c r="D383" i="6" s="1"/>
  <c r="A411" i="6"/>
  <c r="L411" i="5"/>
  <c r="K411" i="6" s="1"/>
  <c r="F411" i="5"/>
  <c r="G411" i="5" s="1"/>
  <c r="B411" i="5"/>
  <c r="B411" i="6" s="1"/>
  <c r="L279" i="5"/>
  <c r="K279" i="6" s="1"/>
  <c r="C281" i="6"/>
  <c r="P281" i="6" s="1"/>
  <c r="E281" i="5"/>
  <c r="E281" i="6" s="1"/>
  <c r="C282" i="6"/>
  <c r="P282" i="6" s="1"/>
  <c r="T282" i="6" s="1"/>
  <c r="G282" i="5"/>
  <c r="I282" i="5" s="1"/>
  <c r="C334" i="6"/>
  <c r="P334" i="6" s="1"/>
  <c r="D334" i="5"/>
  <c r="D334" i="6" s="1"/>
  <c r="C349" i="6"/>
  <c r="P349" i="6" s="1"/>
  <c r="E349" i="5"/>
  <c r="E349" i="6" s="1"/>
  <c r="D349" i="5"/>
  <c r="D349" i="6" s="1"/>
  <c r="C359" i="6"/>
  <c r="P359" i="6" s="1"/>
  <c r="T359" i="6" s="1"/>
  <c r="D359" i="5"/>
  <c r="D359" i="6" s="1"/>
  <c r="C369" i="6"/>
  <c r="P369" i="6" s="1"/>
  <c r="D369" i="5"/>
  <c r="D369" i="6" s="1"/>
  <c r="C374" i="6"/>
  <c r="P374" i="6" s="1"/>
  <c r="S374" i="6" s="1"/>
  <c r="G374" i="5"/>
  <c r="I374" i="5" s="1"/>
  <c r="E374" i="5"/>
  <c r="E374" i="6" s="1"/>
  <c r="D374" i="5"/>
  <c r="D374" i="6" s="1"/>
  <c r="G380" i="5"/>
  <c r="F380" i="6" s="1"/>
  <c r="N380" i="6" s="1"/>
  <c r="O380" i="6" s="1"/>
  <c r="E380" i="5"/>
  <c r="E380" i="6" s="1"/>
  <c r="A403" i="6"/>
  <c r="M403" i="5"/>
  <c r="J403" i="6" s="1"/>
  <c r="L403" i="5"/>
  <c r="K403" i="6" s="1"/>
  <c r="B403" i="5"/>
  <c r="B403" i="6" s="1"/>
  <c r="A449" i="6"/>
  <c r="L449" i="5"/>
  <c r="K449" i="6" s="1"/>
  <c r="M449" i="5"/>
  <c r="J449" i="6" s="1"/>
  <c r="F449" i="5"/>
  <c r="B449" i="5"/>
  <c r="B449" i="6" s="1"/>
  <c r="F480" i="6"/>
  <c r="N480" i="6" s="1"/>
  <c r="O480" i="6" s="1"/>
  <c r="I480" i="5"/>
  <c r="L115" i="5"/>
  <c r="K115" i="6" s="1"/>
  <c r="M118" i="5"/>
  <c r="J118" i="6" s="1"/>
  <c r="S118" i="6" s="1"/>
  <c r="F142" i="5"/>
  <c r="G143" i="5"/>
  <c r="E158" i="5"/>
  <c r="E158" i="6" s="1"/>
  <c r="E159" i="5"/>
  <c r="E159" i="6" s="1"/>
  <c r="M171" i="5"/>
  <c r="J171" i="6" s="1"/>
  <c r="L174" i="5"/>
  <c r="K174" i="6" s="1"/>
  <c r="T174" i="6" s="1"/>
  <c r="M187" i="5"/>
  <c r="E191" i="5"/>
  <c r="E191" i="6" s="1"/>
  <c r="E193" i="5"/>
  <c r="E193" i="6" s="1"/>
  <c r="F197" i="5"/>
  <c r="E209" i="5"/>
  <c r="E209" i="6" s="1"/>
  <c r="M217" i="5"/>
  <c r="J217" i="6" s="1"/>
  <c r="S217" i="6" s="1"/>
  <c r="F222" i="5"/>
  <c r="G223" i="5"/>
  <c r="F223" i="6" s="1"/>
  <c r="N223" i="6" s="1"/>
  <c r="O223" i="6" s="1"/>
  <c r="L227" i="5"/>
  <c r="K227" i="6" s="1"/>
  <c r="E232" i="5"/>
  <c r="E232" i="6" s="1"/>
  <c r="E233" i="5"/>
  <c r="E233" i="6" s="1"/>
  <c r="F234" i="5"/>
  <c r="E241" i="5"/>
  <c r="E241" i="6" s="1"/>
  <c r="M257" i="5"/>
  <c r="J257" i="6" s="1"/>
  <c r="G262" i="5"/>
  <c r="F262" i="6" s="1"/>
  <c r="N262" i="6" s="1"/>
  <c r="O262" i="6" s="1"/>
  <c r="M263" i="5"/>
  <c r="J263" i="6" s="1"/>
  <c r="E265" i="5"/>
  <c r="E265" i="6" s="1"/>
  <c r="D269" i="5"/>
  <c r="D269" i="6" s="1"/>
  <c r="A271" i="6"/>
  <c r="L271" i="5"/>
  <c r="K271" i="6" s="1"/>
  <c r="B277" i="5"/>
  <c r="B277" i="6" s="1"/>
  <c r="B279" i="5"/>
  <c r="B279" i="6" s="1"/>
  <c r="M279" i="5"/>
  <c r="J279" i="6" s="1"/>
  <c r="D281" i="5"/>
  <c r="D281" i="6" s="1"/>
  <c r="D286" i="5"/>
  <c r="D286" i="6" s="1"/>
  <c r="M309" i="5"/>
  <c r="J309" i="6" s="1"/>
  <c r="S309" i="6" s="1"/>
  <c r="L311" i="5"/>
  <c r="K311" i="6" s="1"/>
  <c r="C319" i="6"/>
  <c r="P319" i="6" s="1"/>
  <c r="G319" i="5"/>
  <c r="I319" i="5" s="1"/>
  <c r="B323" i="5"/>
  <c r="B323" i="6" s="1"/>
  <c r="F325" i="5"/>
  <c r="B325" i="5"/>
  <c r="B325" i="6" s="1"/>
  <c r="A327" i="6"/>
  <c r="L327" i="5"/>
  <c r="K327" i="6" s="1"/>
  <c r="F327" i="5"/>
  <c r="E334" i="5"/>
  <c r="E334" i="6" s="1"/>
  <c r="C337" i="6"/>
  <c r="P337" i="6" s="1"/>
  <c r="G337" i="5"/>
  <c r="G338" i="5"/>
  <c r="F338" i="6" s="1"/>
  <c r="N338" i="6" s="1"/>
  <c r="O338" i="6" s="1"/>
  <c r="E338" i="5"/>
  <c r="E338" i="6" s="1"/>
  <c r="M349" i="5"/>
  <c r="J349" i="6" s="1"/>
  <c r="G353" i="5"/>
  <c r="E369" i="5"/>
  <c r="E369" i="6" s="1"/>
  <c r="M384" i="5"/>
  <c r="J384" i="6" s="1"/>
  <c r="S384" i="6" s="1"/>
  <c r="L384" i="5"/>
  <c r="K384" i="6" s="1"/>
  <c r="T384" i="6" s="1"/>
  <c r="B384" i="5"/>
  <c r="B384" i="6" s="1"/>
  <c r="F399" i="6"/>
  <c r="N399" i="6" s="1"/>
  <c r="O399" i="6" s="1"/>
  <c r="J399" i="5"/>
  <c r="G399" i="6" s="1"/>
  <c r="H399" i="6" s="1"/>
  <c r="I399" i="5"/>
  <c r="H399" i="5"/>
  <c r="C409" i="6"/>
  <c r="P409" i="6" s="1"/>
  <c r="S409" i="6" s="1"/>
  <c r="D409" i="5"/>
  <c r="D409" i="6" s="1"/>
  <c r="E409" i="5"/>
  <c r="E409" i="6" s="1"/>
  <c r="L434" i="5"/>
  <c r="K434" i="6" s="1"/>
  <c r="B434" i="5"/>
  <c r="B434" i="6" s="1"/>
  <c r="L234" i="5"/>
  <c r="K234" i="6" s="1"/>
  <c r="M249" i="5"/>
  <c r="J249" i="6" s="1"/>
  <c r="S249" i="6" s="1"/>
  <c r="L255" i="5"/>
  <c r="K255" i="6" s="1"/>
  <c r="E269" i="5"/>
  <c r="E269" i="6" s="1"/>
  <c r="G281" i="5"/>
  <c r="E286" i="5"/>
  <c r="E286" i="6" s="1"/>
  <c r="F291" i="5"/>
  <c r="G321" i="5"/>
  <c r="A329" i="6"/>
  <c r="B329" i="5"/>
  <c r="B329" i="6" s="1"/>
  <c r="G334" i="5"/>
  <c r="I334" i="5" s="1"/>
  <c r="A343" i="6"/>
  <c r="F343" i="5"/>
  <c r="G359" i="5"/>
  <c r="I359" i="5" s="1"/>
  <c r="A361" i="6"/>
  <c r="F361" i="5"/>
  <c r="M361" i="5"/>
  <c r="J361" i="6" s="1"/>
  <c r="M392" i="5"/>
  <c r="J392" i="6" s="1"/>
  <c r="L392" i="5"/>
  <c r="K392" i="6" s="1"/>
  <c r="B392" i="5"/>
  <c r="B392" i="6" s="1"/>
  <c r="F431" i="5"/>
  <c r="B431" i="5"/>
  <c r="B431" i="6" s="1"/>
  <c r="C407" i="6"/>
  <c r="P407" i="6" s="1"/>
  <c r="D407" i="5"/>
  <c r="D407" i="6" s="1"/>
  <c r="C417" i="6"/>
  <c r="P417" i="6" s="1"/>
  <c r="G417" i="5"/>
  <c r="H417" i="5" s="1"/>
  <c r="C439" i="6"/>
  <c r="P439" i="6" s="1"/>
  <c r="E439" i="5"/>
  <c r="E439" i="6" s="1"/>
  <c r="C463" i="6"/>
  <c r="P463" i="6" s="1"/>
  <c r="D463" i="5"/>
  <c r="D463" i="6" s="1"/>
  <c r="F469" i="5"/>
  <c r="B469" i="5"/>
  <c r="B469" i="6" s="1"/>
  <c r="C471" i="6"/>
  <c r="P471" i="6" s="1"/>
  <c r="D471" i="5"/>
  <c r="D471" i="6" s="1"/>
  <c r="D483" i="5"/>
  <c r="D483" i="6" s="1"/>
  <c r="E483" i="5"/>
  <c r="E483" i="6" s="1"/>
  <c r="C487" i="6"/>
  <c r="P487" i="6" s="1"/>
  <c r="D487" i="5"/>
  <c r="D487" i="6" s="1"/>
  <c r="F493" i="5"/>
  <c r="B493" i="5"/>
  <c r="B493" i="6" s="1"/>
  <c r="M493" i="5"/>
  <c r="J493" i="6" s="1"/>
  <c r="M515" i="5"/>
  <c r="J515" i="6" s="1"/>
  <c r="F515" i="5"/>
  <c r="B515" i="5"/>
  <c r="B515" i="6" s="1"/>
  <c r="C526" i="6"/>
  <c r="P526" i="6" s="1"/>
  <c r="E526" i="5"/>
  <c r="E526" i="6" s="1"/>
  <c r="D526" i="5"/>
  <c r="D526" i="6" s="1"/>
  <c r="A529" i="6"/>
  <c r="M529" i="5"/>
  <c r="J529" i="6" s="1"/>
  <c r="L529" i="5"/>
  <c r="K529" i="6" s="1"/>
  <c r="F529" i="5"/>
  <c r="B529" i="5"/>
  <c r="B529" i="6" s="1"/>
  <c r="A542" i="6"/>
  <c r="M542" i="5"/>
  <c r="J542" i="6" s="1"/>
  <c r="L542" i="5"/>
  <c r="K542" i="6" s="1"/>
  <c r="C580" i="6"/>
  <c r="P580" i="6" s="1"/>
  <c r="G580" i="5"/>
  <c r="F580" i="6" s="1"/>
  <c r="N580" i="6" s="1"/>
  <c r="O580" i="6" s="1"/>
  <c r="E580" i="5"/>
  <c r="E580" i="6" s="1"/>
  <c r="C431" i="6"/>
  <c r="P431" i="6" s="1"/>
  <c r="C446" i="6"/>
  <c r="P446" i="6" s="1"/>
  <c r="D446" i="5"/>
  <c r="D446" i="6" s="1"/>
  <c r="L453" i="5"/>
  <c r="K453" i="6" s="1"/>
  <c r="B453" i="5"/>
  <c r="B453" i="6" s="1"/>
  <c r="A462" i="6"/>
  <c r="L462" i="5"/>
  <c r="K462" i="6" s="1"/>
  <c r="B462" i="5"/>
  <c r="B462" i="6" s="1"/>
  <c r="A465" i="6"/>
  <c r="B465" i="5"/>
  <c r="B465" i="6" s="1"/>
  <c r="M465" i="5"/>
  <c r="H473" i="5"/>
  <c r="J473" i="5"/>
  <c r="G473" i="6" s="1"/>
  <c r="C493" i="6"/>
  <c r="P493" i="6" s="1"/>
  <c r="G493" i="5"/>
  <c r="H493" i="5" s="1"/>
  <c r="A519" i="6"/>
  <c r="F519" i="5"/>
  <c r="B519" i="5"/>
  <c r="B519" i="6" s="1"/>
  <c r="F524" i="5"/>
  <c r="M524" i="5"/>
  <c r="J524" i="6" s="1"/>
  <c r="S524" i="6" s="1"/>
  <c r="L303" i="5"/>
  <c r="K303" i="6" s="1"/>
  <c r="M359" i="5"/>
  <c r="J359" i="6" s="1"/>
  <c r="F363" i="5"/>
  <c r="F369" i="5"/>
  <c r="F375" i="5"/>
  <c r="F388" i="5"/>
  <c r="D391" i="5"/>
  <c r="D391" i="6" s="1"/>
  <c r="L395" i="5"/>
  <c r="K395" i="6" s="1"/>
  <c r="B402" i="5"/>
  <c r="B402" i="6" s="1"/>
  <c r="L409" i="5"/>
  <c r="K409" i="6" s="1"/>
  <c r="D411" i="5"/>
  <c r="D411" i="6" s="1"/>
  <c r="B416" i="5"/>
  <c r="B416" i="6" s="1"/>
  <c r="F417" i="5"/>
  <c r="F422" i="5"/>
  <c r="D431" i="5"/>
  <c r="D431" i="6" s="1"/>
  <c r="C432" i="6"/>
  <c r="P432" i="6" s="1"/>
  <c r="E432" i="5"/>
  <c r="E432" i="6" s="1"/>
  <c r="G439" i="5"/>
  <c r="J439" i="5" s="1"/>
  <c r="G439" i="6" s="1"/>
  <c r="C441" i="6"/>
  <c r="P441" i="6" s="1"/>
  <c r="E441" i="5"/>
  <c r="E441" i="6" s="1"/>
  <c r="M454" i="5"/>
  <c r="J454" i="6" s="1"/>
  <c r="S454" i="6" s="1"/>
  <c r="B458" i="5"/>
  <c r="B458" i="6" s="1"/>
  <c r="C462" i="6"/>
  <c r="P462" i="6" s="1"/>
  <c r="E462" i="5"/>
  <c r="E462" i="6" s="1"/>
  <c r="G463" i="5"/>
  <c r="C465" i="6"/>
  <c r="P465" i="6" s="1"/>
  <c r="E465" i="5"/>
  <c r="E465" i="6" s="1"/>
  <c r="A467" i="6"/>
  <c r="L467" i="5"/>
  <c r="K467" i="6" s="1"/>
  <c r="B467" i="5"/>
  <c r="B467" i="6" s="1"/>
  <c r="L469" i="5"/>
  <c r="K469" i="6" s="1"/>
  <c r="C484" i="6"/>
  <c r="P484" i="6" s="1"/>
  <c r="D484" i="5"/>
  <c r="D484" i="6" s="1"/>
  <c r="D493" i="5"/>
  <c r="D493" i="6" s="1"/>
  <c r="M494" i="5"/>
  <c r="J494" i="6" s="1"/>
  <c r="S494" i="6" s="1"/>
  <c r="C519" i="6"/>
  <c r="P519" i="6" s="1"/>
  <c r="G519" i="5"/>
  <c r="F519" i="6" s="1"/>
  <c r="N519" i="6" s="1"/>
  <c r="O519" i="6" s="1"/>
  <c r="E519" i="5"/>
  <c r="E519" i="6" s="1"/>
  <c r="D519" i="5"/>
  <c r="D519" i="6" s="1"/>
  <c r="L363" i="5"/>
  <c r="K363" i="6" s="1"/>
  <c r="G375" i="5"/>
  <c r="F375" i="6" s="1"/>
  <c r="N375" i="6" s="1"/>
  <c r="O375" i="6" s="1"/>
  <c r="F380" i="5"/>
  <c r="E391" i="5"/>
  <c r="E391" i="6" s="1"/>
  <c r="M395" i="5"/>
  <c r="J395" i="6" s="1"/>
  <c r="L398" i="5"/>
  <c r="K398" i="6" s="1"/>
  <c r="E431" i="5"/>
  <c r="E431" i="6" s="1"/>
  <c r="B448" i="5"/>
  <c r="B448" i="6" s="1"/>
  <c r="D453" i="5"/>
  <c r="D453" i="6" s="1"/>
  <c r="M456" i="5"/>
  <c r="J456" i="6" s="1"/>
  <c r="S456" i="6" s="1"/>
  <c r="D462" i="5"/>
  <c r="D462" i="6" s="1"/>
  <c r="D465" i="5"/>
  <c r="D465" i="6" s="1"/>
  <c r="M469" i="5"/>
  <c r="C478" i="6"/>
  <c r="P478" i="6" s="1"/>
  <c r="D478" i="5"/>
  <c r="D478" i="6" s="1"/>
  <c r="E484" i="5"/>
  <c r="E484" i="6" s="1"/>
  <c r="C500" i="6"/>
  <c r="P500" i="6" s="1"/>
  <c r="E500" i="5"/>
  <c r="E500" i="6" s="1"/>
  <c r="F507" i="5"/>
  <c r="M507" i="5"/>
  <c r="J507" i="6" s="1"/>
  <c r="B507" i="5"/>
  <c r="B507" i="6" s="1"/>
  <c r="A511" i="6"/>
  <c r="M511" i="5"/>
  <c r="J511" i="6" s="1"/>
  <c r="F511" i="5"/>
  <c r="B511" i="5"/>
  <c r="B511" i="6" s="1"/>
  <c r="M519" i="5"/>
  <c r="J519" i="6" s="1"/>
  <c r="A550" i="6"/>
  <c r="L550" i="5"/>
  <c r="K550" i="6" s="1"/>
  <c r="M550" i="5"/>
  <c r="J550" i="6" s="1"/>
  <c r="A611" i="6"/>
  <c r="F611" i="5"/>
  <c r="B611" i="5"/>
  <c r="B611" i="6" s="1"/>
  <c r="M611" i="5"/>
  <c r="L611" i="5"/>
  <c r="K611" i="6" s="1"/>
  <c r="T611" i="6" s="1"/>
  <c r="B371" i="5"/>
  <c r="B371" i="6" s="1"/>
  <c r="D373" i="5"/>
  <c r="D373" i="6" s="1"/>
  <c r="D384" i="5"/>
  <c r="D384" i="6" s="1"/>
  <c r="D387" i="5"/>
  <c r="D387" i="6" s="1"/>
  <c r="F391" i="5"/>
  <c r="B398" i="5"/>
  <c r="B398" i="6" s="1"/>
  <c r="C401" i="6"/>
  <c r="P401" i="6" s="1"/>
  <c r="D401" i="5"/>
  <c r="D401" i="6" s="1"/>
  <c r="F402" i="5"/>
  <c r="E408" i="5"/>
  <c r="E408" i="6" s="1"/>
  <c r="C415" i="6"/>
  <c r="P415" i="6" s="1"/>
  <c r="S415" i="6" s="1"/>
  <c r="D415" i="5"/>
  <c r="D415" i="6" s="1"/>
  <c r="L416" i="5"/>
  <c r="K416" i="6" s="1"/>
  <c r="L417" i="5"/>
  <c r="K417" i="6" s="1"/>
  <c r="M422" i="5"/>
  <c r="J422" i="6" s="1"/>
  <c r="F450" i="5"/>
  <c r="G450" i="5" s="1"/>
  <c r="B450" i="5"/>
  <c r="B450" i="6" s="1"/>
  <c r="F453" i="5"/>
  <c r="C455" i="6"/>
  <c r="P455" i="6" s="1"/>
  <c r="S455" i="6" s="1"/>
  <c r="D455" i="5"/>
  <c r="D455" i="6" s="1"/>
  <c r="G455" i="5"/>
  <c r="F455" i="6" s="1"/>
  <c r="N455" i="6" s="1"/>
  <c r="O455" i="6" s="1"/>
  <c r="A457" i="6"/>
  <c r="M457" i="5"/>
  <c r="J457" i="6" s="1"/>
  <c r="B457" i="5"/>
  <c r="B457" i="6" s="1"/>
  <c r="F462" i="5"/>
  <c r="F465" i="5"/>
  <c r="C472" i="6"/>
  <c r="P472" i="6" s="1"/>
  <c r="E472" i="5"/>
  <c r="E472" i="6" s="1"/>
  <c r="C481" i="6"/>
  <c r="P481" i="6" s="1"/>
  <c r="D481" i="5"/>
  <c r="D481" i="6" s="1"/>
  <c r="F482" i="5"/>
  <c r="F491" i="5"/>
  <c r="C511" i="6"/>
  <c r="P511" i="6" s="1"/>
  <c r="E511" i="5"/>
  <c r="E511" i="6" s="1"/>
  <c r="D511" i="5"/>
  <c r="D511" i="6" s="1"/>
  <c r="F522" i="5"/>
  <c r="L522" i="5"/>
  <c r="K522" i="6" s="1"/>
  <c r="A531" i="6"/>
  <c r="M531" i="5"/>
  <c r="J531" i="6" s="1"/>
  <c r="L531" i="5"/>
  <c r="K531" i="6" s="1"/>
  <c r="F531" i="5"/>
  <c r="B531" i="5"/>
  <c r="B531" i="6" s="1"/>
  <c r="G313" i="5"/>
  <c r="L319" i="5"/>
  <c r="K319" i="6" s="1"/>
  <c r="E329" i="5"/>
  <c r="E329" i="6" s="1"/>
  <c r="E342" i="5"/>
  <c r="E342" i="6" s="1"/>
  <c r="D367" i="5"/>
  <c r="D367" i="6" s="1"/>
  <c r="E373" i="5"/>
  <c r="E373" i="6" s="1"/>
  <c r="D377" i="5"/>
  <c r="D377" i="6" s="1"/>
  <c r="B393" i="5"/>
  <c r="B393" i="6" s="1"/>
  <c r="C398" i="6"/>
  <c r="P398" i="6" s="1"/>
  <c r="E398" i="5"/>
  <c r="E398" i="6" s="1"/>
  <c r="C399" i="6"/>
  <c r="P399" i="6" s="1"/>
  <c r="D399" i="5"/>
  <c r="D399" i="6" s="1"/>
  <c r="E401" i="5"/>
  <c r="E401" i="6" s="1"/>
  <c r="G402" i="5"/>
  <c r="H402" i="5" s="1"/>
  <c r="D404" i="5"/>
  <c r="D404" i="6" s="1"/>
  <c r="A414" i="6"/>
  <c r="B414" i="5"/>
  <c r="B414" i="6" s="1"/>
  <c r="E415" i="5"/>
  <c r="E415" i="6" s="1"/>
  <c r="M417" i="5"/>
  <c r="J417" i="6" s="1"/>
  <c r="C430" i="6"/>
  <c r="P430" i="6" s="1"/>
  <c r="T430" i="6" s="1"/>
  <c r="D430" i="5"/>
  <c r="D430" i="6" s="1"/>
  <c r="C438" i="6"/>
  <c r="P438" i="6" s="1"/>
  <c r="D438" i="5"/>
  <c r="D438" i="6" s="1"/>
  <c r="E455" i="5"/>
  <c r="E455" i="6" s="1"/>
  <c r="G462" i="5"/>
  <c r="F462" i="6" s="1"/>
  <c r="N462" i="6" s="1"/>
  <c r="O462" i="6" s="1"/>
  <c r="B464" i="5"/>
  <c r="B464" i="6" s="1"/>
  <c r="L465" i="5"/>
  <c r="K465" i="6" s="1"/>
  <c r="A473" i="6"/>
  <c r="M473" i="5"/>
  <c r="B473" i="5"/>
  <c r="B473" i="6" s="1"/>
  <c r="M476" i="5"/>
  <c r="B485" i="5"/>
  <c r="B485" i="6" s="1"/>
  <c r="C495" i="6"/>
  <c r="P495" i="6" s="1"/>
  <c r="D495" i="5"/>
  <c r="D495" i="6" s="1"/>
  <c r="G495" i="5"/>
  <c r="H495" i="5" s="1"/>
  <c r="B501" i="5"/>
  <c r="B501" i="6" s="1"/>
  <c r="M501" i="5"/>
  <c r="J501" i="6" s="1"/>
  <c r="S501" i="6" s="1"/>
  <c r="F501" i="5"/>
  <c r="M502" i="5"/>
  <c r="J502" i="6" s="1"/>
  <c r="S502" i="6" s="1"/>
  <c r="C557" i="6"/>
  <c r="P557" i="6" s="1"/>
  <c r="G557" i="5"/>
  <c r="D557" i="5"/>
  <c r="D557" i="6" s="1"/>
  <c r="C600" i="6"/>
  <c r="P600" i="6" s="1"/>
  <c r="E600" i="5"/>
  <c r="E600" i="6" s="1"/>
  <c r="L375" i="5"/>
  <c r="K375" i="6" s="1"/>
  <c r="T375" i="6" s="1"/>
  <c r="C420" i="6"/>
  <c r="P420" i="6" s="1"/>
  <c r="T420" i="6" s="1"/>
  <c r="G420" i="5"/>
  <c r="F420" i="6" s="1"/>
  <c r="N420" i="6" s="1"/>
  <c r="O420" i="6" s="1"/>
  <c r="C428" i="6"/>
  <c r="P428" i="6" s="1"/>
  <c r="E428" i="5"/>
  <c r="E428" i="6" s="1"/>
  <c r="A433" i="6"/>
  <c r="M433" i="5"/>
  <c r="J433" i="6" s="1"/>
  <c r="S433" i="6" s="1"/>
  <c r="F433" i="5"/>
  <c r="L433" i="5"/>
  <c r="K433" i="6" s="1"/>
  <c r="T433" i="6" s="1"/>
  <c r="C447" i="6"/>
  <c r="P447" i="6" s="1"/>
  <c r="E447" i="5"/>
  <c r="E447" i="6" s="1"/>
  <c r="F466" i="5"/>
  <c r="G466" i="5" s="1"/>
  <c r="F466" i="6" s="1"/>
  <c r="N466" i="6" s="1"/>
  <c r="O466" i="6" s="1"/>
  <c r="B466" i="5"/>
  <c r="B466" i="6" s="1"/>
  <c r="C473" i="6"/>
  <c r="P473" i="6" s="1"/>
  <c r="E473" i="5"/>
  <c r="E473" i="6" s="1"/>
  <c r="M479" i="5"/>
  <c r="B479" i="5"/>
  <c r="B479" i="6" s="1"/>
  <c r="C480" i="6"/>
  <c r="P480" i="6" s="1"/>
  <c r="D480" i="5"/>
  <c r="D480" i="6" s="1"/>
  <c r="A505" i="6"/>
  <c r="M505" i="5"/>
  <c r="J505" i="6" s="1"/>
  <c r="L505" i="5"/>
  <c r="K505" i="6" s="1"/>
  <c r="B505" i="5"/>
  <c r="B505" i="6" s="1"/>
  <c r="A594" i="6"/>
  <c r="L594" i="5"/>
  <c r="K594" i="6" s="1"/>
  <c r="T594" i="6" s="1"/>
  <c r="C598" i="6"/>
  <c r="P598" i="6" s="1"/>
  <c r="G598" i="5"/>
  <c r="F598" i="6" s="1"/>
  <c r="N598" i="6" s="1"/>
  <c r="O598" i="6" s="1"/>
  <c r="E598" i="5"/>
  <c r="E598" i="6" s="1"/>
  <c r="D598" i="5"/>
  <c r="D598" i="6" s="1"/>
  <c r="C540" i="6"/>
  <c r="P540" i="6" s="1"/>
  <c r="G540" i="5"/>
  <c r="I540" i="5" s="1"/>
  <c r="L544" i="5"/>
  <c r="K544" i="6" s="1"/>
  <c r="B544" i="5"/>
  <c r="B544" i="6" s="1"/>
  <c r="C564" i="6"/>
  <c r="P564" i="6" s="1"/>
  <c r="E564" i="5"/>
  <c r="E564" i="6" s="1"/>
  <c r="C597" i="6"/>
  <c r="P597" i="6" s="1"/>
  <c r="G597" i="5"/>
  <c r="D597" i="5"/>
  <c r="D597" i="6" s="1"/>
  <c r="A623" i="6"/>
  <c r="M623" i="5"/>
  <c r="F623" i="5"/>
  <c r="M435" i="5"/>
  <c r="J435" i="6" s="1"/>
  <c r="M459" i="5"/>
  <c r="J459" i="6" s="1"/>
  <c r="M478" i="5"/>
  <c r="G503" i="5"/>
  <c r="J503" i="5" s="1"/>
  <c r="G503" i="6" s="1"/>
  <c r="H503" i="6" s="1"/>
  <c r="R503" i="6" s="1"/>
  <c r="L513" i="5"/>
  <c r="K513" i="6" s="1"/>
  <c r="L534" i="5"/>
  <c r="K534" i="6" s="1"/>
  <c r="T534" i="6" s="1"/>
  <c r="H535" i="5"/>
  <c r="E540" i="5"/>
  <c r="E540" i="6" s="1"/>
  <c r="F547" i="5"/>
  <c r="D549" i="5"/>
  <c r="D549" i="6" s="1"/>
  <c r="C551" i="6"/>
  <c r="P551" i="6" s="1"/>
  <c r="C553" i="6"/>
  <c r="P553" i="6" s="1"/>
  <c r="E553" i="5"/>
  <c r="E553" i="6" s="1"/>
  <c r="D553" i="5"/>
  <c r="D553" i="6" s="1"/>
  <c r="G558" i="5"/>
  <c r="F558" i="6" s="1"/>
  <c r="N558" i="6" s="1"/>
  <c r="O558" i="6" s="1"/>
  <c r="C561" i="6"/>
  <c r="P561" i="6" s="1"/>
  <c r="S561" i="6" s="1"/>
  <c r="E561" i="5"/>
  <c r="E561" i="6" s="1"/>
  <c r="A567" i="6"/>
  <c r="M567" i="5"/>
  <c r="J567" i="6" s="1"/>
  <c r="S567" i="6" s="1"/>
  <c r="F567" i="5"/>
  <c r="H581" i="5"/>
  <c r="A583" i="6"/>
  <c r="F583" i="5"/>
  <c r="E588" i="5"/>
  <c r="E588" i="6" s="1"/>
  <c r="A598" i="6"/>
  <c r="M598" i="5"/>
  <c r="J598" i="6" s="1"/>
  <c r="L598" i="5"/>
  <c r="K598" i="6" s="1"/>
  <c r="A608" i="6"/>
  <c r="L608" i="5"/>
  <c r="K608" i="6" s="1"/>
  <c r="T608" i="6" s="1"/>
  <c r="B608" i="5"/>
  <c r="B608" i="6" s="1"/>
  <c r="C623" i="6"/>
  <c r="P623" i="6" s="1"/>
  <c r="D623" i="5"/>
  <c r="D623" i="6" s="1"/>
  <c r="M481" i="5"/>
  <c r="M503" i="5"/>
  <c r="J503" i="6" s="1"/>
  <c r="S503" i="6" s="1"/>
  <c r="E524" i="5"/>
  <c r="E524" i="6" s="1"/>
  <c r="E527" i="5"/>
  <c r="E527" i="6" s="1"/>
  <c r="E532" i="5"/>
  <c r="E532" i="6" s="1"/>
  <c r="E537" i="5"/>
  <c r="E537" i="6" s="1"/>
  <c r="A545" i="6"/>
  <c r="F545" i="5"/>
  <c r="M547" i="5"/>
  <c r="J547" i="6" s="1"/>
  <c r="C550" i="6"/>
  <c r="P550" i="6" s="1"/>
  <c r="E551" i="5"/>
  <c r="E551" i="6" s="1"/>
  <c r="L553" i="5"/>
  <c r="K553" i="6" s="1"/>
  <c r="M558" i="5"/>
  <c r="J558" i="6" s="1"/>
  <c r="L561" i="5"/>
  <c r="K561" i="6" s="1"/>
  <c r="A569" i="6"/>
  <c r="B569" i="5"/>
  <c r="B569" i="6" s="1"/>
  <c r="A575" i="6"/>
  <c r="F575" i="5"/>
  <c r="J581" i="5"/>
  <c r="G581" i="6" s="1"/>
  <c r="W581" i="6" s="1"/>
  <c r="C583" i="6"/>
  <c r="P583" i="6" s="1"/>
  <c r="E583" i="5"/>
  <c r="E583" i="6" s="1"/>
  <c r="D583" i="5"/>
  <c r="D583" i="6" s="1"/>
  <c r="C589" i="6"/>
  <c r="P589" i="6" s="1"/>
  <c r="S589" i="6" s="1"/>
  <c r="D589" i="5"/>
  <c r="D589" i="6" s="1"/>
  <c r="F527" i="5"/>
  <c r="F543" i="5"/>
  <c r="M553" i="5"/>
  <c r="J553" i="6" s="1"/>
  <c r="A587" i="6"/>
  <c r="M587" i="5"/>
  <c r="J587" i="6" s="1"/>
  <c r="L587" i="5"/>
  <c r="K587" i="6" s="1"/>
  <c r="F587" i="5"/>
  <c r="C535" i="6"/>
  <c r="P535" i="6" s="1"/>
  <c r="E535" i="5"/>
  <c r="E535" i="6" s="1"/>
  <c r="C575" i="6"/>
  <c r="P575" i="6" s="1"/>
  <c r="G575" i="5"/>
  <c r="J575" i="5" s="1"/>
  <c r="G575" i="6" s="1"/>
  <c r="E575" i="5"/>
  <c r="E575" i="6" s="1"/>
  <c r="A579" i="6"/>
  <c r="L579" i="5"/>
  <c r="K579" i="6" s="1"/>
  <c r="F579" i="5"/>
  <c r="B587" i="5"/>
  <c r="B587" i="6" s="1"/>
  <c r="A593" i="6"/>
  <c r="B593" i="5"/>
  <c r="B593" i="6" s="1"/>
  <c r="F593" i="5"/>
  <c r="A607" i="6"/>
  <c r="B607" i="5"/>
  <c r="B607" i="6" s="1"/>
  <c r="F607" i="5"/>
  <c r="C609" i="6"/>
  <c r="P609" i="6" s="1"/>
  <c r="E609" i="5"/>
  <c r="E609" i="6" s="1"/>
  <c r="M437" i="5"/>
  <c r="J437" i="6" s="1"/>
  <c r="L489" i="5"/>
  <c r="K489" i="6" s="1"/>
  <c r="M497" i="5"/>
  <c r="J497" i="6" s="1"/>
  <c r="D503" i="5"/>
  <c r="D503" i="6" s="1"/>
  <c r="D509" i="5"/>
  <c r="D509" i="6" s="1"/>
  <c r="D517" i="5"/>
  <c r="D517" i="6" s="1"/>
  <c r="L518" i="5"/>
  <c r="K518" i="6" s="1"/>
  <c r="T518" i="6" s="1"/>
  <c r="D521" i="5"/>
  <c r="D521" i="6" s="1"/>
  <c r="B534" i="5"/>
  <c r="B534" i="6" s="1"/>
  <c r="D535" i="5"/>
  <c r="D535" i="6" s="1"/>
  <c r="M539" i="5"/>
  <c r="J539" i="6" s="1"/>
  <c r="D541" i="5"/>
  <c r="D541" i="6" s="1"/>
  <c r="D545" i="5"/>
  <c r="D545" i="6" s="1"/>
  <c r="B547" i="5"/>
  <c r="B547" i="6" s="1"/>
  <c r="E548" i="5"/>
  <c r="E548" i="6" s="1"/>
  <c r="A566" i="6"/>
  <c r="L566" i="5"/>
  <c r="K566" i="6" s="1"/>
  <c r="D575" i="5"/>
  <c r="D575" i="6" s="1"/>
  <c r="B579" i="5"/>
  <c r="B579" i="6" s="1"/>
  <c r="M583" i="5"/>
  <c r="J583" i="6" s="1"/>
  <c r="D585" i="5"/>
  <c r="D585" i="6" s="1"/>
  <c r="D590" i="5"/>
  <c r="D590" i="6" s="1"/>
  <c r="C599" i="6"/>
  <c r="P599" i="6" s="1"/>
  <c r="G599" i="5"/>
  <c r="F599" i="6" s="1"/>
  <c r="N599" i="6" s="1"/>
  <c r="O599" i="6" s="1"/>
  <c r="E599" i="5"/>
  <c r="E599" i="6" s="1"/>
  <c r="C605" i="6"/>
  <c r="P605" i="6" s="1"/>
  <c r="D605" i="5"/>
  <c r="D605" i="6" s="1"/>
  <c r="D609" i="5"/>
  <c r="D609" i="6" s="1"/>
  <c r="C612" i="6"/>
  <c r="P612" i="6" s="1"/>
  <c r="E612" i="5"/>
  <c r="E612" i="6" s="1"/>
  <c r="E503" i="5"/>
  <c r="E503" i="6" s="1"/>
  <c r="G517" i="5"/>
  <c r="F517" i="6" s="1"/>
  <c r="N517" i="6" s="1"/>
  <c r="O517" i="6" s="1"/>
  <c r="A537" i="6"/>
  <c r="L537" i="5"/>
  <c r="K537" i="6" s="1"/>
  <c r="T537" i="6" s="1"/>
  <c r="G541" i="5"/>
  <c r="M543" i="5"/>
  <c r="J543" i="6" s="1"/>
  <c r="S543" i="6" s="1"/>
  <c r="E545" i="5"/>
  <c r="E545" i="6" s="1"/>
  <c r="A551" i="6"/>
  <c r="F551" i="5"/>
  <c r="C556" i="6"/>
  <c r="P556" i="6" s="1"/>
  <c r="G556" i="5"/>
  <c r="I556" i="5" s="1"/>
  <c r="E556" i="5"/>
  <c r="E556" i="6" s="1"/>
  <c r="A561" i="6"/>
  <c r="F561" i="5"/>
  <c r="C566" i="6"/>
  <c r="P566" i="6" s="1"/>
  <c r="S566" i="6" s="1"/>
  <c r="E566" i="5"/>
  <c r="E566" i="6" s="1"/>
  <c r="A574" i="6"/>
  <c r="L574" i="5"/>
  <c r="K574" i="6" s="1"/>
  <c r="A620" i="6"/>
  <c r="L620" i="5"/>
  <c r="K620" i="6" s="1"/>
  <c r="F620" i="5"/>
  <c r="M620" i="5"/>
  <c r="M559" i="5"/>
  <c r="J559" i="6" s="1"/>
  <c r="S559" i="6" s="1"/>
  <c r="M571" i="5"/>
  <c r="J571" i="6" s="1"/>
  <c r="L577" i="5"/>
  <c r="K577" i="6" s="1"/>
  <c r="T577" i="6" s="1"/>
  <c r="L585" i="5"/>
  <c r="K585" i="6" s="1"/>
  <c r="T585" i="6" s="1"/>
  <c r="M590" i="5"/>
  <c r="J590" i="6" s="1"/>
  <c r="S590" i="6" s="1"/>
  <c r="L600" i="5"/>
  <c r="K600" i="6" s="1"/>
  <c r="M601" i="5"/>
  <c r="J601" i="6" s="1"/>
  <c r="L603" i="5"/>
  <c r="K603" i="6" s="1"/>
  <c r="G614" i="5"/>
  <c r="F614" i="6" s="1"/>
  <c r="N614" i="6" s="1"/>
  <c r="O614" i="6" s="1"/>
  <c r="G616" i="5"/>
  <c r="F616" i="6" s="1"/>
  <c r="N616" i="6" s="1"/>
  <c r="O616" i="6" s="1"/>
  <c r="S549" i="6"/>
  <c r="M577" i="5"/>
  <c r="J577" i="6" s="1"/>
  <c r="S577" i="6" s="1"/>
  <c r="M585" i="5"/>
  <c r="J585" i="6" s="1"/>
  <c r="S585" i="6" s="1"/>
  <c r="M591" i="5"/>
  <c r="J591" i="6" s="1"/>
  <c r="F599" i="5"/>
  <c r="M603" i="5"/>
  <c r="J603" i="6" s="1"/>
  <c r="F609" i="5"/>
  <c r="M616" i="5"/>
  <c r="B619" i="5"/>
  <c r="B619" i="6" s="1"/>
  <c r="F621" i="5"/>
  <c r="B591" i="5"/>
  <c r="B591" i="6" s="1"/>
  <c r="D593" i="5"/>
  <c r="D593" i="6" s="1"/>
  <c r="E596" i="5"/>
  <c r="E596" i="6" s="1"/>
  <c r="B601" i="5"/>
  <c r="B601" i="6" s="1"/>
  <c r="D607" i="5"/>
  <c r="D607" i="6" s="1"/>
  <c r="E608" i="5"/>
  <c r="E608" i="6" s="1"/>
  <c r="L609" i="5"/>
  <c r="K609" i="6" s="1"/>
  <c r="L621" i="5"/>
  <c r="K621" i="6" s="1"/>
  <c r="M599" i="5"/>
  <c r="J599" i="6" s="1"/>
  <c r="M609" i="5"/>
  <c r="M613" i="5"/>
  <c r="S136" i="6"/>
  <c r="C138" i="6"/>
  <c r="P138" i="6" s="1"/>
  <c r="D138" i="5"/>
  <c r="D138" i="6" s="1"/>
  <c r="A141" i="6"/>
  <c r="C147" i="6"/>
  <c r="P147" i="6" s="1"/>
  <c r="A152" i="6"/>
  <c r="F152" i="5"/>
  <c r="G152" i="5" s="1"/>
  <c r="A154" i="6"/>
  <c r="M154" i="5"/>
  <c r="J154" i="6" s="1"/>
  <c r="A183" i="6"/>
  <c r="L183" i="5"/>
  <c r="K183" i="6" s="1"/>
  <c r="T183" i="6" s="1"/>
  <c r="C237" i="6"/>
  <c r="P237" i="6" s="1"/>
  <c r="G237" i="5"/>
  <c r="D237" i="5"/>
  <c r="D237" i="6" s="1"/>
  <c r="C240" i="6"/>
  <c r="P240" i="6" s="1"/>
  <c r="S240" i="6" s="1"/>
  <c r="G240" i="5"/>
  <c r="E240" i="5"/>
  <c r="E240" i="6" s="1"/>
  <c r="A254" i="6"/>
  <c r="F254" i="5"/>
  <c r="B254" i="5"/>
  <c r="B254" i="6" s="1"/>
  <c r="L254" i="5"/>
  <c r="K254" i="6" s="1"/>
  <c r="F276" i="6"/>
  <c r="N276" i="6" s="1"/>
  <c r="O276" i="6" s="1"/>
  <c r="H276" i="5"/>
  <c r="J276" i="5"/>
  <c r="G276" i="6" s="1"/>
  <c r="A278" i="6"/>
  <c r="F278" i="5"/>
  <c r="B278" i="5"/>
  <c r="B278" i="6" s="1"/>
  <c r="L278" i="5"/>
  <c r="K278" i="6" s="1"/>
  <c r="A306" i="6"/>
  <c r="B306" i="5"/>
  <c r="B306" i="6" s="1"/>
  <c r="F306" i="5"/>
  <c r="L306" i="5"/>
  <c r="K306" i="6" s="1"/>
  <c r="T306" i="6" s="1"/>
  <c r="C356" i="6"/>
  <c r="P356" i="6" s="1"/>
  <c r="D356" i="5"/>
  <c r="D356" i="6" s="1"/>
  <c r="G356" i="5"/>
  <c r="E356" i="5"/>
  <c r="E356" i="6" s="1"/>
  <c r="F360" i="6"/>
  <c r="N360" i="6" s="1"/>
  <c r="O360" i="6" s="1"/>
  <c r="H360" i="5"/>
  <c r="J360" i="5"/>
  <c r="G360" i="6" s="1"/>
  <c r="I360" i="5"/>
  <c r="A132" i="6"/>
  <c r="B132" i="5"/>
  <c r="B132" i="6" s="1"/>
  <c r="B5" i="5"/>
  <c r="B5" i="6" s="1"/>
  <c r="B13" i="5"/>
  <c r="B13" i="6" s="1"/>
  <c r="B29" i="5"/>
  <c r="B29" i="6" s="1"/>
  <c r="G36" i="5"/>
  <c r="H39" i="5"/>
  <c r="H55" i="5"/>
  <c r="B77" i="5"/>
  <c r="B77" i="6" s="1"/>
  <c r="D91" i="5"/>
  <c r="D91" i="6" s="1"/>
  <c r="B93" i="5"/>
  <c r="B93" i="6" s="1"/>
  <c r="A108" i="6"/>
  <c r="B108" i="5"/>
  <c r="B108" i="6" s="1"/>
  <c r="L108" i="5"/>
  <c r="K108" i="6" s="1"/>
  <c r="T108" i="6" s="1"/>
  <c r="S110" i="6"/>
  <c r="A117" i="6"/>
  <c r="M132" i="5"/>
  <c r="J132" i="6" s="1"/>
  <c r="S132" i="6" s="1"/>
  <c r="H133" i="5"/>
  <c r="D134" i="5"/>
  <c r="D134" i="6" s="1"/>
  <c r="D136" i="5"/>
  <c r="D136" i="6" s="1"/>
  <c r="E138" i="5"/>
  <c r="E138" i="6" s="1"/>
  <c r="B141" i="5"/>
  <c r="B141" i="6" s="1"/>
  <c r="L141" i="5"/>
  <c r="K141" i="6" s="1"/>
  <c r="D147" i="5"/>
  <c r="D147" i="6" s="1"/>
  <c r="B150" i="5"/>
  <c r="B150" i="6" s="1"/>
  <c r="L150" i="5"/>
  <c r="K150" i="6" s="1"/>
  <c r="B152" i="5"/>
  <c r="B152" i="6" s="1"/>
  <c r="L152" i="5"/>
  <c r="K152" i="6" s="1"/>
  <c r="T152" i="6" s="1"/>
  <c r="B154" i="5"/>
  <c r="B154" i="6" s="1"/>
  <c r="L154" i="5"/>
  <c r="K154" i="6" s="1"/>
  <c r="D156" i="5"/>
  <c r="D156" i="6" s="1"/>
  <c r="A159" i="6"/>
  <c r="L159" i="5"/>
  <c r="K159" i="6" s="1"/>
  <c r="T159" i="6" s="1"/>
  <c r="B163" i="5"/>
  <c r="B163" i="6" s="1"/>
  <c r="L163" i="5"/>
  <c r="K163" i="6" s="1"/>
  <c r="C165" i="6"/>
  <c r="P165" i="6" s="1"/>
  <c r="E165" i="5"/>
  <c r="E165" i="6" s="1"/>
  <c r="D169" i="5"/>
  <c r="D169" i="6" s="1"/>
  <c r="A172" i="6"/>
  <c r="B172" i="5"/>
  <c r="B172" i="6" s="1"/>
  <c r="L172" i="5"/>
  <c r="K172" i="6" s="1"/>
  <c r="S174" i="6"/>
  <c r="F177" i="6"/>
  <c r="N177" i="6" s="1"/>
  <c r="O177" i="6" s="1"/>
  <c r="I177" i="5"/>
  <c r="C178" i="6"/>
  <c r="P178" i="6" s="1"/>
  <c r="T178" i="6" s="1"/>
  <c r="D178" i="5"/>
  <c r="D178" i="6" s="1"/>
  <c r="A181" i="6"/>
  <c r="B183" i="5"/>
  <c r="B183" i="6" s="1"/>
  <c r="C187" i="6"/>
  <c r="P187" i="6" s="1"/>
  <c r="A194" i="6"/>
  <c r="F194" i="5"/>
  <c r="M194" i="5"/>
  <c r="L194" i="5"/>
  <c r="K194" i="6" s="1"/>
  <c r="C197" i="6"/>
  <c r="P197" i="6" s="1"/>
  <c r="G197" i="5"/>
  <c r="E197" i="5"/>
  <c r="E197" i="6" s="1"/>
  <c r="A198" i="6"/>
  <c r="B198" i="5"/>
  <c r="B198" i="6" s="1"/>
  <c r="M198" i="5"/>
  <c r="D200" i="5"/>
  <c r="D200" i="6" s="1"/>
  <c r="C203" i="6"/>
  <c r="P203" i="6" s="1"/>
  <c r="G203" i="5"/>
  <c r="A210" i="6"/>
  <c r="F210" i="5"/>
  <c r="M210" i="5"/>
  <c r="J210" i="6" s="1"/>
  <c r="L210" i="5"/>
  <c r="K210" i="6" s="1"/>
  <c r="C213" i="6"/>
  <c r="P213" i="6" s="1"/>
  <c r="S213" i="6" s="1"/>
  <c r="G213" i="5"/>
  <c r="E213" i="5"/>
  <c r="E213" i="6" s="1"/>
  <c r="A214" i="6"/>
  <c r="B214" i="5"/>
  <c r="B214" i="6" s="1"/>
  <c r="M214" i="5"/>
  <c r="J214" i="6" s="1"/>
  <c r="D216" i="5"/>
  <c r="D216" i="6" s="1"/>
  <c r="C219" i="6"/>
  <c r="P219" i="6" s="1"/>
  <c r="G219" i="5"/>
  <c r="C227" i="6"/>
  <c r="P227" i="6" s="1"/>
  <c r="D227" i="5"/>
  <c r="D227" i="6" s="1"/>
  <c r="A236" i="6"/>
  <c r="M236" i="5"/>
  <c r="J236" i="6" s="1"/>
  <c r="F236" i="5"/>
  <c r="L236" i="5"/>
  <c r="K236" i="6" s="1"/>
  <c r="B236" i="5"/>
  <c r="B236" i="6" s="1"/>
  <c r="E237" i="5"/>
  <c r="E237" i="6" s="1"/>
  <c r="D240" i="5"/>
  <c r="D240" i="6" s="1"/>
  <c r="C246" i="6"/>
  <c r="P246" i="6" s="1"/>
  <c r="D246" i="5"/>
  <c r="D246" i="6" s="1"/>
  <c r="C251" i="6"/>
  <c r="P251" i="6" s="1"/>
  <c r="E251" i="5"/>
  <c r="E251" i="6" s="1"/>
  <c r="D251" i="5"/>
  <c r="D251" i="6" s="1"/>
  <c r="C254" i="6"/>
  <c r="P254" i="6" s="1"/>
  <c r="G254" i="5"/>
  <c r="E254" i="5"/>
  <c r="E254" i="6" s="1"/>
  <c r="D254" i="5"/>
  <c r="D254" i="6" s="1"/>
  <c r="A268" i="6"/>
  <c r="M268" i="5"/>
  <c r="J268" i="6" s="1"/>
  <c r="F268" i="5"/>
  <c r="G268" i="5" s="1"/>
  <c r="C274" i="6"/>
  <c r="P274" i="6" s="1"/>
  <c r="T274" i="6" s="1"/>
  <c r="G274" i="5"/>
  <c r="E274" i="5"/>
  <c r="E274" i="6" s="1"/>
  <c r="I276" i="5"/>
  <c r="C278" i="6"/>
  <c r="P278" i="6" s="1"/>
  <c r="G278" i="5"/>
  <c r="E278" i="5"/>
  <c r="E278" i="6" s="1"/>
  <c r="D278" i="5"/>
  <c r="D278" i="6" s="1"/>
  <c r="F316" i="6"/>
  <c r="N316" i="6" s="1"/>
  <c r="O316" i="6" s="1"/>
  <c r="H316" i="5"/>
  <c r="J316" i="5"/>
  <c r="G316" i="6" s="1"/>
  <c r="I316" i="5"/>
  <c r="A333" i="6"/>
  <c r="L333" i="5"/>
  <c r="K333" i="6" s="1"/>
  <c r="F333" i="5"/>
  <c r="M333" i="5"/>
  <c r="B333" i="5"/>
  <c r="B333" i="6" s="1"/>
  <c r="F474" i="6"/>
  <c r="N474" i="6" s="1"/>
  <c r="O474" i="6" s="1"/>
  <c r="J474" i="5"/>
  <c r="G474" i="6" s="1"/>
  <c r="H474" i="5"/>
  <c r="I474" i="5"/>
  <c r="A119" i="6"/>
  <c r="L119" i="5"/>
  <c r="K119" i="6" s="1"/>
  <c r="D27" i="5"/>
  <c r="D27" i="6" s="1"/>
  <c r="B37" i="5"/>
  <c r="B37" i="6" s="1"/>
  <c r="D43" i="5"/>
  <c r="D43" i="6" s="1"/>
  <c r="D83" i="5"/>
  <c r="D83" i="6" s="1"/>
  <c r="S91" i="6"/>
  <c r="D99" i="5"/>
  <c r="D99" i="6" s="1"/>
  <c r="G100" i="5"/>
  <c r="C101" i="6"/>
  <c r="P101" i="6" s="1"/>
  <c r="E101" i="5"/>
  <c r="E101" i="6" s="1"/>
  <c r="I102" i="5"/>
  <c r="D105" i="5"/>
  <c r="D105" i="6" s="1"/>
  <c r="S112" i="6"/>
  <c r="G113" i="5"/>
  <c r="C114" i="6"/>
  <c r="P114" i="6" s="1"/>
  <c r="D114" i="5"/>
  <c r="D114" i="6" s="1"/>
  <c r="B119" i="5"/>
  <c r="B119" i="6" s="1"/>
  <c r="C123" i="6"/>
  <c r="P123" i="6" s="1"/>
  <c r="G123" i="5"/>
  <c r="A128" i="6"/>
  <c r="F128" i="5"/>
  <c r="A130" i="6"/>
  <c r="M130" i="5"/>
  <c r="J130" i="6" s="1"/>
  <c r="L5" i="5"/>
  <c r="F6" i="5"/>
  <c r="D8" i="5"/>
  <c r="D8" i="6" s="1"/>
  <c r="B10" i="5"/>
  <c r="E11" i="5"/>
  <c r="E11" i="6" s="1"/>
  <c r="L13" i="5"/>
  <c r="F14" i="5"/>
  <c r="D16" i="5"/>
  <c r="D16" i="6" s="1"/>
  <c r="M16" i="5"/>
  <c r="J16" i="6" s="1"/>
  <c r="S16" i="6" s="1"/>
  <c r="G17" i="5"/>
  <c r="B18" i="5"/>
  <c r="E19" i="5"/>
  <c r="E19" i="6" s="1"/>
  <c r="L21" i="5"/>
  <c r="F22" i="5"/>
  <c r="D24" i="5"/>
  <c r="D24" i="6" s="1"/>
  <c r="M24" i="5"/>
  <c r="J24" i="6" s="1"/>
  <c r="S24" i="6" s="1"/>
  <c r="B26" i="5"/>
  <c r="E27" i="5"/>
  <c r="E27" i="6" s="1"/>
  <c r="L29" i="5"/>
  <c r="K29" i="6" s="1"/>
  <c r="T29" i="6" s="1"/>
  <c r="F30" i="5"/>
  <c r="D32" i="5"/>
  <c r="D32" i="6" s="1"/>
  <c r="M32" i="5"/>
  <c r="J32" i="6" s="1"/>
  <c r="S32" i="6" s="1"/>
  <c r="G33" i="5"/>
  <c r="B34" i="5"/>
  <c r="E35" i="5"/>
  <c r="E35" i="6" s="1"/>
  <c r="L37" i="5"/>
  <c r="K37" i="6" s="1"/>
  <c r="T37" i="6" s="1"/>
  <c r="F38" i="5"/>
  <c r="I39" i="5"/>
  <c r="D40" i="5"/>
  <c r="D40" i="6" s="1"/>
  <c r="M40" i="5"/>
  <c r="J40" i="6" s="1"/>
  <c r="S40" i="6" s="1"/>
  <c r="G41" i="5"/>
  <c r="B42" i="5"/>
  <c r="E43" i="5"/>
  <c r="E43" i="6" s="1"/>
  <c r="L45" i="5"/>
  <c r="K45" i="6" s="1"/>
  <c r="F46" i="5"/>
  <c r="D48" i="5"/>
  <c r="D48" i="6" s="1"/>
  <c r="M48" i="5"/>
  <c r="B50" i="5"/>
  <c r="E51" i="5"/>
  <c r="E51" i="6" s="1"/>
  <c r="L53" i="5"/>
  <c r="K53" i="6" s="1"/>
  <c r="F54" i="5"/>
  <c r="I55" i="5"/>
  <c r="D56" i="5"/>
  <c r="D56" i="6" s="1"/>
  <c r="M56" i="5"/>
  <c r="G57" i="5"/>
  <c r="B58" i="5"/>
  <c r="E59" i="5"/>
  <c r="E59" i="6" s="1"/>
  <c r="L61" i="5"/>
  <c r="K61" i="6" s="1"/>
  <c r="F62" i="5"/>
  <c r="D64" i="5"/>
  <c r="D64" i="6" s="1"/>
  <c r="M64" i="5"/>
  <c r="J64" i="6" s="1"/>
  <c r="S64" i="6" s="1"/>
  <c r="B66" i="5"/>
  <c r="E67" i="5"/>
  <c r="E67" i="6" s="1"/>
  <c r="L69" i="5"/>
  <c r="K69" i="6" s="1"/>
  <c r="F70" i="5"/>
  <c r="G70" i="5" s="1"/>
  <c r="D72" i="5"/>
  <c r="D72" i="6" s="1"/>
  <c r="M72" i="5"/>
  <c r="J72" i="6" s="1"/>
  <c r="S72" i="6" s="1"/>
  <c r="G73" i="5"/>
  <c r="B74" i="5"/>
  <c r="E75" i="5"/>
  <c r="E75" i="6" s="1"/>
  <c r="L77" i="5"/>
  <c r="K77" i="6" s="1"/>
  <c r="T77" i="6" s="1"/>
  <c r="F78" i="5"/>
  <c r="D80" i="5"/>
  <c r="D80" i="6" s="1"/>
  <c r="M80" i="5"/>
  <c r="J80" i="6" s="1"/>
  <c r="S80" i="6" s="1"/>
  <c r="G81" i="5"/>
  <c r="B82" i="5"/>
  <c r="E83" i="5"/>
  <c r="E83" i="6" s="1"/>
  <c r="L85" i="5"/>
  <c r="K85" i="6" s="1"/>
  <c r="T85" i="6" s="1"/>
  <c r="F86" i="5"/>
  <c r="D88" i="5"/>
  <c r="D88" i="6" s="1"/>
  <c r="M88" i="5"/>
  <c r="J88" i="6" s="1"/>
  <c r="S88" i="6" s="1"/>
  <c r="B90" i="5"/>
  <c r="E91" i="5"/>
  <c r="E91" i="6" s="1"/>
  <c r="L93" i="5"/>
  <c r="K93" i="6" s="1"/>
  <c r="F94" i="5"/>
  <c r="D96" i="5"/>
  <c r="D96" i="6" s="1"/>
  <c r="M96" i="5"/>
  <c r="J96" i="6" s="1"/>
  <c r="S96" i="6" s="1"/>
  <c r="G97" i="5"/>
  <c r="B98" i="5"/>
  <c r="E99" i="5"/>
  <c r="E99" i="6" s="1"/>
  <c r="D101" i="5"/>
  <c r="D101" i="6" s="1"/>
  <c r="A104" i="6"/>
  <c r="F104" i="5"/>
  <c r="E105" i="5"/>
  <c r="E105" i="6" s="1"/>
  <c r="A106" i="6"/>
  <c r="M106" i="5"/>
  <c r="J106" i="6" s="1"/>
  <c r="F107" i="5"/>
  <c r="G107" i="5" s="1"/>
  <c r="M108" i="5"/>
  <c r="J108" i="6" s="1"/>
  <c r="S108" i="6" s="1"/>
  <c r="D110" i="5"/>
  <c r="D110" i="6" s="1"/>
  <c r="D112" i="5"/>
  <c r="D112" i="6" s="1"/>
  <c r="E114" i="5"/>
  <c r="E114" i="6" s="1"/>
  <c r="B117" i="5"/>
  <c r="B117" i="6" s="1"/>
  <c r="L117" i="5"/>
  <c r="K117" i="6" s="1"/>
  <c r="G118" i="5"/>
  <c r="M119" i="5"/>
  <c r="J119" i="6" s="1"/>
  <c r="H122" i="5"/>
  <c r="D123" i="5"/>
  <c r="D123" i="6" s="1"/>
  <c r="B126" i="5"/>
  <c r="B126" i="6" s="1"/>
  <c r="L126" i="5"/>
  <c r="K126" i="6" s="1"/>
  <c r="T126" i="6" s="1"/>
  <c r="B128" i="5"/>
  <c r="B128" i="6" s="1"/>
  <c r="L128" i="5"/>
  <c r="K128" i="6" s="1"/>
  <c r="T128" i="6" s="1"/>
  <c r="B130" i="5"/>
  <c r="B130" i="6" s="1"/>
  <c r="L130" i="5"/>
  <c r="K130" i="6" s="1"/>
  <c r="D132" i="5"/>
  <c r="D132" i="6" s="1"/>
  <c r="I133" i="5"/>
  <c r="E134" i="5"/>
  <c r="E134" i="6" s="1"/>
  <c r="A135" i="6"/>
  <c r="L135" i="5"/>
  <c r="K135" i="6" s="1"/>
  <c r="T135" i="6" s="1"/>
  <c r="E136" i="5"/>
  <c r="E136" i="6" s="1"/>
  <c r="B139" i="5"/>
  <c r="B139" i="6" s="1"/>
  <c r="L139" i="5"/>
  <c r="K139" i="6" s="1"/>
  <c r="G140" i="5"/>
  <c r="C141" i="6"/>
  <c r="P141" i="6" s="1"/>
  <c r="E141" i="5"/>
  <c r="E141" i="6" s="1"/>
  <c r="M141" i="5"/>
  <c r="J141" i="6" s="1"/>
  <c r="D145" i="5"/>
  <c r="D145" i="6" s="1"/>
  <c r="E147" i="5"/>
  <c r="E147" i="6" s="1"/>
  <c r="A148" i="6"/>
  <c r="B148" i="5"/>
  <c r="B148" i="6" s="1"/>
  <c r="L148" i="5"/>
  <c r="K148" i="6" s="1"/>
  <c r="T148" i="6" s="1"/>
  <c r="M150" i="5"/>
  <c r="J150" i="6" s="1"/>
  <c r="M152" i="5"/>
  <c r="J152" i="6" s="1"/>
  <c r="S152" i="6" s="1"/>
  <c r="G153" i="5"/>
  <c r="C154" i="6"/>
  <c r="P154" i="6" s="1"/>
  <c r="D154" i="5"/>
  <c r="D154" i="6" s="1"/>
  <c r="E156" i="5"/>
  <c r="E156" i="6" s="1"/>
  <c r="A157" i="6"/>
  <c r="B159" i="5"/>
  <c r="B159" i="6" s="1"/>
  <c r="T161" i="6"/>
  <c r="C163" i="6"/>
  <c r="P163" i="6" s="1"/>
  <c r="G163" i="5"/>
  <c r="M163" i="5"/>
  <c r="J163" i="6" s="1"/>
  <c r="D165" i="5"/>
  <c r="D165" i="6" s="1"/>
  <c r="A168" i="6"/>
  <c r="F168" i="5"/>
  <c r="E169" i="5"/>
  <c r="E169" i="6" s="1"/>
  <c r="A170" i="6"/>
  <c r="M170" i="5"/>
  <c r="J170" i="6" s="1"/>
  <c r="M172" i="5"/>
  <c r="J172" i="6" s="1"/>
  <c r="H173" i="5"/>
  <c r="D174" i="5"/>
  <c r="D174" i="6" s="1"/>
  <c r="D176" i="5"/>
  <c r="D176" i="6" s="1"/>
  <c r="H177" i="5"/>
  <c r="E178" i="5"/>
  <c r="E178" i="6" s="1"/>
  <c r="B181" i="5"/>
  <c r="B181" i="6" s="1"/>
  <c r="L181" i="5"/>
  <c r="K181" i="6" s="1"/>
  <c r="G182" i="5"/>
  <c r="M183" i="5"/>
  <c r="J183" i="6" s="1"/>
  <c r="S183" i="6" s="1"/>
  <c r="D187" i="5"/>
  <c r="D187" i="6" s="1"/>
  <c r="A188" i="6"/>
  <c r="M188" i="5"/>
  <c r="B188" i="5"/>
  <c r="B188" i="6" s="1"/>
  <c r="A192" i="6"/>
  <c r="F192" i="5"/>
  <c r="L192" i="5"/>
  <c r="K192" i="6" s="1"/>
  <c r="T192" i="6" s="1"/>
  <c r="B194" i="5"/>
  <c r="B194" i="6" s="1"/>
  <c r="F196" i="6"/>
  <c r="N196" i="6" s="1"/>
  <c r="O196" i="6" s="1"/>
  <c r="J196" i="5"/>
  <c r="G196" i="6" s="1"/>
  <c r="D197" i="5"/>
  <c r="D197" i="6" s="1"/>
  <c r="E200" i="5"/>
  <c r="E200" i="6" s="1"/>
  <c r="H202" i="5"/>
  <c r="D203" i="5"/>
  <c r="D203" i="6" s="1"/>
  <c r="A204" i="6"/>
  <c r="M204" i="5"/>
  <c r="J204" i="6" s="1"/>
  <c r="B204" i="5"/>
  <c r="B204" i="6" s="1"/>
  <c r="A208" i="6"/>
  <c r="F208" i="5"/>
  <c r="G208" i="5" s="1"/>
  <c r="L208" i="5"/>
  <c r="K208" i="6" s="1"/>
  <c r="T208" i="6" s="1"/>
  <c r="B210" i="5"/>
  <c r="B210" i="6" s="1"/>
  <c r="D213" i="5"/>
  <c r="D213" i="6" s="1"/>
  <c r="H215" i="5"/>
  <c r="E216" i="5"/>
  <c r="E216" i="6" s="1"/>
  <c r="D219" i="5"/>
  <c r="D219" i="6" s="1"/>
  <c r="A220" i="6"/>
  <c r="M220" i="5"/>
  <c r="J220" i="6" s="1"/>
  <c r="S220" i="6" s="1"/>
  <c r="L220" i="5"/>
  <c r="K220" i="6" s="1"/>
  <c r="T220" i="6" s="1"/>
  <c r="B220" i="5"/>
  <c r="A221" i="6"/>
  <c r="F221" i="5"/>
  <c r="M221" i="5"/>
  <c r="J221" i="6" s="1"/>
  <c r="C226" i="6"/>
  <c r="P226" i="6" s="1"/>
  <c r="T226" i="6" s="1"/>
  <c r="E226" i="5"/>
  <c r="E226" i="6" s="1"/>
  <c r="D226" i="5"/>
  <c r="D226" i="6" s="1"/>
  <c r="E227" i="5"/>
  <c r="E227" i="6" s="1"/>
  <c r="I243" i="5"/>
  <c r="J243" i="5"/>
  <c r="G243" i="6" s="1"/>
  <c r="E246" i="5"/>
  <c r="E246" i="6" s="1"/>
  <c r="M254" i="5"/>
  <c r="J254" i="6" s="1"/>
  <c r="F256" i="6"/>
  <c r="N256" i="6" s="1"/>
  <c r="O256" i="6" s="1"/>
  <c r="H256" i="5"/>
  <c r="J256" i="5"/>
  <c r="G256" i="6" s="1"/>
  <c r="I256" i="5"/>
  <c r="C260" i="6"/>
  <c r="P260" i="6" s="1"/>
  <c r="D260" i="5"/>
  <c r="D260" i="6" s="1"/>
  <c r="G260" i="5"/>
  <c r="B268" i="5"/>
  <c r="B268" i="6" s="1"/>
  <c r="A272" i="6"/>
  <c r="M272" i="5"/>
  <c r="J272" i="6" s="1"/>
  <c r="F272" i="5"/>
  <c r="B272" i="5"/>
  <c r="B272" i="6" s="1"/>
  <c r="D274" i="5"/>
  <c r="D274" i="6" s="1"/>
  <c r="H275" i="6"/>
  <c r="I275" i="6" s="1"/>
  <c r="M278" i="5"/>
  <c r="J278" i="6" s="1"/>
  <c r="F280" i="6"/>
  <c r="N280" i="6" s="1"/>
  <c r="O280" i="6" s="1"/>
  <c r="H280" i="5"/>
  <c r="J280" i="5"/>
  <c r="G280" i="6" s="1"/>
  <c r="I280" i="5"/>
  <c r="C284" i="6"/>
  <c r="P284" i="6" s="1"/>
  <c r="D284" i="5"/>
  <c r="D284" i="6" s="1"/>
  <c r="C288" i="6"/>
  <c r="P288" i="6" s="1"/>
  <c r="D288" i="5"/>
  <c r="D288" i="6" s="1"/>
  <c r="E288" i="5"/>
  <c r="E288" i="6" s="1"/>
  <c r="C324" i="6"/>
  <c r="P324" i="6" s="1"/>
  <c r="T324" i="6" s="1"/>
  <c r="D324" i="5"/>
  <c r="D324" i="6" s="1"/>
  <c r="E324" i="5"/>
  <c r="E324" i="6" s="1"/>
  <c r="F335" i="6"/>
  <c r="N335" i="6" s="1"/>
  <c r="O335" i="6" s="1"/>
  <c r="I335" i="5"/>
  <c r="J335" i="5"/>
  <c r="G335" i="6" s="1"/>
  <c r="H335" i="5"/>
  <c r="T99" i="6"/>
  <c r="C125" i="6"/>
  <c r="P125" i="6" s="1"/>
  <c r="E125" i="5"/>
  <c r="E125" i="6" s="1"/>
  <c r="D11" i="5"/>
  <c r="D11" i="6" s="1"/>
  <c r="G20" i="5"/>
  <c r="D51" i="5"/>
  <c r="D51" i="6" s="1"/>
  <c r="B53" i="5"/>
  <c r="B53" i="6" s="1"/>
  <c r="T56" i="6"/>
  <c r="D59" i="5"/>
  <c r="D59" i="6" s="1"/>
  <c r="G60" i="5"/>
  <c r="D67" i="5"/>
  <c r="D67" i="6" s="1"/>
  <c r="D75" i="5"/>
  <c r="D75" i="6" s="1"/>
  <c r="G76" i="5"/>
  <c r="B85" i="5"/>
  <c r="B85" i="6" s="1"/>
  <c r="L10" i="5"/>
  <c r="F11" i="5"/>
  <c r="F19" i="5"/>
  <c r="M21" i="5"/>
  <c r="J21" i="6" s="1"/>
  <c r="S21" i="6" s="1"/>
  <c r="E24" i="5"/>
  <c r="L26" i="5"/>
  <c r="K26" i="6" s="1"/>
  <c r="T26" i="6" s="1"/>
  <c r="F27" i="5"/>
  <c r="M29" i="5"/>
  <c r="J29" i="6" s="1"/>
  <c r="S29" i="6" s="1"/>
  <c r="E32" i="5"/>
  <c r="E32" i="6" s="1"/>
  <c r="L34" i="5"/>
  <c r="K34" i="6" s="1"/>
  <c r="T34" i="6" s="1"/>
  <c r="F35" i="5"/>
  <c r="M37" i="5"/>
  <c r="J37" i="6" s="1"/>
  <c r="S37" i="6" s="1"/>
  <c r="J39" i="5"/>
  <c r="G39" i="6" s="1"/>
  <c r="E40" i="5"/>
  <c r="E40" i="6" s="1"/>
  <c r="L42" i="5"/>
  <c r="K42" i="6" s="1"/>
  <c r="T42" i="6" s="1"/>
  <c r="F43" i="5"/>
  <c r="M45" i="5"/>
  <c r="E48" i="5"/>
  <c r="L50" i="5"/>
  <c r="K50" i="6" s="1"/>
  <c r="T50" i="6" s="1"/>
  <c r="F51" i="5"/>
  <c r="M53" i="5"/>
  <c r="J55" i="5"/>
  <c r="G55" i="6" s="1"/>
  <c r="E56" i="5"/>
  <c r="E56" i="6" s="1"/>
  <c r="L58" i="5"/>
  <c r="K58" i="6" s="1"/>
  <c r="F59" i="5"/>
  <c r="M61" i="5"/>
  <c r="E64" i="5"/>
  <c r="L66" i="5"/>
  <c r="K66" i="6" s="1"/>
  <c r="T66" i="6" s="1"/>
  <c r="F67" i="5"/>
  <c r="M69" i="5"/>
  <c r="J69" i="6" s="1"/>
  <c r="E72" i="5"/>
  <c r="E72" i="6" s="1"/>
  <c r="L74" i="5"/>
  <c r="K74" i="6" s="1"/>
  <c r="T74" i="6" s="1"/>
  <c r="F75" i="5"/>
  <c r="M77" i="5"/>
  <c r="J77" i="6" s="1"/>
  <c r="S77" i="6" s="1"/>
  <c r="E80" i="5"/>
  <c r="E80" i="6" s="1"/>
  <c r="L82" i="5"/>
  <c r="K82" i="6" s="1"/>
  <c r="T82" i="6" s="1"/>
  <c r="F83" i="5"/>
  <c r="M85" i="5"/>
  <c r="J85" i="6" s="1"/>
  <c r="S85" i="6" s="1"/>
  <c r="E88" i="5"/>
  <c r="L90" i="5"/>
  <c r="K90" i="6" s="1"/>
  <c r="T90" i="6" s="1"/>
  <c r="F91" i="5"/>
  <c r="M93" i="5"/>
  <c r="J93" i="6" s="1"/>
  <c r="E96" i="5"/>
  <c r="E96" i="6" s="1"/>
  <c r="L98" i="5"/>
  <c r="K98" i="6" s="1"/>
  <c r="T98" i="6" s="1"/>
  <c r="F99" i="5"/>
  <c r="E110" i="5"/>
  <c r="E110" i="6" s="1"/>
  <c r="A111" i="6"/>
  <c r="L111" i="5"/>
  <c r="K111" i="6" s="1"/>
  <c r="E112" i="5"/>
  <c r="E112" i="6" s="1"/>
  <c r="F116" i="6"/>
  <c r="N116" i="6" s="1"/>
  <c r="O116" i="6" s="1"/>
  <c r="J116" i="5"/>
  <c r="G116" i="6" s="1"/>
  <c r="C117" i="6"/>
  <c r="P117" i="6" s="1"/>
  <c r="E117" i="5"/>
  <c r="E117" i="6" s="1"/>
  <c r="M117" i="5"/>
  <c r="J117" i="6" s="1"/>
  <c r="I122" i="5"/>
  <c r="E123" i="5"/>
  <c r="E123" i="6" s="1"/>
  <c r="A124" i="6"/>
  <c r="B124" i="5"/>
  <c r="B124" i="6" s="1"/>
  <c r="L124" i="5"/>
  <c r="K124" i="6" s="1"/>
  <c r="T124" i="6" s="1"/>
  <c r="M126" i="5"/>
  <c r="J126" i="6" s="1"/>
  <c r="S126" i="6" s="1"/>
  <c r="M128" i="5"/>
  <c r="J128" i="6" s="1"/>
  <c r="S128" i="6" s="1"/>
  <c r="C130" i="6"/>
  <c r="P130" i="6" s="1"/>
  <c r="D130" i="5"/>
  <c r="D130" i="6" s="1"/>
  <c r="E132" i="5"/>
  <c r="E132" i="6" s="1"/>
  <c r="A133" i="6"/>
  <c r="J133" i="5"/>
  <c r="G133" i="6" s="1"/>
  <c r="F134" i="5"/>
  <c r="G136" i="5"/>
  <c r="G138" i="5"/>
  <c r="C139" i="6"/>
  <c r="P139" i="6" s="1"/>
  <c r="G139" i="5"/>
  <c r="M139" i="5"/>
  <c r="J139" i="6" s="1"/>
  <c r="A144" i="6"/>
  <c r="F144" i="5"/>
  <c r="E145" i="5"/>
  <c r="E145" i="6" s="1"/>
  <c r="A146" i="6"/>
  <c r="M146" i="5"/>
  <c r="J146" i="6" s="1"/>
  <c r="F147" i="5"/>
  <c r="S148" i="6"/>
  <c r="M159" i="5"/>
  <c r="J159" i="6" s="1"/>
  <c r="S159" i="6" s="1"/>
  <c r="I173" i="5"/>
  <c r="E174" i="5"/>
  <c r="E174" i="6" s="1"/>
  <c r="A175" i="6"/>
  <c r="L175" i="5"/>
  <c r="K175" i="6" s="1"/>
  <c r="E176" i="5"/>
  <c r="E176" i="6" s="1"/>
  <c r="J177" i="5"/>
  <c r="G177" i="6" s="1"/>
  <c r="C181" i="6"/>
  <c r="P181" i="6" s="1"/>
  <c r="E181" i="5"/>
  <c r="E181" i="6" s="1"/>
  <c r="M181" i="5"/>
  <c r="J181" i="6" s="1"/>
  <c r="E187" i="5"/>
  <c r="E187" i="6" s="1"/>
  <c r="C188" i="6"/>
  <c r="P188" i="6" s="1"/>
  <c r="T188" i="6" s="1"/>
  <c r="D188" i="5"/>
  <c r="D188" i="6" s="1"/>
  <c r="A189" i="6"/>
  <c r="L189" i="5"/>
  <c r="K189" i="6" s="1"/>
  <c r="C194" i="6"/>
  <c r="P194" i="6" s="1"/>
  <c r="D194" i="5"/>
  <c r="D194" i="6" s="1"/>
  <c r="A199" i="6"/>
  <c r="L199" i="5"/>
  <c r="K199" i="6" s="1"/>
  <c r="G200" i="5"/>
  <c r="I202" i="5"/>
  <c r="E203" i="5"/>
  <c r="E203" i="6" s="1"/>
  <c r="C204" i="6"/>
  <c r="P204" i="6" s="1"/>
  <c r="T204" i="6" s="1"/>
  <c r="D204" i="5"/>
  <c r="D204" i="6" s="1"/>
  <c r="A205" i="6"/>
  <c r="L205" i="5"/>
  <c r="K205" i="6" s="1"/>
  <c r="C210" i="6"/>
  <c r="P210" i="6" s="1"/>
  <c r="D210" i="5"/>
  <c r="D210" i="6" s="1"/>
  <c r="A215" i="6"/>
  <c r="L215" i="5"/>
  <c r="K215" i="6" s="1"/>
  <c r="I215" i="5"/>
  <c r="G216" i="5"/>
  <c r="E219" i="5"/>
  <c r="E219" i="6" s="1"/>
  <c r="A229" i="6"/>
  <c r="B229" i="5"/>
  <c r="B229" i="6" s="1"/>
  <c r="F229" i="5"/>
  <c r="F236" i="6"/>
  <c r="N236" i="6" s="1"/>
  <c r="O236" i="6" s="1"/>
  <c r="H236" i="5"/>
  <c r="A245" i="6"/>
  <c r="M245" i="5"/>
  <c r="J245" i="6" s="1"/>
  <c r="L245" i="5"/>
  <c r="K245" i="6" s="1"/>
  <c r="B245" i="5"/>
  <c r="B245" i="6" s="1"/>
  <c r="H255" i="6"/>
  <c r="I255" i="6" s="1"/>
  <c r="E260" i="5"/>
  <c r="E260" i="6" s="1"/>
  <c r="C264" i="6"/>
  <c r="P264" i="6" s="1"/>
  <c r="D264" i="5"/>
  <c r="D264" i="6" s="1"/>
  <c r="E264" i="5"/>
  <c r="E264" i="6" s="1"/>
  <c r="E284" i="5"/>
  <c r="E284" i="6" s="1"/>
  <c r="C295" i="6"/>
  <c r="P295" i="6" s="1"/>
  <c r="E295" i="5"/>
  <c r="E295" i="6" s="1"/>
  <c r="G295" i="5"/>
  <c r="D295" i="5"/>
  <c r="D295" i="6" s="1"/>
  <c r="C302" i="6"/>
  <c r="P302" i="6" s="1"/>
  <c r="T302" i="6" s="1"/>
  <c r="G302" i="5"/>
  <c r="E302" i="5"/>
  <c r="E302" i="6" s="1"/>
  <c r="D302" i="5"/>
  <c r="D302" i="6" s="1"/>
  <c r="C330" i="6"/>
  <c r="P330" i="6" s="1"/>
  <c r="T330" i="6" s="1"/>
  <c r="D330" i="5"/>
  <c r="D330" i="6" s="1"/>
  <c r="E330" i="5"/>
  <c r="E330" i="6" s="1"/>
  <c r="C355" i="6"/>
  <c r="P355" i="6" s="1"/>
  <c r="T355" i="6" s="1"/>
  <c r="E355" i="5"/>
  <c r="E355" i="6" s="1"/>
  <c r="G355" i="5"/>
  <c r="D355" i="5"/>
  <c r="D355" i="6" s="1"/>
  <c r="A399" i="6"/>
  <c r="L399" i="5"/>
  <c r="K399" i="6" s="1"/>
  <c r="M399" i="5"/>
  <c r="J399" i="6" s="1"/>
  <c r="F399" i="5"/>
  <c r="B399" i="5"/>
  <c r="B399" i="6" s="1"/>
  <c r="A410" i="6"/>
  <c r="M410" i="5"/>
  <c r="J410" i="6" s="1"/>
  <c r="L410" i="5"/>
  <c r="K410" i="6" s="1"/>
  <c r="B410" i="5"/>
  <c r="B410" i="6" s="1"/>
  <c r="F410" i="5"/>
  <c r="D19" i="5"/>
  <c r="D19" i="6" s="1"/>
  <c r="B21" i="5"/>
  <c r="B21" i="6" s="1"/>
  <c r="D35" i="5"/>
  <c r="D35" i="6" s="1"/>
  <c r="B45" i="5"/>
  <c r="B45" i="6" s="1"/>
  <c r="B61" i="5"/>
  <c r="B61" i="6" s="1"/>
  <c r="B69" i="5"/>
  <c r="B69" i="6" s="1"/>
  <c r="M5" i="5"/>
  <c r="J5" i="6" s="1"/>
  <c r="S5" i="6" s="1"/>
  <c r="E8" i="5"/>
  <c r="M13" i="5"/>
  <c r="J13" i="6" s="1"/>
  <c r="S13" i="6" s="1"/>
  <c r="E16" i="5"/>
  <c r="E16" i="6" s="1"/>
  <c r="L18" i="5"/>
  <c r="B4" i="5"/>
  <c r="B4" i="6" s="1"/>
  <c r="D10" i="5"/>
  <c r="D10" i="6" s="1"/>
  <c r="M10" i="5"/>
  <c r="J10" i="6" s="1"/>
  <c r="S10" i="6" s="1"/>
  <c r="B12" i="5"/>
  <c r="B12" i="6" s="1"/>
  <c r="H14" i="5"/>
  <c r="D18" i="5"/>
  <c r="D18" i="6" s="1"/>
  <c r="M18" i="5"/>
  <c r="J18" i="6" s="1"/>
  <c r="S18" i="6" s="1"/>
  <c r="G19" i="5"/>
  <c r="B20" i="5"/>
  <c r="B20" i="6" s="1"/>
  <c r="D26" i="5"/>
  <c r="D26" i="6" s="1"/>
  <c r="M26" i="5"/>
  <c r="J26" i="6" s="1"/>
  <c r="S26" i="6" s="1"/>
  <c r="B28" i="5"/>
  <c r="B28" i="6" s="1"/>
  <c r="D34" i="5"/>
  <c r="D34" i="6" s="1"/>
  <c r="M34" i="5"/>
  <c r="J34" i="6" s="1"/>
  <c r="S34" i="6" s="1"/>
  <c r="G35" i="5"/>
  <c r="B36" i="5"/>
  <c r="B36" i="6" s="1"/>
  <c r="D42" i="5"/>
  <c r="D42" i="6" s="1"/>
  <c r="M42" i="5"/>
  <c r="J42" i="6" s="1"/>
  <c r="S42" i="6" s="1"/>
  <c r="G43" i="5"/>
  <c r="B44" i="5"/>
  <c r="B44" i="6" s="1"/>
  <c r="D50" i="5"/>
  <c r="D50" i="6" s="1"/>
  <c r="M50" i="5"/>
  <c r="B52" i="5"/>
  <c r="B52" i="6" s="1"/>
  <c r="D58" i="5"/>
  <c r="D58" i="6" s="1"/>
  <c r="M58" i="5"/>
  <c r="G59" i="5"/>
  <c r="B60" i="5"/>
  <c r="B60" i="6" s="1"/>
  <c r="H62" i="5"/>
  <c r="D66" i="5"/>
  <c r="D66" i="6" s="1"/>
  <c r="M66" i="5"/>
  <c r="J66" i="6" s="1"/>
  <c r="S66" i="6" s="1"/>
  <c r="B68" i="5"/>
  <c r="B68" i="6" s="1"/>
  <c r="D74" i="5"/>
  <c r="D74" i="6" s="1"/>
  <c r="M74" i="5"/>
  <c r="J74" i="6" s="1"/>
  <c r="S74" i="6" s="1"/>
  <c r="G75" i="5"/>
  <c r="B76" i="5"/>
  <c r="B76" i="6" s="1"/>
  <c r="D82" i="5"/>
  <c r="D82" i="6" s="1"/>
  <c r="M82" i="5"/>
  <c r="J82" i="6" s="1"/>
  <c r="S82" i="6" s="1"/>
  <c r="G83" i="5"/>
  <c r="B84" i="5"/>
  <c r="B84" i="6" s="1"/>
  <c r="D90" i="5"/>
  <c r="D90" i="6" s="1"/>
  <c r="M90" i="5"/>
  <c r="J90" i="6" s="1"/>
  <c r="S90" i="6" s="1"/>
  <c r="B92" i="5"/>
  <c r="B92" i="6" s="1"/>
  <c r="D98" i="5"/>
  <c r="D98" i="6" s="1"/>
  <c r="M98" i="5"/>
  <c r="J98" i="6" s="1"/>
  <c r="S98" i="6" s="1"/>
  <c r="G99" i="5"/>
  <c r="B100" i="5"/>
  <c r="B100" i="6" s="1"/>
  <c r="L100" i="5"/>
  <c r="K100" i="6" s="1"/>
  <c r="T100" i="6" s="1"/>
  <c r="G101" i="5"/>
  <c r="S102" i="6"/>
  <c r="C106" i="6"/>
  <c r="P106" i="6" s="1"/>
  <c r="D106" i="5"/>
  <c r="D106" i="6" s="1"/>
  <c r="A109" i="6"/>
  <c r="B111" i="5"/>
  <c r="G114" i="5"/>
  <c r="C115" i="6"/>
  <c r="P115" i="6" s="1"/>
  <c r="S115" i="6" s="1"/>
  <c r="G115" i="5"/>
  <c r="H116" i="5"/>
  <c r="D117" i="5"/>
  <c r="D117" i="6" s="1"/>
  <c r="A120" i="6"/>
  <c r="F120" i="5"/>
  <c r="A122" i="6"/>
  <c r="M122" i="5"/>
  <c r="J122" i="6" s="1"/>
  <c r="J122" i="5"/>
  <c r="G122" i="6" s="1"/>
  <c r="M124" i="5"/>
  <c r="J124" i="6" s="1"/>
  <c r="S124" i="6" s="1"/>
  <c r="D126" i="5"/>
  <c r="D126" i="6" s="1"/>
  <c r="D128" i="5"/>
  <c r="D128" i="6" s="1"/>
  <c r="E130" i="5"/>
  <c r="E130" i="6" s="1"/>
  <c r="F132" i="5"/>
  <c r="B133" i="5"/>
  <c r="B133" i="6" s="1"/>
  <c r="L133" i="5"/>
  <c r="K133" i="6" s="1"/>
  <c r="G134" i="5"/>
  <c r="S137" i="6"/>
  <c r="D139" i="5"/>
  <c r="D139" i="6" s="1"/>
  <c r="F141" i="5"/>
  <c r="B142" i="5"/>
  <c r="L142" i="5"/>
  <c r="K142" i="6" s="1"/>
  <c r="T142" i="6" s="1"/>
  <c r="B144" i="5"/>
  <c r="L144" i="5"/>
  <c r="K144" i="6" s="1"/>
  <c r="B146" i="5"/>
  <c r="B146" i="6" s="1"/>
  <c r="L146" i="5"/>
  <c r="K146" i="6" s="1"/>
  <c r="D148" i="5"/>
  <c r="D148" i="6" s="1"/>
  <c r="A151" i="6"/>
  <c r="L151" i="5"/>
  <c r="K151" i="6" s="1"/>
  <c r="F154" i="5"/>
  <c r="B155" i="5"/>
  <c r="L155" i="5"/>
  <c r="K155" i="6" s="1"/>
  <c r="G156" i="5"/>
  <c r="C157" i="6"/>
  <c r="P157" i="6" s="1"/>
  <c r="E157" i="5"/>
  <c r="E157" i="6" s="1"/>
  <c r="D161" i="5"/>
  <c r="D161" i="6" s="1"/>
  <c r="A164" i="6"/>
  <c r="B164" i="5"/>
  <c r="L164" i="5"/>
  <c r="K164" i="6" s="1"/>
  <c r="C170" i="6"/>
  <c r="P170" i="6" s="1"/>
  <c r="D170" i="5"/>
  <c r="D170" i="6" s="1"/>
  <c r="A173" i="6"/>
  <c r="J173" i="5"/>
  <c r="G173" i="6" s="1"/>
  <c r="B175" i="5"/>
  <c r="G176" i="5"/>
  <c r="G178" i="5"/>
  <c r="C179" i="6"/>
  <c r="P179" i="6" s="1"/>
  <c r="T179" i="6" s="1"/>
  <c r="G179" i="5"/>
  <c r="M179" i="5"/>
  <c r="J179" i="6" s="1"/>
  <c r="D181" i="5"/>
  <c r="D181" i="6" s="1"/>
  <c r="A184" i="6"/>
  <c r="F184" i="5"/>
  <c r="E185" i="5"/>
  <c r="A186" i="6"/>
  <c r="M186" i="5"/>
  <c r="E188" i="5"/>
  <c r="E188" i="6" s="1"/>
  <c r="B189" i="5"/>
  <c r="B189" i="6" s="1"/>
  <c r="M189" i="5"/>
  <c r="E194" i="5"/>
  <c r="E194" i="6" s="1"/>
  <c r="I196" i="5"/>
  <c r="E198" i="5"/>
  <c r="E198" i="6" s="1"/>
  <c r="B199" i="5"/>
  <c r="B199" i="6" s="1"/>
  <c r="E204" i="5"/>
  <c r="E204" i="6" s="1"/>
  <c r="B205" i="5"/>
  <c r="B205" i="6" s="1"/>
  <c r="M205" i="5"/>
  <c r="J205" i="6" s="1"/>
  <c r="E210" i="5"/>
  <c r="E210" i="6" s="1"/>
  <c r="E214" i="5"/>
  <c r="E214" i="6" s="1"/>
  <c r="B215" i="5"/>
  <c r="B215" i="6" s="1"/>
  <c r="J215" i="5"/>
  <c r="G215" i="6" s="1"/>
  <c r="C221" i="6"/>
  <c r="P221" i="6" s="1"/>
  <c r="T221" i="6" s="1"/>
  <c r="G221" i="5"/>
  <c r="E221" i="5"/>
  <c r="E221" i="6" s="1"/>
  <c r="A223" i="6"/>
  <c r="F223" i="5"/>
  <c r="M223" i="5"/>
  <c r="J223" i="6" s="1"/>
  <c r="L223" i="5"/>
  <c r="K223" i="6" s="1"/>
  <c r="C229" i="6"/>
  <c r="P229" i="6" s="1"/>
  <c r="S229" i="6" s="1"/>
  <c r="E229" i="5"/>
  <c r="E229" i="6" s="1"/>
  <c r="C235" i="6"/>
  <c r="P235" i="6" s="1"/>
  <c r="D235" i="5"/>
  <c r="D235" i="6" s="1"/>
  <c r="G235" i="5"/>
  <c r="I236" i="5"/>
  <c r="A261" i="6"/>
  <c r="L261" i="5"/>
  <c r="K261" i="6" s="1"/>
  <c r="F261" i="5"/>
  <c r="C267" i="6"/>
  <c r="P267" i="6" s="1"/>
  <c r="E267" i="5"/>
  <c r="E267" i="6" s="1"/>
  <c r="A285" i="6"/>
  <c r="L285" i="5"/>
  <c r="K285" i="6" s="1"/>
  <c r="T285" i="6" s="1"/>
  <c r="F285" i="5"/>
  <c r="A289" i="6"/>
  <c r="L289" i="5"/>
  <c r="K289" i="6" s="1"/>
  <c r="T289" i="6" s="1"/>
  <c r="F289" i="5"/>
  <c r="M289" i="5"/>
  <c r="J289" i="6" s="1"/>
  <c r="S289" i="6" s="1"/>
  <c r="B289" i="5"/>
  <c r="B289" i="6" s="1"/>
  <c r="M306" i="5"/>
  <c r="J306" i="6" s="1"/>
  <c r="S306" i="6" s="1"/>
  <c r="A332" i="6"/>
  <c r="M332" i="5"/>
  <c r="B332" i="5"/>
  <c r="B332" i="6" s="1"/>
  <c r="L332" i="5"/>
  <c r="K332" i="6" s="1"/>
  <c r="F332" i="5"/>
  <c r="A344" i="6"/>
  <c r="M344" i="5"/>
  <c r="J344" i="6" s="1"/>
  <c r="F344" i="5"/>
  <c r="L344" i="5"/>
  <c r="K344" i="6" s="1"/>
  <c r="B344" i="5"/>
  <c r="C405" i="6"/>
  <c r="P405" i="6" s="1"/>
  <c r="E405" i="5"/>
  <c r="E405" i="6" s="1"/>
  <c r="D405" i="5"/>
  <c r="D405" i="6" s="1"/>
  <c r="C4" i="6"/>
  <c r="F13" i="5"/>
  <c r="F37" i="5"/>
  <c r="F61" i="5"/>
  <c r="F69" i="5"/>
  <c r="F77" i="5"/>
  <c r="F85" i="5"/>
  <c r="D115" i="5"/>
  <c r="D115" i="6" s="1"/>
  <c r="I116" i="5"/>
  <c r="F117" i="5"/>
  <c r="B118" i="5"/>
  <c r="B118" i="6" s="1"/>
  <c r="L118" i="5"/>
  <c r="K118" i="6" s="1"/>
  <c r="T118" i="6" s="1"/>
  <c r="F119" i="5"/>
  <c r="B120" i="5"/>
  <c r="B120" i="6" s="1"/>
  <c r="L120" i="5"/>
  <c r="K120" i="6" s="1"/>
  <c r="T120" i="6" s="1"/>
  <c r="B122" i="5"/>
  <c r="B122" i="6" s="1"/>
  <c r="L122" i="5"/>
  <c r="K122" i="6" s="1"/>
  <c r="D124" i="5"/>
  <c r="D124" i="6" s="1"/>
  <c r="E126" i="5"/>
  <c r="E126" i="6" s="1"/>
  <c r="A127" i="6"/>
  <c r="L127" i="5"/>
  <c r="K127" i="6" s="1"/>
  <c r="E128" i="5"/>
  <c r="E128" i="6" s="1"/>
  <c r="F130" i="5"/>
  <c r="B131" i="5"/>
  <c r="B131" i="6" s="1"/>
  <c r="L131" i="5"/>
  <c r="K131" i="6" s="1"/>
  <c r="C133" i="6"/>
  <c r="P133" i="6" s="1"/>
  <c r="E133" i="5"/>
  <c r="E133" i="6" s="1"/>
  <c r="M133" i="5"/>
  <c r="J133" i="6" s="1"/>
  <c r="D137" i="5"/>
  <c r="D137" i="6" s="1"/>
  <c r="E139" i="5"/>
  <c r="E139" i="6" s="1"/>
  <c r="A140" i="6"/>
  <c r="B140" i="5"/>
  <c r="B140" i="6" s="1"/>
  <c r="L140" i="5"/>
  <c r="K140" i="6" s="1"/>
  <c r="T140" i="6" s="1"/>
  <c r="G141" i="5"/>
  <c r="M142" i="5"/>
  <c r="J142" i="6" s="1"/>
  <c r="S142" i="6" s="1"/>
  <c r="M144" i="5"/>
  <c r="J144" i="6" s="1"/>
  <c r="C146" i="6"/>
  <c r="P146" i="6" s="1"/>
  <c r="D146" i="5"/>
  <c r="D146" i="6" s="1"/>
  <c r="E148" i="5"/>
  <c r="E148" i="6" s="1"/>
  <c r="A149" i="6"/>
  <c r="F150" i="5"/>
  <c r="B151" i="5"/>
  <c r="B151" i="6" s="1"/>
  <c r="G154" i="5"/>
  <c r="C155" i="6"/>
  <c r="P155" i="6" s="1"/>
  <c r="G155" i="5"/>
  <c r="M155" i="5"/>
  <c r="J155" i="6" s="1"/>
  <c r="D157" i="5"/>
  <c r="D157" i="6" s="1"/>
  <c r="A160" i="6"/>
  <c r="F160" i="5"/>
  <c r="E161" i="5"/>
  <c r="E161" i="6" s="1"/>
  <c r="A162" i="6"/>
  <c r="M162" i="5"/>
  <c r="J162" i="6" s="1"/>
  <c r="F163" i="5"/>
  <c r="M164" i="5"/>
  <c r="J164" i="6" s="1"/>
  <c r="D166" i="5"/>
  <c r="D166" i="6" s="1"/>
  <c r="D168" i="5"/>
  <c r="D168" i="6" s="1"/>
  <c r="E170" i="5"/>
  <c r="E170" i="6" s="1"/>
  <c r="F172" i="5"/>
  <c r="B173" i="5"/>
  <c r="B173" i="6" s="1"/>
  <c r="L173" i="5"/>
  <c r="K173" i="6" s="1"/>
  <c r="G174" i="5"/>
  <c r="M175" i="5"/>
  <c r="J175" i="6" s="1"/>
  <c r="D179" i="5"/>
  <c r="D179" i="6" s="1"/>
  <c r="F181" i="5"/>
  <c r="B182" i="5"/>
  <c r="B182" i="6" s="1"/>
  <c r="L182" i="5"/>
  <c r="K182" i="6" s="1"/>
  <c r="F183" i="5"/>
  <c r="B184" i="5"/>
  <c r="B184" i="6" s="1"/>
  <c r="L184" i="5"/>
  <c r="K184" i="6" s="1"/>
  <c r="B186" i="5"/>
  <c r="B186" i="6" s="1"/>
  <c r="L186" i="5"/>
  <c r="K186" i="6" s="1"/>
  <c r="F188" i="5"/>
  <c r="C189" i="6"/>
  <c r="P189" i="6" s="1"/>
  <c r="E189" i="5"/>
  <c r="E189" i="6" s="1"/>
  <c r="A190" i="6"/>
  <c r="B190" i="5"/>
  <c r="B190" i="6" s="1"/>
  <c r="M190" i="5"/>
  <c r="D192" i="5"/>
  <c r="D192" i="6" s="1"/>
  <c r="G194" i="5"/>
  <c r="C195" i="6"/>
  <c r="P195" i="6" s="1"/>
  <c r="G195" i="5"/>
  <c r="F198" i="5"/>
  <c r="M199" i="5"/>
  <c r="A202" i="6"/>
  <c r="F202" i="5"/>
  <c r="M202" i="5"/>
  <c r="L202" i="5"/>
  <c r="K202" i="6" s="1"/>
  <c r="F204" i="5"/>
  <c r="C205" i="6"/>
  <c r="P205" i="6" s="1"/>
  <c r="E205" i="5"/>
  <c r="E205" i="6" s="1"/>
  <c r="A206" i="6"/>
  <c r="B206" i="5"/>
  <c r="B206" i="6" s="1"/>
  <c r="M206" i="5"/>
  <c r="J206" i="6" s="1"/>
  <c r="S206" i="6" s="1"/>
  <c r="D208" i="5"/>
  <c r="D208" i="6" s="1"/>
  <c r="C211" i="6"/>
  <c r="P211" i="6" s="1"/>
  <c r="F214" i="5"/>
  <c r="M215" i="5"/>
  <c r="J215" i="6" s="1"/>
  <c r="A218" i="6"/>
  <c r="F218" i="5"/>
  <c r="M218" i="5"/>
  <c r="J218" i="6" s="1"/>
  <c r="L218" i="5"/>
  <c r="K218" i="6" s="1"/>
  <c r="F220" i="5"/>
  <c r="D221" i="5"/>
  <c r="D221" i="6" s="1"/>
  <c r="D222" i="5"/>
  <c r="D222" i="6" s="1"/>
  <c r="B223" i="5"/>
  <c r="B223" i="6" s="1"/>
  <c r="D229" i="5"/>
  <c r="D229" i="6" s="1"/>
  <c r="C234" i="6"/>
  <c r="P234" i="6" s="1"/>
  <c r="G234" i="5"/>
  <c r="E234" i="5"/>
  <c r="E234" i="6" s="1"/>
  <c r="D234" i="5"/>
  <c r="D234" i="6" s="1"/>
  <c r="E235" i="5"/>
  <c r="E235" i="6" s="1"/>
  <c r="J236" i="5"/>
  <c r="G236" i="6" s="1"/>
  <c r="A238" i="6"/>
  <c r="B238" i="5"/>
  <c r="B238" i="6" s="1"/>
  <c r="F238" i="5"/>
  <c r="F245" i="5"/>
  <c r="A247" i="6"/>
  <c r="F247" i="5"/>
  <c r="M247" i="5"/>
  <c r="J247" i="6" s="1"/>
  <c r="B261" i="5"/>
  <c r="B261" i="6" s="1"/>
  <c r="D267" i="5"/>
  <c r="D267" i="6" s="1"/>
  <c r="L268" i="5"/>
  <c r="K268" i="6" s="1"/>
  <c r="B285" i="5"/>
  <c r="B285" i="6" s="1"/>
  <c r="C323" i="6"/>
  <c r="P323" i="6" s="1"/>
  <c r="E323" i="5"/>
  <c r="E323" i="6" s="1"/>
  <c r="G323" i="5"/>
  <c r="D323" i="5"/>
  <c r="D323" i="6" s="1"/>
  <c r="A420" i="6"/>
  <c r="B420" i="5"/>
  <c r="B420" i="6" s="1"/>
  <c r="M420" i="5"/>
  <c r="J420" i="6" s="1"/>
  <c r="F420" i="5"/>
  <c r="C427" i="6"/>
  <c r="P427" i="6" s="1"/>
  <c r="E427" i="5"/>
  <c r="E427" i="6" s="1"/>
  <c r="D427" i="5"/>
  <c r="D427" i="6" s="1"/>
  <c r="F5" i="5"/>
  <c r="F21" i="5"/>
  <c r="F29" i="5"/>
  <c r="F45" i="5"/>
  <c r="F53" i="5"/>
  <c r="T92" i="6"/>
  <c r="F93" i="5"/>
  <c r="S100" i="6"/>
  <c r="D4" i="5"/>
  <c r="D4" i="6" s="1"/>
  <c r="B6" i="5"/>
  <c r="B6" i="6" s="1"/>
  <c r="F10" i="5"/>
  <c r="D12" i="5"/>
  <c r="D12" i="6" s="1"/>
  <c r="B14" i="5"/>
  <c r="B14" i="6" s="1"/>
  <c r="F18" i="5"/>
  <c r="D20" i="5"/>
  <c r="D20" i="6" s="1"/>
  <c r="D28" i="5"/>
  <c r="D28" i="6" s="1"/>
  <c r="F34" i="5"/>
  <c r="D60" i="5"/>
  <c r="D60" i="6" s="1"/>
  <c r="B62" i="5"/>
  <c r="B62" i="6" s="1"/>
  <c r="D68" i="5"/>
  <c r="D68" i="6" s="1"/>
  <c r="S68" i="6"/>
  <c r="B70" i="5"/>
  <c r="B70" i="6" s="1"/>
  <c r="D100" i="5"/>
  <c r="D100" i="6" s="1"/>
  <c r="A103" i="6"/>
  <c r="L103" i="5"/>
  <c r="K103" i="6" s="1"/>
  <c r="D113" i="5"/>
  <c r="D113" i="6" s="1"/>
  <c r="A116" i="6"/>
  <c r="B116" i="5"/>
  <c r="L116" i="5"/>
  <c r="K116" i="6" s="1"/>
  <c r="S120" i="6"/>
  <c r="C122" i="6"/>
  <c r="P122" i="6" s="1"/>
  <c r="D122" i="5"/>
  <c r="D122" i="6" s="1"/>
  <c r="A125" i="6"/>
  <c r="F126" i="5"/>
  <c r="C131" i="6"/>
  <c r="P131" i="6" s="1"/>
  <c r="A136" i="6"/>
  <c r="F136" i="5"/>
  <c r="A138" i="6"/>
  <c r="M138" i="5"/>
  <c r="J138" i="6" s="1"/>
  <c r="F139" i="5"/>
  <c r="S140" i="6"/>
  <c r="F159" i="5"/>
  <c r="A167" i="6"/>
  <c r="L167" i="5"/>
  <c r="K167" i="6" s="1"/>
  <c r="T167" i="6" s="1"/>
  <c r="C173" i="6"/>
  <c r="P173" i="6" s="1"/>
  <c r="E173" i="5"/>
  <c r="E173" i="6" s="1"/>
  <c r="A180" i="6"/>
  <c r="B180" i="5"/>
  <c r="L180" i="5"/>
  <c r="K180" i="6" s="1"/>
  <c r="C186" i="6"/>
  <c r="P186" i="6" s="1"/>
  <c r="D186" i="5"/>
  <c r="D186" i="6" s="1"/>
  <c r="A196" i="6"/>
  <c r="M196" i="5"/>
  <c r="B196" i="5"/>
  <c r="B196" i="6" s="1"/>
  <c r="A200" i="6"/>
  <c r="F200" i="5"/>
  <c r="L200" i="5"/>
  <c r="K200" i="6" s="1"/>
  <c r="T200" i="6" s="1"/>
  <c r="A212" i="6"/>
  <c r="M212" i="5"/>
  <c r="J212" i="6" s="1"/>
  <c r="B212" i="5"/>
  <c r="B212" i="6" s="1"/>
  <c r="A216" i="6"/>
  <c r="F216" i="5"/>
  <c r="L216" i="5"/>
  <c r="K216" i="6" s="1"/>
  <c r="T216" i="6" s="1"/>
  <c r="A228" i="6"/>
  <c r="M228" i="5"/>
  <c r="J228" i="6" s="1"/>
  <c r="S228" i="6" s="1"/>
  <c r="L228" i="5"/>
  <c r="K228" i="6" s="1"/>
  <c r="T228" i="6" s="1"/>
  <c r="B228" i="5"/>
  <c r="B228" i="6" s="1"/>
  <c r="J233" i="5"/>
  <c r="G233" i="6" s="1"/>
  <c r="C238" i="6"/>
  <c r="P238" i="6" s="1"/>
  <c r="T238" i="6" s="1"/>
  <c r="G238" i="5"/>
  <c r="E238" i="5"/>
  <c r="E238" i="6" s="1"/>
  <c r="D238" i="5"/>
  <c r="D238" i="6" s="1"/>
  <c r="A242" i="6"/>
  <c r="F242" i="5"/>
  <c r="L242" i="5"/>
  <c r="K242" i="6" s="1"/>
  <c r="B242" i="5"/>
  <c r="A244" i="6"/>
  <c r="M244" i="5"/>
  <c r="J244" i="6" s="1"/>
  <c r="L244" i="5"/>
  <c r="K244" i="6" s="1"/>
  <c r="B244" i="5"/>
  <c r="B244" i="6" s="1"/>
  <c r="F244" i="5"/>
  <c r="G244" i="5" s="1"/>
  <c r="F259" i="6"/>
  <c r="N259" i="6" s="1"/>
  <c r="O259" i="6" s="1"/>
  <c r="I259" i="5"/>
  <c r="J259" i="5"/>
  <c r="G259" i="6" s="1"/>
  <c r="H259" i="5"/>
  <c r="A265" i="6"/>
  <c r="L265" i="5"/>
  <c r="K265" i="6" s="1"/>
  <c r="T265" i="6" s="1"/>
  <c r="F265" i="5"/>
  <c r="M265" i="5"/>
  <c r="J265" i="6" s="1"/>
  <c r="S265" i="6" s="1"/>
  <c r="B265" i="5"/>
  <c r="B265" i="6" s="1"/>
  <c r="C271" i="6"/>
  <c r="P271" i="6" s="1"/>
  <c r="S271" i="6" s="1"/>
  <c r="E271" i="5"/>
  <c r="E271" i="6" s="1"/>
  <c r="D271" i="5"/>
  <c r="D271" i="6" s="1"/>
  <c r="L272" i="5"/>
  <c r="K272" i="6" s="1"/>
  <c r="F283" i="6"/>
  <c r="N283" i="6" s="1"/>
  <c r="O283" i="6" s="1"/>
  <c r="I283" i="5"/>
  <c r="J283" i="5"/>
  <c r="G283" i="6" s="1"/>
  <c r="H283" i="5"/>
  <c r="F336" i="6"/>
  <c r="N336" i="6" s="1"/>
  <c r="O336" i="6" s="1"/>
  <c r="H336" i="5"/>
  <c r="J336" i="5"/>
  <c r="G336" i="6" s="1"/>
  <c r="I336" i="5"/>
  <c r="A376" i="6"/>
  <c r="M376" i="5"/>
  <c r="J376" i="6" s="1"/>
  <c r="F376" i="5"/>
  <c r="L376" i="5"/>
  <c r="K376" i="6" s="1"/>
  <c r="B376" i="5"/>
  <c r="B22" i="5"/>
  <c r="B22" i="6" s="1"/>
  <c r="F26" i="5"/>
  <c r="B30" i="5"/>
  <c r="B30" i="6" s="1"/>
  <c r="D36" i="5"/>
  <c r="D36" i="6" s="1"/>
  <c r="B38" i="5"/>
  <c r="B38" i="6" s="1"/>
  <c r="F42" i="5"/>
  <c r="D44" i="5"/>
  <c r="D44" i="6" s="1"/>
  <c r="B46" i="5"/>
  <c r="B46" i="6" s="1"/>
  <c r="F50" i="5"/>
  <c r="D52" i="5"/>
  <c r="D52" i="6" s="1"/>
  <c r="B54" i="5"/>
  <c r="B54" i="6" s="1"/>
  <c r="F58" i="5"/>
  <c r="F66" i="5"/>
  <c r="F74" i="5"/>
  <c r="D76" i="5"/>
  <c r="D76" i="6" s="1"/>
  <c r="B78" i="5"/>
  <c r="B78" i="6" s="1"/>
  <c r="T81" i="6"/>
  <c r="F82" i="5"/>
  <c r="D84" i="5"/>
  <c r="D84" i="6" s="1"/>
  <c r="B86" i="5"/>
  <c r="B86" i="6" s="1"/>
  <c r="F90" i="5"/>
  <c r="D92" i="5"/>
  <c r="D92" i="6" s="1"/>
  <c r="B94" i="5"/>
  <c r="B94" i="6" s="1"/>
  <c r="F98" i="5"/>
  <c r="B107" i="5"/>
  <c r="L107" i="5"/>
  <c r="K107" i="6" s="1"/>
  <c r="C109" i="6"/>
  <c r="P109" i="6" s="1"/>
  <c r="T109" i="6" s="1"/>
  <c r="E109" i="5"/>
  <c r="E109" i="6" s="1"/>
  <c r="E4" i="5"/>
  <c r="L6" i="5"/>
  <c r="F7" i="5"/>
  <c r="D9" i="5"/>
  <c r="D9" i="6" s="1"/>
  <c r="M9" i="5"/>
  <c r="J9" i="6" s="1"/>
  <c r="S9" i="6" s="1"/>
  <c r="B11" i="5"/>
  <c r="B11" i="6" s="1"/>
  <c r="E12" i="5"/>
  <c r="E12" i="6" s="1"/>
  <c r="L14" i="5"/>
  <c r="D17" i="5"/>
  <c r="D17" i="6" s="1"/>
  <c r="M17" i="5"/>
  <c r="J17" i="6" s="1"/>
  <c r="S17" i="6" s="1"/>
  <c r="G18" i="5"/>
  <c r="B19" i="5"/>
  <c r="B19" i="6" s="1"/>
  <c r="E20" i="5"/>
  <c r="E20" i="6" s="1"/>
  <c r="L22" i="5"/>
  <c r="D25" i="5"/>
  <c r="D25" i="6" s="1"/>
  <c r="M25" i="5"/>
  <c r="J25" i="6" s="1"/>
  <c r="S25" i="6" s="1"/>
  <c r="B27" i="5"/>
  <c r="B27" i="6" s="1"/>
  <c r="E28" i="5"/>
  <c r="E28" i="6" s="1"/>
  <c r="L30" i="5"/>
  <c r="K30" i="6" s="1"/>
  <c r="T30" i="6" s="1"/>
  <c r="D33" i="5"/>
  <c r="D33" i="6" s="1"/>
  <c r="M33" i="5"/>
  <c r="J33" i="6" s="1"/>
  <c r="S33" i="6" s="1"/>
  <c r="G34" i="5"/>
  <c r="B35" i="5"/>
  <c r="B35" i="6" s="1"/>
  <c r="E36" i="5"/>
  <c r="E36" i="6" s="1"/>
  <c r="H37" i="5"/>
  <c r="L38" i="5"/>
  <c r="K38" i="6" s="1"/>
  <c r="T38" i="6" s="1"/>
  <c r="D41" i="5"/>
  <c r="D41" i="6" s="1"/>
  <c r="M41" i="5"/>
  <c r="J41" i="6" s="1"/>
  <c r="S41" i="6" s="1"/>
  <c r="G42" i="5"/>
  <c r="B43" i="5"/>
  <c r="B43" i="6" s="1"/>
  <c r="E44" i="5"/>
  <c r="E44" i="6" s="1"/>
  <c r="L46" i="5"/>
  <c r="K46" i="6" s="1"/>
  <c r="T46" i="6" s="1"/>
  <c r="D49" i="5"/>
  <c r="D49" i="6" s="1"/>
  <c r="M49" i="5"/>
  <c r="B51" i="5"/>
  <c r="B51" i="6" s="1"/>
  <c r="E52" i="5"/>
  <c r="E52" i="6" s="1"/>
  <c r="L54" i="5"/>
  <c r="K54" i="6" s="1"/>
  <c r="D57" i="5"/>
  <c r="D57" i="6" s="1"/>
  <c r="M57" i="5"/>
  <c r="G58" i="5"/>
  <c r="B59" i="5"/>
  <c r="B59" i="6" s="1"/>
  <c r="E60" i="5"/>
  <c r="E60" i="6" s="1"/>
  <c r="L62" i="5"/>
  <c r="K62" i="6" s="1"/>
  <c r="D65" i="5"/>
  <c r="D65" i="6" s="1"/>
  <c r="M65" i="5"/>
  <c r="J65" i="6" s="1"/>
  <c r="S65" i="6" s="1"/>
  <c r="B67" i="5"/>
  <c r="B67" i="6" s="1"/>
  <c r="E68" i="5"/>
  <c r="E68" i="6" s="1"/>
  <c r="L70" i="5"/>
  <c r="K70" i="6" s="1"/>
  <c r="T70" i="6" s="1"/>
  <c r="D73" i="5"/>
  <c r="D73" i="6" s="1"/>
  <c r="M73" i="5"/>
  <c r="J73" i="6" s="1"/>
  <c r="S73" i="6" s="1"/>
  <c r="G74" i="5"/>
  <c r="B75" i="5"/>
  <c r="B75" i="6" s="1"/>
  <c r="E76" i="5"/>
  <c r="E76" i="6" s="1"/>
  <c r="L78" i="5"/>
  <c r="K78" i="6" s="1"/>
  <c r="T78" i="6" s="1"/>
  <c r="I80" i="5"/>
  <c r="D81" i="5"/>
  <c r="D81" i="6" s="1"/>
  <c r="M81" i="5"/>
  <c r="J81" i="6" s="1"/>
  <c r="S81" i="6" s="1"/>
  <c r="G82" i="5"/>
  <c r="B83" i="5"/>
  <c r="B83" i="6" s="1"/>
  <c r="E84" i="5"/>
  <c r="E84" i="6" s="1"/>
  <c r="L86" i="5"/>
  <c r="K86" i="6" s="1"/>
  <c r="T86" i="6" s="1"/>
  <c r="D89" i="5"/>
  <c r="D89" i="6" s="1"/>
  <c r="M89" i="5"/>
  <c r="J89" i="6" s="1"/>
  <c r="S89" i="6" s="1"/>
  <c r="B91" i="5"/>
  <c r="B91" i="6" s="1"/>
  <c r="E92" i="5"/>
  <c r="E92" i="6" s="1"/>
  <c r="L94" i="5"/>
  <c r="K94" i="6" s="1"/>
  <c r="D97" i="5"/>
  <c r="D97" i="6" s="1"/>
  <c r="M97" i="5"/>
  <c r="J97" i="6" s="1"/>
  <c r="S97" i="6" s="1"/>
  <c r="G98" i="5"/>
  <c r="B99" i="5"/>
  <c r="B99" i="6" s="1"/>
  <c r="E100" i="5"/>
  <c r="E100" i="6" s="1"/>
  <c r="A101" i="6"/>
  <c r="B103" i="5"/>
  <c r="T105" i="6"/>
  <c r="C107" i="6"/>
  <c r="P107" i="6" s="1"/>
  <c r="M107" i="5"/>
  <c r="J107" i="6" s="1"/>
  <c r="D109" i="5"/>
  <c r="D109" i="6" s="1"/>
  <c r="A112" i="6"/>
  <c r="F112" i="5"/>
  <c r="E113" i="5"/>
  <c r="E113" i="6" s="1"/>
  <c r="A114" i="6"/>
  <c r="M114" i="5"/>
  <c r="J114" i="6" s="1"/>
  <c r="F115" i="5"/>
  <c r="M116" i="5"/>
  <c r="J116" i="6" s="1"/>
  <c r="H117" i="5"/>
  <c r="D118" i="5"/>
  <c r="D118" i="6" s="1"/>
  <c r="D120" i="5"/>
  <c r="D120" i="6" s="1"/>
  <c r="E122" i="5"/>
  <c r="E122" i="6" s="1"/>
  <c r="F124" i="5"/>
  <c r="B125" i="5"/>
  <c r="B125" i="6" s="1"/>
  <c r="L125" i="5"/>
  <c r="K125" i="6" s="1"/>
  <c r="D131" i="5"/>
  <c r="D131" i="6" s="1"/>
  <c r="F133" i="5"/>
  <c r="B134" i="5"/>
  <c r="B134" i="6" s="1"/>
  <c r="L134" i="5"/>
  <c r="K134" i="6" s="1"/>
  <c r="T134" i="6" s="1"/>
  <c r="F135" i="5"/>
  <c r="B136" i="5"/>
  <c r="B136" i="6" s="1"/>
  <c r="L136" i="5"/>
  <c r="K136" i="6" s="1"/>
  <c r="T136" i="6" s="1"/>
  <c r="B138" i="5"/>
  <c r="B138" i="6" s="1"/>
  <c r="L138" i="5"/>
  <c r="K138" i="6" s="1"/>
  <c r="D140" i="5"/>
  <c r="D140" i="6" s="1"/>
  <c r="A143" i="6"/>
  <c r="L143" i="5"/>
  <c r="K143" i="6" s="1"/>
  <c r="T143" i="6" s="1"/>
  <c r="F146" i="5"/>
  <c r="G146" i="5" s="1"/>
  <c r="B147" i="5"/>
  <c r="B147" i="6" s="1"/>
  <c r="L147" i="5"/>
  <c r="K147" i="6" s="1"/>
  <c r="C149" i="6"/>
  <c r="P149" i="6" s="1"/>
  <c r="E149" i="5"/>
  <c r="E149" i="6" s="1"/>
  <c r="D153" i="5"/>
  <c r="D153" i="6" s="1"/>
  <c r="A156" i="6"/>
  <c r="B156" i="5"/>
  <c r="B156" i="6" s="1"/>
  <c r="L156" i="5"/>
  <c r="K156" i="6" s="1"/>
  <c r="T156" i="6" s="1"/>
  <c r="G157" i="5"/>
  <c r="G161" i="5"/>
  <c r="C162" i="6"/>
  <c r="P162" i="6" s="1"/>
  <c r="D162" i="5"/>
  <c r="D162" i="6" s="1"/>
  <c r="A165" i="6"/>
  <c r="F166" i="5"/>
  <c r="B167" i="5"/>
  <c r="C171" i="6"/>
  <c r="P171" i="6" s="1"/>
  <c r="D173" i="5"/>
  <c r="D173" i="6" s="1"/>
  <c r="A176" i="6"/>
  <c r="F176" i="5"/>
  <c r="A178" i="6"/>
  <c r="M178" i="5"/>
  <c r="J178" i="6" s="1"/>
  <c r="F179" i="5"/>
  <c r="M180" i="5"/>
  <c r="J180" i="6" s="1"/>
  <c r="H181" i="5"/>
  <c r="D182" i="5"/>
  <c r="D182" i="6" s="1"/>
  <c r="D184" i="5"/>
  <c r="D184" i="6" s="1"/>
  <c r="E186" i="5"/>
  <c r="E186" i="6" s="1"/>
  <c r="L187" i="5"/>
  <c r="K187" i="6" s="1"/>
  <c r="F189" i="5"/>
  <c r="D190" i="5"/>
  <c r="D190" i="6" s="1"/>
  <c r="A191" i="6"/>
  <c r="L191" i="5"/>
  <c r="K191" i="6" s="1"/>
  <c r="T191" i="6" s="1"/>
  <c r="C196" i="6"/>
  <c r="P196" i="6" s="1"/>
  <c r="T196" i="6" s="1"/>
  <c r="D196" i="5"/>
  <c r="D196" i="6" s="1"/>
  <c r="A197" i="6"/>
  <c r="L197" i="5"/>
  <c r="K197" i="6" s="1"/>
  <c r="B200" i="5"/>
  <c r="B200" i="6" s="1"/>
  <c r="M200" i="5"/>
  <c r="C202" i="6"/>
  <c r="P202" i="6" s="1"/>
  <c r="D202" i="5"/>
  <c r="D202" i="6" s="1"/>
  <c r="F205" i="5"/>
  <c r="D206" i="5"/>
  <c r="D206" i="6" s="1"/>
  <c r="A207" i="6"/>
  <c r="L207" i="5"/>
  <c r="K207" i="6" s="1"/>
  <c r="C212" i="6"/>
  <c r="P212" i="6" s="1"/>
  <c r="T212" i="6" s="1"/>
  <c r="D212" i="5"/>
  <c r="D212" i="6" s="1"/>
  <c r="A213" i="6"/>
  <c r="L213" i="5"/>
  <c r="K213" i="6" s="1"/>
  <c r="B216" i="5"/>
  <c r="B216" i="6" s="1"/>
  <c r="M216" i="5"/>
  <c r="J216" i="6" s="1"/>
  <c r="S216" i="6" s="1"/>
  <c r="C218" i="6"/>
  <c r="P218" i="6" s="1"/>
  <c r="D218" i="5"/>
  <c r="D218" i="6" s="1"/>
  <c r="L229" i="5"/>
  <c r="K229" i="6" s="1"/>
  <c r="A231" i="6"/>
  <c r="F231" i="5"/>
  <c r="M231" i="5"/>
  <c r="J231" i="6" s="1"/>
  <c r="L231" i="5"/>
  <c r="K231" i="6" s="1"/>
  <c r="H233" i="5"/>
  <c r="A240" i="6"/>
  <c r="L240" i="5"/>
  <c r="K240" i="6" s="1"/>
  <c r="B240" i="5"/>
  <c r="B240" i="6" s="1"/>
  <c r="F240" i="5"/>
  <c r="C242" i="6"/>
  <c r="P242" i="6" s="1"/>
  <c r="S242" i="6" s="1"/>
  <c r="G242" i="5"/>
  <c r="E242" i="5"/>
  <c r="E242" i="6" s="1"/>
  <c r="C244" i="6"/>
  <c r="P244" i="6" s="1"/>
  <c r="D244" i="5"/>
  <c r="D244" i="6" s="1"/>
  <c r="A296" i="6"/>
  <c r="M296" i="5"/>
  <c r="J296" i="6" s="1"/>
  <c r="F296" i="5"/>
  <c r="B296" i="5"/>
  <c r="B296" i="6" s="1"/>
  <c r="G308" i="5"/>
  <c r="F378" i="6"/>
  <c r="N378" i="6" s="1"/>
  <c r="O378" i="6" s="1"/>
  <c r="J378" i="5"/>
  <c r="G378" i="6" s="1"/>
  <c r="I378" i="5"/>
  <c r="H378" i="5"/>
  <c r="C414" i="6"/>
  <c r="P414" i="6" s="1"/>
  <c r="S414" i="6" s="1"/>
  <c r="E414" i="5"/>
  <c r="E414" i="6" s="1"/>
  <c r="G414" i="5"/>
  <c r="D414" i="5"/>
  <c r="D414" i="6" s="1"/>
  <c r="F224" i="5"/>
  <c r="M226" i="5"/>
  <c r="J226" i="6" s="1"/>
  <c r="F232" i="5"/>
  <c r="M234" i="5"/>
  <c r="J234" i="6" s="1"/>
  <c r="A241" i="6"/>
  <c r="L241" i="5"/>
  <c r="K241" i="6" s="1"/>
  <c r="T241" i="6" s="1"/>
  <c r="C247" i="6"/>
  <c r="P247" i="6" s="1"/>
  <c r="E247" i="5"/>
  <c r="E247" i="6" s="1"/>
  <c r="A258" i="6"/>
  <c r="B258" i="5"/>
  <c r="B258" i="6" s="1"/>
  <c r="F258" i="5"/>
  <c r="M258" i="5"/>
  <c r="J258" i="6" s="1"/>
  <c r="C268" i="6"/>
  <c r="P268" i="6" s="1"/>
  <c r="D268" i="5"/>
  <c r="D268" i="6" s="1"/>
  <c r="A269" i="6"/>
  <c r="L269" i="5"/>
  <c r="K269" i="6" s="1"/>
  <c r="T269" i="6" s="1"/>
  <c r="A282" i="6"/>
  <c r="B282" i="5"/>
  <c r="B282" i="6" s="1"/>
  <c r="F282" i="5"/>
  <c r="M282" i="5"/>
  <c r="J282" i="6" s="1"/>
  <c r="C292" i="6"/>
  <c r="P292" i="6" s="1"/>
  <c r="D292" i="5"/>
  <c r="D292" i="6" s="1"/>
  <c r="A293" i="6"/>
  <c r="L293" i="5"/>
  <c r="K293" i="6" s="1"/>
  <c r="E298" i="5"/>
  <c r="E298" i="6" s="1"/>
  <c r="A310" i="6"/>
  <c r="F310" i="5"/>
  <c r="B310" i="5"/>
  <c r="B310" i="6" s="1"/>
  <c r="M310" i="5"/>
  <c r="J310" i="6" s="1"/>
  <c r="M313" i="5"/>
  <c r="J313" i="6" s="1"/>
  <c r="S313" i="6" s="1"/>
  <c r="E318" i="5"/>
  <c r="E318" i="6" s="1"/>
  <c r="A320" i="6"/>
  <c r="M320" i="5"/>
  <c r="J320" i="6" s="1"/>
  <c r="F320" i="5"/>
  <c r="A326" i="6"/>
  <c r="F326" i="5"/>
  <c r="B326" i="5"/>
  <c r="B326" i="6" s="1"/>
  <c r="C331" i="6"/>
  <c r="P331" i="6" s="1"/>
  <c r="E331" i="5"/>
  <c r="E331" i="6" s="1"/>
  <c r="C332" i="6"/>
  <c r="P332" i="6" s="1"/>
  <c r="D332" i="5"/>
  <c r="D332" i="6" s="1"/>
  <c r="G342" i="5"/>
  <c r="E350" i="5"/>
  <c r="E350" i="6" s="1"/>
  <c r="A352" i="6"/>
  <c r="M352" i="5"/>
  <c r="J352" i="6" s="1"/>
  <c r="F352" i="5"/>
  <c r="G352" i="5" s="1"/>
  <c r="G354" i="5"/>
  <c r="A358" i="6"/>
  <c r="F358" i="5"/>
  <c r="B358" i="5"/>
  <c r="B358" i="6" s="1"/>
  <c r="A362" i="6"/>
  <c r="B362" i="5"/>
  <c r="F362" i="5"/>
  <c r="M362" i="5"/>
  <c r="J362" i="6" s="1"/>
  <c r="C368" i="6"/>
  <c r="P368" i="6" s="1"/>
  <c r="D368" i="5"/>
  <c r="D368" i="6" s="1"/>
  <c r="A388" i="6"/>
  <c r="B388" i="5"/>
  <c r="B388" i="6" s="1"/>
  <c r="M388" i="5"/>
  <c r="J388" i="6" s="1"/>
  <c r="C390" i="6"/>
  <c r="P390" i="6" s="1"/>
  <c r="E390" i="5"/>
  <c r="E390" i="6" s="1"/>
  <c r="D390" i="5"/>
  <c r="D390" i="6" s="1"/>
  <c r="A397" i="6"/>
  <c r="M397" i="5"/>
  <c r="J397" i="6" s="1"/>
  <c r="L397" i="5"/>
  <c r="K397" i="6" s="1"/>
  <c r="B397" i="5"/>
  <c r="B397" i="6" s="1"/>
  <c r="A408" i="6"/>
  <c r="F408" i="5"/>
  <c r="M408" i="5"/>
  <c r="J408" i="6" s="1"/>
  <c r="S408" i="6" s="1"/>
  <c r="L408" i="5"/>
  <c r="K408" i="6" s="1"/>
  <c r="T408" i="6" s="1"/>
  <c r="B408" i="5"/>
  <c r="B408" i="6" s="1"/>
  <c r="A421" i="6"/>
  <c r="M421" i="5"/>
  <c r="J421" i="6" s="1"/>
  <c r="F421" i="5"/>
  <c r="C422" i="6"/>
  <c r="P422" i="6" s="1"/>
  <c r="E422" i="5"/>
  <c r="E422" i="6" s="1"/>
  <c r="D422" i="5"/>
  <c r="D422" i="6" s="1"/>
  <c r="A463" i="6"/>
  <c r="L463" i="5"/>
  <c r="K463" i="6" s="1"/>
  <c r="M463" i="5"/>
  <c r="J463" i="6" s="1"/>
  <c r="B463" i="5"/>
  <c r="B463" i="6" s="1"/>
  <c r="F463" i="5"/>
  <c r="C469" i="6"/>
  <c r="P469" i="6" s="1"/>
  <c r="E469" i="5"/>
  <c r="E469" i="6" s="1"/>
  <c r="D469" i="5"/>
  <c r="D469" i="6" s="1"/>
  <c r="C236" i="6"/>
  <c r="P236" i="6" s="1"/>
  <c r="D236" i="5"/>
  <c r="D236" i="6" s="1"/>
  <c r="A239" i="6"/>
  <c r="C245" i="6"/>
  <c r="P245" i="6" s="1"/>
  <c r="A250" i="6"/>
  <c r="F250" i="5"/>
  <c r="A252" i="6"/>
  <c r="M252" i="5"/>
  <c r="J252" i="6" s="1"/>
  <c r="L252" i="5"/>
  <c r="K252" i="6" s="1"/>
  <c r="A262" i="6"/>
  <c r="F262" i="5"/>
  <c r="B262" i="5"/>
  <c r="B262" i="6" s="1"/>
  <c r="M262" i="5"/>
  <c r="J262" i="6" s="1"/>
  <c r="S262" i="6" s="1"/>
  <c r="C272" i="6"/>
  <c r="P272" i="6" s="1"/>
  <c r="D272" i="5"/>
  <c r="D272" i="6" s="1"/>
  <c r="A273" i="6"/>
  <c r="L273" i="5"/>
  <c r="K273" i="6" s="1"/>
  <c r="C275" i="6"/>
  <c r="P275" i="6" s="1"/>
  <c r="E275" i="5"/>
  <c r="E275" i="6" s="1"/>
  <c r="A276" i="6"/>
  <c r="M276" i="5"/>
  <c r="J276" i="6" s="1"/>
  <c r="L276" i="5"/>
  <c r="K276" i="6" s="1"/>
  <c r="A286" i="6"/>
  <c r="F286" i="5"/>
  <c r="B286" i="5"/>
  <c r="B286" i="6" s="1"/>
  <c r="M286" i="5"/>
  <c r="J286" i="6" s="1"/>
  <c r="S286" i="6" s="1"/>
  <c r="C296" i="6"/>
  <c r="P296" i="6" s="1"/>
  <c r="T296" i="6" s="1"/>
  <c r="D296" i="5"/>
  <c r="D296" i="6" s="1"/>
  <c r="A297" i="6"/>
  <c r="L297" i="5"/>
  <c r="K297" i="6" s="1"/>
  <c r="T297" i="6" s="1"/>
  <c r="G298" i="5"/>
  <c r="C299" i="6"/>
  <c r="P299" i="6" s="1"/>
  <c r="E299" i="5"/>
  <c r="E299" i="6" s="1"/>
  <c r="A300" i="6"/>
  <c r="M300" i="5"/>
  <c r="J300" i="6" s="1"/>
  <c r="L300" i="5"/>
  <c r="K300" i="6" s="1"/>
  <c r="G318" i="5"/>
  <c r="F324" i="5"/>
  <c r="A334" i="6"/>
  <c r="F334" i="5"/>
  <c r="B334" i="5"/>
  <c r="B334" i="6" s="1"/>
  <c r="A338" i="6"/>
  <c r="B338" i="5"/>
  <c r="B338" i="6" s="1"/>
  <c r="F338" i="5"/>
  <c r="M338" i="5"/>
  <c r="C344" i="6"/>
  <c r="P344" i="6" s="1"/>
  <c r="D344" i="5"/>
  <c r="D344" i="6" s="1"/>
  <c r="F356" i="5"/>
  <c r="C362" i="6"/>
  <c r="P362" i="6" s="1"/>
  <c r="T362" i="6" s="1"/>
  <c r="D362" i="5"/>
  <c r="D362" i="6" s="1"/>
  <c r="A364" i="6"/>
  <c r="M364" i="5"/>
  <c r="J364" i="6" s="1"/>
  <c r="B364" i="5"/>
  <c r="B364" i="6" s="1"/>
  <c r="A365" i="6"/>
  <c r="L365" i="5"/>
  <c r="K365" i="6" s="1"/>
  <c r="T365" i="6" s="1"/>
  <c r="A370" i="6"/>
  <c r="B370" i="5"/>
  <c r="B370" i="6" s="1"/>
  <c r="F370" i="5"/>
  <c r="M370" i="5"/>
  <c r="J370" i="6" s="1"/>
  <c r="C376" i="6"/>
  <c r="P376" i="6" s="1"/>
  <c r="D376" i="5"/>
  <c r="D376" i="6" s="1"/>
  <c r="F397" i="6"/>
  <c r="N397" i="6" s="1"/>
  <c r="O397" i="6" s="1"/>
  <c r="H397" i="5"/>
  <c r="C413" i="6"/>
  <c r="P413" i="6" s="1"/>
  <c r="E413" i="5"/>
  <c r="E413" i="6" s="1"/>
  <c r="D413" i="5"/>
  <c r="D413" i="6" s="1"/>
  <c r="C426" i="6"/>
  <c r="P426" i="6" s="1"/>
  <c r="D426" i="5"/>
  <c r="D426" i="6" s="1"/>
  <c r="E426" i="5"/>
  <c r="E426" i="6" s="1"/>
  <c r="A430" i="6"/>
  <c r="M430" i="5"/>
  <c r="J430" i="6" s="1"/>
  <c r="D220" i="5"/>
  <c r="D220" i="6" s="1"/>
  <c r="B222" i="5"/>
  <c r="D228" i="5"/>
  <c r="D228" i="6" s="1"/>
  <c r="B230" i="5"/>
  <c r="B230" i="6" s="1"/>
  <c r="T233" i="6"/>
  <c r="E236" i="5"/>
  <c r="E236" i="6" s="1"/>
  <c r="B239" i="5"/>
  <c r="B239" i="6" s="1"/>
  <c r="L239" i="5"/>
  <c r="K239" i="6" s="1"/>
  <c r="D245" i="5"/>
  <c r="D245" i="6" s="1"/>
  <c r="B248" i="5"/>
  <c r="L248" i="5"/>
  <c r="K248" i="6" s="1"/>
  <c r="B250" i="5"/>
  <c r="L250" i="5"/>
  <c r="K250" i="6" s="1"/>
  <c r="T250" i="6" s="1"/>
  <c r="B252" i="5"/>
  <c r="B252" i="6" s="1"/>
  <c r="C255" i="6"/>
  <c r="P255" i="6" s="1"/>
  <c r="E255" i="5"/>
  <c r="E255" i="6" s="1"/>
  <c r="A256" i="6"/>
  <c r="M256" i="5"/>
  <c r="J256" i="6" s="1"/>
  <c r="L256" i="5"/>
  <c r="K256" i="6" s="1"/>
  <c r="D258" i="5"/>
  <c r="D258" i="6" s="1"/>
  <c r="A266" i="6"/>
  <c r="B266" i="5"/>
  <c r="B266" i="6" s="1"/>
  <c r="F266" i="5"/>
  <c r="M266" i="5"/>
  <c r="J266" i="6" s="1"/>
  <c r="E272" i="5"/>
  <c r="E272" i="6" s="1"/>
  <c r="B273" i="5"/>
  <c r="D275" i="5"/>
  <c r="D275" i="6" s="1"/>
  <c r="B276" i="5"/>
  <c r="B276" i="6" s="1"/>
  <c r="C279" i="6"/>
  <c r="P279" i="6" s="1"/>
  <c r="E279" i="5"/>
  <c r="E279" i="6" s="1"/>
  <c r="A280" i="6"/>
  <c r="M280" i="5"/>
  <c r="J280" i="6" s="1"/>
  <c r="L280" i="5"/>
  <c r="K280" i="6" s="1"/>
  <c r="D282" i="5"/>
  <c r="D282" i="6" s="1"/>
  <c r="A290" i="6"/>
  <c r="B290" i="5"/>
  <c r="B290" i="6" s="1"/>
  <c r="F290" i="5"/>
  <c r="G290" i="5" s="1"/>
  <c r="F290" i="6" s="1"/>
  <c r="N290" i="6" s="1"/>
  <c r="O290" i="6" s="1"/>
  <c r="M290" i="5"/>
  <c r="J290" i="6" s="1"/>
  <c r="S290" i="6" s="1"/>
  <c r="E296" i="5"/>
  <c r="E296" i="6" s="1"/>
  <c r="B297" i="5"/>
  <c r="D299" i="5"/>
  <c r="D299" i="6" s="1"/>
  <c r="B300" i="5"/>
  <c r="B300" i="6" s="1"/>
  <c r="C303" i="6"/>
  <c r="P303" i="6" s="1"/>
  <c r="E303" i="5"/>
  <c r="E303" i="6" s="1"/>
  <c r="A304" i="6"/>
  <c r="M304" i="5"/>
  <c r="J304" i="6" s="1"/>
  <c r="L304" i="5"/>
  <c r="K304" i="6" s="1"/>
  <c r="D310" i="5"/>
  <c r="D310" i="6" s="1"/>
  <c r="A314" i="6"/>
  <c r="B314" i="5"/>
  <c r="F314" i="5"/>
  <c r="M314" i="5"/>
  <c r="J314" i="6" s="1"/>
  <c r="C320" i="6"/>
  <c r="P320" i="6" s="1"/>
  <c r="D320" i="5"/>
  <c r="D320" i="6" s="1"/>
  <c r="D326" i="5"/>
  <c r="D326" i="6" s="1"/>
  <c r="C338" i="6"/>
  <c r="P338" i="6" s="1"/>
  <c r="T338" i="6" s="1"/>
  <c r="D338" i="5"/>
  <c r="D338" i="6" s="1"/>
  <c r="A340" i="6"/>
  <c r="M340" i="5"/>
  <c r="B340" i="5"/>
  <c r="A341" i="6"/>
  <c r="L341" i="5"/>
  <c r="K341" i="6" s="1"/>
  <c r="L342" i="5"/>
  <c r="K342" i="6" s="1"/>
  <c r="T342" i="6" s="1"/>
  <c r="E344" i="5"/>
  <c r="E344" i="6" s="1"/>
  <c r="A346" i="6"/>
  <c r="B346" i="5"/>
  <c r="F346" i="5"/>
  <c r="G346" i="5" s="1"/>
  <c r="M346" i="5"/>
  <c r="J346" i="6" s="1"/>
  <c r="C352" i="6"/>
  <c r="P352" i="6" s="1"/>
  <c r="T352" i="6" s="1"/>
  <c r="D352" i="5"/>
  <c r="D352" i="6" s="1"/>
  <c r="D358" i="5"/>
  <c r="D358" i="6" s="1"/>
  <c r="E362" i="5"/>
  <c r="E362" i="6" s="1"/>
  <c r="C363" i="6"/>
  <c r="P363" i="6" s="1"/>
  <c r="E363" i="5"/>
  <c r="E363" i="6" s="1"/>
  <c r="G363" i="5"/>
  <c r="C364" i="6"/>
  <c r="P364" i="6" s="1"/>
  <c r="T364" i="6" s="1"/>
  <c r="D364" i="5"/>
  <c r="D364" i="6" s="1"/>
  <c r="B365" i="5"/>
  <c r="B365" i="6" s="1"/>
  <c r="M365" i="5"/>
  <c r="J365" i="6" s="1"/>
  <c r="S365" i="6" s="1"/>
  <c r="C370" i="6"/>
  <c r="P370" i="6" s="1"/>
  <c r="T370" i="6" s="1"/>
  <c r="D370" i="5"/>
  <c r="D370" i="6" s="1"/>
  <c r="A372" i="6"/>
  <c r="M372" i="5"/>
  <c r="J372" i="6" s="1"/>
  <c r="B372" i="5"/>
  <c r="A373" i="6"/>
  <c r="L373" i="5"/>
  <c r="K373" i="6" s="1"/>
  <c r="T373" i="6" s="1"/>
  <c r="L374" i="5"/>
  <c r="K374" i="6" s="1"/>
  <c r="I375" i="5"/>
  <c r="E376" i="5"/>
  <c r="E376" i="6" s="1"/>
  <c r="L378" i="5"/>
  <c r="K378" i="6" s="1"/>
  <c r="L381" i="5"/>
  <c r="K381" i="6" s="1"/>
  <c r="A387" i="6"/>
  <c r="F387" i="5"/>
  <c r="G387" i="5" s="1"/>
  <c r="M387" i="5"/>
  <c r="J387" i="6" s="1"/>
  <c r="L387" i="5"/>
  <c r="K387" i="6" s="1"/>
  <c r="B387" i="5"/>
  <c r="C394" i="6"/>
  <c r="P394" i="6" s="1"/>
  <c r="T394" i="6" s="1"/>
  <c r="D394" i="5"/>
  <c r="D394" i="6" s="1"/>
  <c r="E394" i="5"/>
  <c r="E394" i="6" s="1"/>
  <c r="G394" i="5"/>
  <c r="F397" i="5"/>
  <c r="C403" i="6"/>
  <c r="P403" i="6" s="1"/>
  <c r="G403" i="5"/>
  <c r="E403" i="5"/>
  <c r="E403" i="6" s="1"/>
  <c r="D403" i="5"/>
  <c r="D403" i="6" s="1"/>
  <c r="A407" i="6"/>
  <c r="L407" i="5"/>
  <c r="K407" i="6" s="1"/>
  <c r="F407" i="5"/>
  <c r="G407" i="5" s="1"/>
  <c r="M407" i="5"/>
  <c r="J407" i="6" s="1"/>
  <c r="B407" i="5"/>
  <c r="G413" i="5"/>
  <c r="C416" i="6"/>
  <c r="P416" i="6" s="1"/>
  <c r="S416" i="6" s="1"/>
  <c r="G416" i="5"/>
  <c r="E416" i="5"/>
  <c r="E416" i="6" s="1"/>
  <c r="A419" i="6"/>
  <c r="M419" i="5"/>
  <c r="J419" i="6" s="1"/>
  <c r="L419" i="5"/>
  <c r="K419" i="6" s="1"/>
  <c r="B419" i="5"/>
  <c r="B419" i="6" s="1"/>
  <c r="F419" i="5"/>
  <c r="F422" i="6"/>
  <c r="N422" i="6" s="1"/>
  <c r="O422" i="6" s="1"/>
  <c r="H422" i="5"/>
  <c r="J422" i="5"/>
  <c r="G422" i="6" s="1"/>
  <c r="I422" i="5"/>
  <c r="B430" i="5"/>
  <c r="B430" i="6" s="1"/>
  <c r="F458" i="6"/>
  <c r="N458" i="6" s="1"/>
  <c r="O458" i="6" s="1"/>
  <c r="J458" i="5"/>
  <c r="G458" i="6" s="1"/>
  <c r="I458" i="5"/>
  <c r="H458" i="5"/>
  <c r="E228" i="5"/>
  <c r="E228" i="6" s="1"/>
  <c r="L230" i="5"/>
  <c r="K230" i="6" s="1"/>
  <c r="T230" i="6" s="1"/>
  <c r="C239" i="6"/>
  <c r="P239" i="6" s="1"/>
  <c r="E239" i="5"/>
  <c r="E239" i="6" s="1"/>
  <c r="M239" i="5"/>
  <c r="J239" i="6" s="1"/>
  <c r="E245" i="5"/>
  <c r="E245" i="6" s="1"/>
  <c r="A246" i="6"/>
  <c r="B246" i="5"/>
  <c r="B246" i="6" s="1"/>
  <c r="L246" i="5"/>
  <c r="K246" i="6" s="1"/>
  <c r="M248" i="5"/>
  <c r="J248" i="6" s="1"/>
  <c r="M250" i="5"/>
  <c r="J250" i="6" s="1"/>
  <c r="S250" i="6" s="1"/>
  <c r="C252" i="6"/>
  <c r="P252" i="6" s="1"/>
  <c r="D252" i="5"/>
  <c r="D252" i="6" s="1"/>
  <c r="A253" i="6"/>
  <c r="L253" i="5"/>
  <c r="K253" i="6" s="1"/>
  <c r="T253" i="6" s="1"/>
  <c r="E258" i="5"/>
  <c r="E258" i="6" s="1"/>
  <c r="A270" i="6"/>
  <c r="F270" i="5"/>
  <c r="B270" i="5"/>
  <c r="B270" i="6" s="1"/>
  <c r="M270" i="5"/>
  <c r="J270" i="6" s="1"/>
  <c r="S270" i="6" s="1"/>
  <c r="M273" i="5"/>
  <c r="J273" i="6" s="1"/>
  <c r="C276" i="6"/>
  <c r="P276" i="6" s="1"/>
  <c r="D276" i="5"/>
  <c r="D276" i="6" s="1"/>
  <c r="A277" i="6"/>
  <c r="L277" i="5"/>
  <c r="K277" i="6" s="1"/>
  <c r="E282" i="5"/>
  <c r="E282" i="6" s="1"/>
  <c r="A294" i="6"/>
  <c r="F294" i="5"/>
  <c r="B294" i="5"/>
  <c r="B294" i="6" s="1"/>
  <c r="M294" i="5"/>
  <c r="J294" i="6" s="1"/>
  <c r="M297" i="5"/>
  <c r="J297" i="6" s="1"/>
  <c r="S297" i="6" s="1"/>
  <c r="C300" i="6"/>
  <c r="P300" i="6" s="1"/>
  <c r="D300" i="5"/>
  <c r="D300" i="6" s="1"/>
  <c r="A301" i="6"/>
  <c r="L301" i="5"/>
  <c r="K301" i="6" s="1"/>
  <c r="C307" i="6"/>
  <c r="P307" i="6" s="1"/>
  <c r="E307" i="5"/>
  <c r="A308" i="6"/>
  <c r="M308" i="5"/>
  <c r="J308" i="6" s="1"/>
  <c r="L308" i="5"/>
  <c r="K308" i="6" s="1"/>
  <c r="E310" i="5"/>
  <c r="E310" i="6" s="1"/>
  <c r="C314" i="6"/>
  <c r="P314" i="6" s="1"/>
  <c r="T314" i="6" s="1"/>
  <c r="D314" i="5"/>
  <c r="D314" i="6" s="1"/>
  <c r="A316" i="6"/>
  <c r="M316" i="5"/>
  <c r="J316" i="6" s="1"/>
  <c r="B316" i="5"/>
  <c r="B316" i="6" s="1"/>
  <c r="A317" i="6"/>
  <c r="L317" i="5"/>
  <c r="K317" i="6" s="1"/>
  <c r="T317" i="6" s="1"/>
  <c r="E326" i="5"/>
  <c r="E326" i="6" s="1"/>
  <c r="A328" i="6"/>
  <c r="M328" i="5"/>
  <c r="F328" i="5"/>
  <c r="G328" i="5" s="1"/>
  <c r="C339" i="6"/>
  <c r="P339" i="6" s="1"/>
  <c r="T339" i="6" s="1"/>
  <c r="E339" i="5"/>
  <c r="E339" i="6" s="1"/>
  <c r="G339" i="5"/>
  <c r="C340" i="6"/>
  <c r="P340" i="6" s="1"/>
  <c r="T340" i="6" s="1"/>
  <c r="D340" i="5"/>
  <c r="D340" i="6" s="1"/>
  <c r="C346" i="6"/>
  <c r="P346" i="6" s="1"/>
  <c r="T346" i="6" s="1"/>
  <c r="D346" i="5"/>
  <c r="D346" i="6" s="1"/>
  <c r="A348" i="6"/>
  <c r="M348" i="5"/>
  <c r="J348" i="6" s="1"/>
  <c r="B348" i="5"/>
  <c r="B348" i="6" s="1"/>
  <c r="A349" i="6"/>
  <c r="L349" i="5"/>
  <c r="K349" i="6" s="1"/>
  <c r="E358" i="5"/>
  <c r="E358" i="6" s="1"/>
  <c r="A360" i="6"/>
  <c r="M360" i="5"/>
  <c r="J360" i="6" s="1"/>
  <c r="F360" i="5"/>
  <c r="G362" i="5"/>
  <c r="A366" i="6"/>
  <c r="F366" i="5"/>
  <c r="B366" i="5"/>
  <c r="B366" i="6" s="1"/>
  <c r="C371" i="6"/>
  <c r="P371" i="6" s="1"/>
  <c r="E371" i="5"/>
  <c r="E371" i="6" s="1"/>
  <c r="C372" i="6"/>
  <c r="P372" i="6" s="1"/>
  <c r="T372" i="6" s="1"/>
  <c r="D372" i="5"/>
  <c r="D372" i="6" s="1"/>
  <c r="G376" i="5"/>
  <c r="C393" i="6"/>
  <c r="P393" i="6" s="1"/>
  <c r="E393" i="5"/>
  <c r="E393" i="6" s="1"/>
  <c r="D393" i="5"/>
  <c r="D393" i="6" s="1"/>
  <c r="I397" i="5"/>
  <c r="A412" i="6"/>
  <c r="B412" i="5"/>
  <c r="B412" i="6" s="1"/>
  <c r="F412" i="5"/>
  <c r="C425" i="6"/>
  <c r="P425" i="6" s="1"/>
  <c r="S425" i="6" s="1"/>
  <c r="E425" i="5"/>
  <c r="E425" i="6" s="1"/>
  <c r="D425" i="5"/>
  <c r="D425" i="6" s="1"/>
  <c r="A432" i="6"/>
  <c r="F432" i="5"/>
  <c r="M432" i="5"/>
  <c r="J432" i="6" s="1"/>
  <c r="C436" i="6"/>
  <c r="P436" i="6" s="1"/>
  <c r="S436" i="6" s="1"/>
  <c r="E436" i="5"/>
  <c r="E436" i="6" s="1"/>
  <c r="G436" i="5"/>
  <c r="C449" i="6"/>
  <c r="P449" i="6" s="1"/>
  <c r="E449" i="5"/>
  <c r="E449" i="6" s="1"/>
  <c r="D449" i="5"/>
  <c r="D449" i="6" s="1"/>
  <c r="C256" i="6"/>
  <c r="P256" i="6" s="1"/>
  <c r="D256" i="5"/>
  <c r="D256" i="6" s="1"/>
  <c r="A257" i="6"/>
  <c r="L257" i="5"/>
  <c r="K257" i="6" s="1"/>
  <c r="C259" i="6"/>
  <c r="P259" i="6" s="1"/>
  <c r="E259" i="5"/>
  <c r="E259" i="6" s="1"/>
  <c r="A260" i="6"/>
  <c r="M260" i="5"/>
  <c r="J260" i="6" s="1"/>
  <c r="L260" i="5"/>
  <c r="K260" i="6" s="1"/>
  <c r="F275" i="6"/>
  <c r="N275" i="6" s="1"/>
  <c r="O275" i="6" s="1"/>
  <c r="I275" i="5"/>
  <c r="C280" i="6"/>
  <c r="P280" i="6" s="1"/>
  <c r="D280" i="5"/>
  <c r="D280" i="6" s="1"/>
  <c r="A281" i="6"/>
  <c r="L281" i="5"/>
  <c r="K281" i="6" s="1"/>
  <c r="C283" i="6"/>
  <c r="P283" i="6" s="1"/>
  <c r="E283" i="5"/>
  <c r="E283" i="6" s="1"/>
  <c r="A284" i="6"/>
  <c r="M284" i="5"/>
  <c r="J284" i="6" s="1"/>
  <c r="L284" i="5"/>
  <c r="K284" i="6" s="1"/>
  <c r="F296" i="6"/>
  <c r="N296" i="6" s="1"/>
  <c r="O296" i="6" s="1"/>
  <c r="H296" i="5"/>
  <c r="F299" i="6"/>
  <c r="N299" i="6" s="1"/>
  <c r="O299" i="6" s="1"/>
  <c r="I299" i="5"/>
  <c r="C304" i="6"/>
  <c r="P304" i="6" s="1"/>
  <c r="D304" i="5"/>
  <c r="D304" i="6" s="1"/>
  <c r="A305" i="6"/>
  <c r="L305" i="5"/>
  <c r="K305" i="6" s="1"/>
  <c r="C311" i="6"/>
  <c r="P311" i="6" s="1"/>
  <c r="E311" i="5"/>
  <c r="E311" i="6" s="1"/>
  <c r="A312" i="6"/>
  <c r="M312" i="5"/>
  <c r="J312" i="6" s="1"/>
  <c r="L312" i="5"/>
  <c r="K312" i="6" s="1"/>
  <c r="C315" i="6"/>
  <c r="P315" i="6" s="1"/>
  <c r="E315" i="5"/>
  <c r="E315" i="6" s="1"/>
  <c r="G315" i="5"/>
  <c r="C316" i="6"/>
  <c r="P316" i="6" s="1"/>
  <c r="T316" i="6" s="1"/>
  <c r="D316" i="5"/>
  <c r="D316" i="6" s="1"/>
  <c r="A336" i="6"/>
  <c r="M336" i="5"/>
  <c r="F336" i="5"/>
  <c r="A342" i="6"/>
  <c r="F342" i="5"/>
  <c r="B342" i="5"/>
  <c r="B342" i="6" s="1"/>
  <c r="C347" i="6"/>
  <c r="P347" i="6" s="1"/>
  <c r="E347" i="5"/>
  <c r="E347" i="6" s="1"/>
  <c r="C348" i="6"/>
  <c r="P348" i="6" s="1"/>
  <c r="D348" i="5"/>
  <c r="D348" i="6" s="1"/>
  <c r="L356" i="5"/>
  <c r="K356" i="6" s="1"/>
  <c r="G358" i="5"/>
  <c r="F364" i="5"/>
  <c r="G364" i="5" s="1"/>
  <c r="A374" i="6"/>
  <c r="F374" i="5"/>
  <c r="B374" i="5"/>
  <c r="B374" i="6" s="1"/>
  <c r="A378" i="6"/>
  <c r="B378" i="5"/>
  <c r="B378" i="6" s="1"/>
  <c r="F378" i="5"/>
  <c r="M378" i="5"/>
  <c r="J378" i="6" s="1"/>
  <c r="A381" i="6"/>
  <c r="C385" i="6"/>
  <c r="P385" i="6" s="1"/>
  <c r="E385" i="5"/>
  <c r="E385" i="6" s="1"/>
  <c r="J397" i="5"/>
  <c r="G397" i="6" s="1"/>
  <c r="C412" i="6"/>
  <c r="P412" i="6" s="1"/>
  <c r="E412" i="5"/>
  <c r="E412" i="6" s="1"/>
  <c r="D412" i="5"/>
  <c r="D412" i="6" s="1"/>
  <c r="F415" i="6"/>
  <c r="N415" i="6" s="1"/>
  <c r="O415" i="6" s="1"/>
  <c r="J415" i="5"/>
  <c r="G415" i="6" s="1"/>
  <c r="I415" i="5"/>
  <c r="C418" i="6"/>
  <c r="P418" i="6" s="1"/>
  <c r="T418" i="6" s="1"/>
  <c r="D418" i="5"/>
  <c r="D418" i="6" s="1"/>
  <c r="G418" i="5"/>
  <c r="F421" i="6"/>
  <c r="N421" i="6" s="1"/>
  <c r="O421" i="6" s="1"/>
  <c r="I421" i="5"/>
  <c r="H421" i="5"/>
  <c r="A429" i="6"/>
  <c r="M429" i="5"/>
  <c r="J429" i="6" s="1"/>
  <c r="L429" i="5"/>
  <c r="K429" i="6" s="1"/>
  <c r="B429" i="5"/>
  <c r="B429" i="6" s="1"/>
  <c r="F461" i="6"/>
  <c r="N461" i="6" s="1"/>
  <c r="O461" i="6" s="1"/>
  <c r="J461" i="5"/>
  <c r="G461" i="6" s="1"/>
  <c r="H461" i="5"/>
  <c r="L224" i="5"/>
  <c r="K224" i="6" s="1"/>
  <c r="M227" i="5"/>
  <c r="J227" i="6" s="1"/>
  <c r="E230" i="5"/>
  <c r="E230" i="6" s="1"/>
  <c r="L232" i="5"/>
  <c r="K232" i="6" s="1"/>
  <c r="T232" i="6" s="1"/>
  <c r="M235" i="5"/>
  <c r="J235" i="6" s="1"/>
  <c r="F239" i="5"/>
  <c r="E248" i="5"/>
  <c r="A249" i="6"/>
  <c r="L249" i="5"/>
  <c r="K249" i="6" s="1"/>
  <c r="T249" i="6" s="1"/>
  <c r="E250" i="5"/>
  <c r="E250" i="6" s="1"/>
  <c r="F252" i="5"/>
  <c r="F255" i="6"/>
  <c r="N255" i="6" s="1"/>
  <c r="O255" i="6" s="1"/>
  <c r="I255" i="5"/>
  <c r="E256" i="5"/>
  <c r="E256" i="6" s="1"/>
  <c r="B257" i="5"/>
  <c r="D259" i="5"/>
  <c r="D259" i="6" s="1"/>
  <c r="B260" i="5"/>
  <c r="B260" i="6" s="1"/>
  <c r="C263" i="6"/>
  <c r="P263" i="6" s="1"/>
  <c r="E263" i="5"/>
  <c r="E263" i="6" s="1"/>
  <c r="A264" i="6"/>
  <c r="M264" i="5"/>
  <c r="J264" i="6" s="1"/>
  <c r="L264" i="5"/>
  <c r="K264" i="6" s="1"/>
  <c r="E266" i="5"/>
  <c r="E266" i="6" s="1"/>
  <c r="D270" i="5"/>
  <c r="D270" i="6" s="1"/>
  <c r="A274" i="6"/>
  <c r="B274" i="5"/>
  <c r="B274" i="6" s="1"/>
  <c r="F274" i="5"/>
  <c r="M274" i="5"/>
  <c r="J274" i="6" s="1"/>
  <c r="H275" i="5"/>
  <c r="F276" i="5"/>
  <c r="E280" i="5"/>
  <c r="E280" i="6" s="1"/>
  <c r="B281" i="5"/>
  <c r="D283" i="5"/>
  <c r="D283" i="6" s="1"/>
  <c r="B284" i="5"/>
  <c r="B284" i="6" s="1"/>
  <c r="C287" i="6"/>
  <c r="P287" i="6" s="1"/>
  <c r="E287" i="5"/>
  <c r="E287" i="6" s="1"/>
  <c r="A288" i="6"/>
  <c r="M288" i="5"/>
  <c r="J288" i="6" s="1"/>
  <c r="L288" i="5"/>
  <c r="K288" i="6" s="1"/>
  <c r="D294" i="5"/>
  <c r="D294" i="6" s="1"/>
  <c r="I296" i="5"/>
  <c r="A298" i="6"/>
  <c r="B298" i="5"/>
  <c r="B298" i="6" s="1"/>
  <c r="F298" i="5"/>
  <c r="M298" i="5"/>
  <c r="J298" i="6" s="1"/>
  <c r="S298" i="6" s="1"/>
  <c r="H299" i="5"/>
  <c r="F300" i="5"/>
  <c r="E304" i="5"/>
  <c r="B305" i="5"/>
  <c r="B305" i="6" s="1"/>
  <c r="M305" i="5"/>
  <c r="J305" i="6" s="1"/>
  <c r="C308" i="6"/>
  <c r="P308" i="6" s="1"/>
  <c r="D308" i="5"/>
  <c r="D308" i="6" s="1"/>
  <c r="A309" i="6"/>
  <c r="L309" i="5"/>
  <c r="K309" i="6" s="1"/>
  <c r="T309" i="6" s="1"/>
  <c r="D311" i="5"/>
  <c r="D311" i="6" s="1"/>
  <c r="B312" i="5"/>
  <c r="B312" i="6" s="1"/>
  <c r="F314" i="6"/>
  <c r="N314" i="6" s="1"/>
  <c r="O314" i="6" s="1"/>
  <c r="J314" i="5"/>
  <c r="G314" i="6" s="1"/>
  <c r="D315" i="5"/>
  <c r="D315" i="6" s="1"/>
  <c r="E316" i="5"/>
  <c r="E316" i="6" s="1"/>
  <c r="A318" i="6"/>
  <c r="F318" i="5"/>
  <c r="B318" i="5"/>
  <c r="B318" i="6" s="1"/>
  <c r="A322" i="6"/>
  <c r="B322" i="5"/>
  <c r="F322" i="5"/>
  <c r="M322" i="5"/>
  <c r="J322" i="6" s="1"/>
  <c r="C328" i="6"/>
  <c r="P328" i="6" s="1"/>
  <c r="T328" i="6" s="1"/>
  <c r="D328" i="5"/>
  <c r="D328" i="6" s="1"/>
  <c r="B336" i="5"/>
  <c r="B336" i="6" s="1"/>
  <c r="G345" i="5"/>
  <c r="D347" i="5"/>
  <c r="D347" i="6" s="1"/>
  <c r="E348" i="5"/>
  <c r="A350" i="6"/>
  <c r="F350" i="5"/>
  <c r="B350" i="5"/>
  <c r="B350" i="6" s="1"/>
  <c r="A354" i="6"/>
  <c r="B354" i="5"/>
  <c r="B354" i="6" s="1"/>
  <c r="F354" i="5"/>
  <c r="M354" i="5"/>
  <c r="J354" i="6" s="1"/>
  <c r="C360" i="6"/>
  <c r="P360" i="6" s="1"/>
  <c r="D360" i="5"/>
  <c r="D360" i="6" s="1"/>
  <c r="D366" i="5"/>
  <c r="D366" i="6" s="1"/>
  <c r="C378" i="6"/>
  <c r="P378" i="6" s="1"/>
  <c r="D378" i="5"/>
  <c r="D378" i="6" s="1"/>
  <c r="A380" i="6"/>
  <c r="L380" i="5"/>
  <c r="K380" i="6" s="1"/>
  <c r="B380" i="5"/>
  <c r="B380" i="6" s="1"/>
  <c r="B381" i="5"/>
  <c r="B381" i="6" s="1"/>
  <c r="D385" i="5"/>
  <c r="D385" i="6" s="1"/>
  <c r="C392" i="6"/>
  <c r="P392" i="6" s="1"/>
  <c r="E392" i="5"/>
  <c r="E392" i="6" s="1"/>
  <c r="D392" i="5"/>
  <c r="D392" i="6" s="1"/>
  <c r="G393" i="5"/>
  <c r="A406" i="6"/>
  <c r="M406" i="5"/>
  <c r="J406" i="6" s="1"/>
  <c r="S406" i="6" s="1"/>
  <c r="L406" i="5"/>
  <c r="K406" i="6" s="1"/>
  <c r="T406" i="6" s="1"/>
  <c r="B406" i="5"/>
  <c r="B406" i="6" s="1"/>
  <c r="F406" i="5"/>
  <c r="H415" i="5"/>
  <c r="E418" i="5"/>
  <c r="E418" i="6" s="1"/>
  <c r="J421" i="5"/>
  <c r="G421" i="6" s="1"/>
  <c r="C424" i="6"/>
  <c r="P424" i="6" s="1"/>
  <c r="S424" i="6" s="1"/>
  <c r="E424" i="5"/>
  <c r="E424" i="6" s="1"/>
  <c r="D424" i="5"/>
  <c r="D424" i="6" s="1"/>
  <c r="A443" i="6"/>
  <c r="M443" i="5"/>
  <c r="J443" i="6" s="1"/>
  <c r="L443" i="5"/>
  <c r="K443" i="6" s="1"/>
  <c r="B443" i="5"/>
  <c r="B443" i="6" s="1"/>
  <c r="F443" i="5"/>
  <c r="I461" i="5"/>
  <c r="H535" i="6"/>
  <c r="C291" i="6"/>
  <c r="P291" i="6" s="1"/>
  <c r="E291" i="5"/>
  <c r="E291" i="6" s="1"/>
  <c r="A292" i="6"/>
  <c r="M292" i="5"/>
  <c r="J292" i="6" s="1"/>
  <c r="L292" i="5"/>
  <c r="K292" i="6" s="1"/>
  <c r="E294" i="5"/>
  <c r="E294" i="6" s="1"/>
  <c r="J296" i="5"/>
  <c r="G296" i="6" s="1"/>
  <c r="J299" i="5"/>
  <c r="G299" i="6" s="1"/>
  <c r="A302" i="6"/>
  <c r="F302" i="5"/>
  <c r="B302" i="5"/>
  <c r="M302" i="5"/>
  <c r="J302" i="6" s="1"/>
  <c r="C312" i="6"/>
  <c r="P312" i="6" s="1"/>
  <c r="D312" i="5"/>
  <c r="D312" i="6" s="1"/>
  <c r="A313" i="6"/>
  <c r="L313" i="5"/>
  <c r="K313" i="6" s="1"/>
  <c r="T313" i="6" s="1"/>
  <c r="C322" i="6"/>
  <c r="P322" i="6" s="1"/>
  <c r="T322" i="6" s="1"/>
  <c r="D322" i="5"/>
  <c r="D322" i="6" s="1"/>
  <c r="A324" i="6"/>
  <c r="M324" i="5"/>
  <c r="B324" i="5"/>
  <c r="B324" i="6" s="1"/>
  <c r="A325" i="6"/>
  <c r="L325" i="5"/>
  <c r="K325" i="6" s="1"/>
  <c r="A330" i="6"/>
  <c r="B330" i="5"/>
  <c r="B330" i="6" s="1"/>
  <c r="F330" i="5"/>
  <c r="M330" i="5"/>
  <c r="C336" i="6"/>
  <c r="P336" i="6" s="1"/>
  <c r="T336" i="6" s="1"/>
  <c r="D336" i="5"/>
  <c r="D336" i="6" s="1"/>
  <c r="C354" i="6"/>
  <c r="P354" i="6" s="1"/>
  <c r="T354" i="6" s="1"/>
  <c r="D354" i="5"/>
  <c r="D354" i="6" s="1"/>
  <c r="A356" i="6"/>
  <c r="M356" i="5"/>
  <c r="J356" i="6" s="1"/>
  <c r="B356" i="5"/>
  <c r="B356" i="6" s="1"/>
  <c r="A357" i="6"/>
  <c r="L357" i="5"/>
  <c r="K357" i="6" s="1"/>
  <c r="T357" i="6" s="1"/>
  <c r="A368" i="6"/>
  <c r="M368" i="5"/>
  <c r="J368" i="6" s="1"/>
  <c r="F368" i="5"/>
  <c r="G368" i="5" s="1"/>
  <c r="C379" i="6"/>
  <c r="P379" i="6" s="1"/>
  <c r="S379" i="6" s="1"/>
  <c r="E379" i="5"/>
  <c r="E379" i="6" s="1"/>
  <c r="G379" i="5"/>
  <c r="C380" i="6"/>
  <c r="P380" i="6" s="1"/>
  <c r="S380" i="6" s="1"/>
  <c r="D380" i="5"/>
  <c r="D380" i="6" s="1"/>
  <c r="C381" i="6"/>
  <c r="P381" i="6" s="1"/>
  <c r="S381" i="6" s="1"/>
  <c r="E381" i="5"/>
  <c r="E381" i="6" s="1"/>
  <c r="D381" i="5"/>
  <c r="D381" i="6" s="1"/>
  <c r="G381" i="5"/>
  <c r="J400" i="5"/>
  <c r="G400" i="6" s="1"/>
  <c r="F430" i="5"/>
  <c r="G430" i="5" s="1"/>
  <c r="A434" i="6"/>
  <c r="M434" i="5"/>
  <c r="J434" i="6" s="1"/>
  <c r="F434" i="5"/>
  <c r="T367" i="6"/>
  <c r="C386" i="6"/>
  <c r="P386" i="6" s="1"/>
  <c r="D386" i="5"/>
  <c r="D386" i="6" s="1"/>
  <c r="A389" i="6"/>
  <c r="F390" i="5"/>
  <c r="B391" i="5"/>
  <c r="B391" i="6" s="1"/>
  <c r="C395" i="6"/>
  <c r="P395" i="6" s="1"/>
  <c r="G395" i="5"/>
  <c r="D397" i="5"/>
  <c r="D397" i="6" s="1"/>
  <c r="A400" i="6"/>
  <c r="F400" i="5"/>
  <c r="A402" i="6"/>
  <c r="M402" i="5"/>
  <c r="J402" i="6" s="1"/>
  <c r="F403" i="5"/>
  <c r="D406" i="5"/>
  <c r="D406" i="6" s="1"/>
  <c r="D408" i="5"/>
  <c r="D408" i="6" s="1"/>
  <c r="E410" i="5"/>
  <c r="E410" i="6" s="1"/>
  <c r="B413" i="5"/>
  <c r="B413" i="6" s="1"/>
  <c r="L413" i="5"/>
  <c r="K413" i="6" s="1"/>
  <c r="B422" i="5"/>
  <c r="B422" i="6" s="1"/>
  <c r="L422" i="5"/>
  <c r="K422" i="6" s="1"/>
  <c r="B424" i="5"/>
  <c r="B424" i="6" s="1"/>
  <c r="L424" i="5"/>
  <c r="K424" i="6" s="1"/>
  <c r="B426" i="5"/>
  <c r="B426" i="6" s="1"/>
  <c r="L426" i="5"/>
  <c r="K426" i="6" s="1"/>
  <c r="D428" i="5"/>
  <c r="D428" i="6" s="1"/>
  <c r="A431" i="6"/>
  <c r="L431" i="5"/>
  <c r="K431" i="6" s="1"/>
  <c r="B435" i="5"/>
  <c r="B435" i="6" s="1"/>
  <c r="L435" i="5"/>
  <c r="K435" i="6" s="1"/>
  <c r="C437" i="6"/>
  <c r="P437" i="6" s="1"/>
  <c r="E437" i="5"/>
  <c r="E437" i="6" s="1"/>
  <c r="D441" i="5"/>
  <c r="D441" i="6" s="1"/>
  <c r="A444" i="6"/>
  <c r="B444" i="5"/>
  <c r="B444" i="6" s="1"/>
  <c r="L444" i="5"/>
  <c r="K444" i="6" s="1"/>
  <c r="T444" i="6" s="1"/>
  <c r="C450" i="6"/>
  <c r="P450" i="6" s="1"/>
  <c r="T450" i="6" s="1"/>
  <c r="D450" i="5"/>
  <c r="D450" i="6" s="1"/>
  <c r="A453" i="6"/>
  <c r="J453" i="5"/>
  <c r="G453" i="6" s="1"/>
  <c r="F454" i="5"/>
  <c r="B455" i="5"/>
  <c r="B455" i="6" s="1"/>
  <c r="G456" i="5"/>
  <c r="C459" i="6"/>
  <c r="P459" i="6" s="1"/>
  <c r="G459" i="5"/>
  <c r="D461" i="5"/>
  <c r="D461" i="6" s="1"/>
  <c r="A464" i="6"/>
  <c r="F464" i="5"/>
  <c r="G464" i="5" s="1"/>
  <c r="A466" i="6"/>
  <c r="M466" i="5"/>
  <c r="F467" i="5"/>
  <c r="M468" i="5"/>
  <c r="D470" i="5"/>
  <c r="D470" i="6" s="1"/>
  <c r="D472" i="5"/>
  <c r="D472" i="6" s="1"/>
  <c r="E474" i="5"/>
  <c r="E474" i="6" s="1"/>
  <c r="B477" i="5"/>
  <c r="B477" i="6" s="1"/>
  <c r="L477" i="5"/>
  <c r="K477" i="6" s="1"/>
  <c r="G478" i="5"/>
  <c r="H480" i="5"/>
  <c r="H482" i="5"/>
  <c r="C489" i="6"/>
  <c r="P489" i="6" s="1"/>
  <c r="A494" i="6"/>
  <c r="F494" i="5"/>
  <c r="L494" i="5"/>
  <c r="K494" i="6" s="1"/>
  <c r="T494" i="6" s="1"/>
  <c r="C496" i="6"/>
  <c r="P496" i="6" s="1"/>
  <c r="D496" i="5"/>
  <c r="D496" i="6" s="1"/>
  <c r="D500" i="5"/>
  <c r="D500" i="6" s="1"/>
  <c r="A501" i="6"/>
  <c r="L501" i="5"/>
  <c r="K501" i="6" s="1"/>
  <c r="T501" i="6" s="1"/>
  <c r="A504" i="6"/>
  <c r="F504" i="5"/>
  <c r="G504" i="5" s="1"/>
  <c r="M504" i="5"/>
  <c r="J504" i="6" s="1"/>
  <c r="L504" i="5"/>
  <c r="K504" i="6" s="1"/>
  <c r="F506" i="5"/>
  <c r="G506" i="5" s="1"/>
  <c r="C507" i="6"/>
  <c r="P507" i="6" s="1"/>
  <c r="E507" i="5"/>
  <c r="E507" i="6" s="1"/>
  <c r="A508" i="6"/>
  <c r="B508" i="5"/>
  <c r="B508" i="6" s="1"/>
  <c r="M508" i="5"/>
  <c r="J508" i="6" s="1"/>
  <c r="S508" i="6" s="1"/>
  <c r="C514" i="6"/>
  <c r="P514" i="6" s="1"/>
  <c r="T514" i="6" s="1"/>
  <c r="D514" i="5"/>
  <c r="D514" i="6" s="1"/>
  <c r="A515" i="6"/>
  <c r="L515" i="5"/>
  <c r="K515" i="6" s="1"/>
  <c r="C529" i="6"/>
  <c r="P529" i="6" s="1"/>
  <c r="A530" i="6"/>
  <c r="F530" i="5"/>
  <c r="M530" i="5"/>
  <c r="J530" i="6" s="1"/>
  <c r="B530" i="5"/>
  <c r="B530" i="6" s="1"/>
  <c r="C531" i="6"/>
  <c r="P531" i="6" s="1"/>
  <c r="E531" i="5"/>
  <c r="E531" i="6" s="1"/>
  <c r="C554" i="6"/>
  <c r="P554" i="6" s="1"/>
  <c r="T554" i="6" s="1"/>
  <c r="E554" i="5"/>
  <c r="E554" i="6" s="1"/>
  <c r="D554" i="5"/>
  <c r="D554" i="6" s="1"/>
  <c r="F556" i="5"/>
  <c r="E558" i="5"/>
  <c r="E558" i="6" s="1"/>
  <c r="B560" i="5"/>
  <c r="B560" i="6" s="1"/>
  <c r="D566" i="5"/>
  <c r="D566" i="6" s="1"/>
  <c r="A568" i="6"/>
  <c r="F568" i="5"/>
  <c r="G568" i="5" s="1"/>
  <c r="M568" i="5"/>
  <c r="J568" i="6" s="1"/>
  <c r="A572" i="6"/>
  <c r="M572" i="5"/>
  <c r="J572" i="6" s="1"/>
  <c r="S572" i="6" s="1"/>
  <c r="L572" i="5"/>
  <c r="K572" i="6" s="1"/>
  <c r="T572" i="6" s="1"/>
  <c r="B572" i="5"/>
  <c r="F583" i="6"/>
  <c r="N583" i="6" s="1"/>
  <c r="O583" i="6" s="1"/>
  <c r="H583" i="5"/>
  <c r="I583" i="5"/>
  <c r="C435" i="6"/>
  <c r="P435" i="6" s="1"/>
  <c r="G435" i="5"/>
  <c r="A440" i="6"/>
  <c r="F440" i="5"/>
  <c r="A442" i="6"/>
  <c r="M442" i="5"/>
  <c r="J442" i="6" s="1"/>
  <c r="G454" i="5"/>
  <c r="A471" i="6"/>
  <c r="L471" i="5"/>
  <c r="K471" i="6" s="1"/>
  <c r="G476" i="5"/>
  <c r="C477" i="6"/>
  <c r="P477" i="6" s="1"/>
  <c r="E477" i="5"/>
  <c r="E477" i="6" s="1"/>
  <c r="A484" i="6"/>
  <c r="B484" i="5"/>
  <c r="B484" i="6" s="1"/>
  <c r="L484" i="5"/>
  <c r="K484" i="6" s="1"/>
  <c r="A490" i="6"/>
  <c r="M490" i="5"/>
  <c r="J490" i="6" s="1"/>
  <c r="B490" i="5"/>
  <c r="B490" i="6" s="1"/>
  <c r="F522" i="6"/>
  <c r="N522" i="6" s="1"/>
  <c r="O522" i="6" s="1"/>
  <c r="J522" i="5"/>
  <c r="G522" i="6" s="1"/>
  <c r="F523" i="5"/>
  <c r="C530" i="6"/>
  <c r="P530" i="6" s="1"/>
  <c r="T530" i="6" s="1"/>
  <c r="E530" i="5"/>
  <c r="E530" i="6" s="1"/>
  <c r="D530" i="5"/>
  <c r="D530" i="6" s="1"/>
  <c r="A541" i="6"/>
  <c r="F541" i="5"/>
  <c r="L541" i="5"/>
  <c r="K541" i="6" s="1"/>
  <c r="T541" i="6" s="1"/>
  <c r="M541" i="5"/>
  <c r="J541" i="6" s="1"/>
  <c r="S541" i="6" s="1"/>
  <c r="F554" i="6"/>
  <c r="N554" i="6" s="1"/>
  <c r="O554" i="6" s="1"/>
  <c r="J554" i="5"/>
  <c r="G554" i="6" s="1"/>
  <c r="C560" i="6"/>
  <c r="P560" i="6" s="1"/>
  <c r="T560" i="6" s="1"/>
  <c r="G560" i="5"/>
  <c r="D560" i="5"/>
  <c r="D560" i="6" s="1"/>
  <c r="A562" i="6"/>
  <c r="F562" i="5"/>
  <c r="M562" i="5"/>
  <c r="J562" i="6" s="1"/>
  <c r="B562" i="5"/>
  <c r="B562" i="6" s="1"/>
  <c r="C563" i="6"/>
  <c r="P563" i="6" s="1"/>
  <c r="G563" i="5"/>
  <c r="E563" i="5"/>
  <c r="E563" i="6" s="1"/>
  <c r="B575" i="6"/>
  <c r="A581" i="6"/>
  <c r="F581" i="5"/>
  <c r="L581" i="5"/>
  <c r="K581" i="6" s="1"/>
  <c r="T581" i="6" s="1"/>
  <c r="M581" i="5"/>
  <c r="J581" i="6" s="1"/>
  <c r="S581" i="6" s="1"/>
  <c r="H583" i="6"/>
  <c r="C587" i="6"/>
  <c r="P587" i="6" s="1"/>
  <c r="D587" i="5"/>
  <c r="D587" i="6" s="1"/>
  <c r="E587" i="5"/>
  <c r="E587" i="6" s="1"/>
  <c r="C603" i="6"/>
  <c r="P603" i="6" s="1"/>
  <c r="D603" i="5"/>
  <c r="D603" i="6" s="1"/>
  <c r="G603" i="5"/>
  <c r="E603" i="5"/>
  <c r="E603" i="6" s="1"/>
  <c r="A605" i="6"/>
  <c r="B605" i="5"/>
  <c r="B605" i="6" s="1"/>
  <c r="F605" i="5"/>
  <c r="M605" i="5"/>
  <c r="L605" i="5"/>
  <c r="K605" i="6" s="1"/>
  <c r="G253" i="5"/>
  <c r="G261" i="5"/>
  <c r="G277" i="5"/>
  <c r="G293" i="5"/>
  <c r="G301" i="5"/>
  <c r="G317" i="5"/>
  <c r="E319" i="5"/>
  <c r="E319" i="6" s="1"/>
  <c r="L321" i="5"/>
  <c r="K321" i="6" s="1"/>
  <c r="T321" i="6" s="1"/>
  <c r="E327" i="5"/>
  <c r="L329" i="5"/>
  <c r="K329" i="6" s="1"/>
  <c r="T329" i="6" s="1"/>
  <c r="G333" i="5"/>
  <c r="E335" i="5"/>
  <c r="E335" i="6" s="1"/>
  <c r="L337" i="5"/>
  <c r="K337" i="6" s="1"/>
  <c r="G341" i="5"/>
  <c r="E343" i="5"/>
  <c r="E343" i="6" s="1"/>
  <c r="L345" i="5"/>
  <c r="K345" i="6" s="1"/>
  <c r="E351" i="5"/>
  <c r="E351" i="6" s="1"/>
  <c r="L353" i="5"/>
  <c r="K353" i="6" s="1"/>
  <c r="G357" i="5"/>
  <c r="E359" i="5"/>
  <c r="E359" i="6" s="1"/>
  <c r="L361" i="5"/>
  <c r="K361" i="6" s="1"/>
  <c r="E367" i="5"/>
  <c r="L369" i="5"/>
  <c r="K369" i="6" s="1"/>
  <c r="G373" i="5"/>
  <c r="E375" i="5"/>
  <c r="E375" i="6" s="1"/>
  <c r="L377" i="5"/>
  <c r="K377" i="6" s="1"/>
  <c r="E382" i="5"/>
  <c r="E382" i="6" s="1"/>
  <c r="A383" i="6"/>
  <c r="L383" i="5"/>
  <c r="K383" i="6" s="1"/>
  <c r="E384" i="5"/>
  <c r="E384" i="6" s="1"/>
  <c r="C389" i="6"/>
  <c r="P389" i="6" s="1"/>
  <c r="E389" i="5"/>
  <c r="M389" i="5"/>
  <c r="J389" i="6" s="1"/>
  <c r="E395" i="5"/>
  <c r="E395" i="6" s="1"/>
  <c r="A396" i="6"/>
  <c r="B396" i="5"/>
  <c r="L396" i="5"/>
  <c r="K396" i="6" s="1"/>
  <c r="M398" i="5"/>
  <c r="J398" i="6" s="1"/>
  <c r="M400" i="5"/>
  <c r="J400" i="6" s="1"/>
  <c r="S400" i="6" s="1"/>
  <c r="G401" i="5"/>
  <c r="C402" i="6"/>
  <c r="P402" i="6" s="1"/>
  <c r="T402" i="6" s="1"/>
  <c r="D402" i="5"/>
  <c r="D402" i="6" s="1"/>
  <c r="E404" i="5"/>
  <c r="A405" i="6"/>
  <c r="C411" i="6"/>
  <c r="P411" i="6" s="1"/>
  <c r="M411" i="5"/>
  <c r="J411" i="6" s="1"/>
  <c r="A416" i="6"/>
  <c r="F416" i="5"/>
  <c r="E417" i="5"/>
  <c r="E417" i="6" s="1"/>
  <c r="A418" i="6"/>
  <c r="M418" i="5"/>
  <c r="J418" i="6" s="1"/>
  <c r="M431" i="5"/>
  <c r="J431" i="6" s="1"/>
  <c r="H434" i="5"/>
  <c r="D435" i="5"/>
  <c r="D435" i="6" s="1"/>
  <c r="B438" i="5"/>
  <c r="L438" i="5"/>
  <c r="K438" i="6" s="1"/>
  <c r="B440" i="5"/>
  <c r="L440" i="5"/>
  <c r="K440" i="6" s="1"/>
  <c r="T440" i="6" s="1"/>
  <c r="B442" i="5"/>
  <c r="B442" i="6" s="1"/>
  <c r="L442" i="5"/>
  <c r="K442" i="6" s="1"/>
  <c r="D444" i="5"/>
  <c r="D444" i="6" s="1"/>
  <c r="E446" i="5"/>
  <c r="A447" i="6"/>
  <c r="L447" i="5"/>
  <c r="K447" i="6" s="1"/>
  <c r="E448" i="5"/>
  <c r="E448" i="6" s="1"/>
  <c r="B451" i="5"/>
  <c r="L451" i="5"/>
  <c r="K451" i="6" s="1"/>
  <c r="C453" i="6"/>
  <c r="P453" i="6" s="1"/>
  <c r="E453" i="5"/>
  <c r="E453" i="6" s="1"/>
  <c r="M453" i="5"/>
  <c r="J453" i="6" s="1"/>
  <c r="D457" i="5"/>
  <c r="D457" i="6" s="1"/>
  <c r="E459" i="5"/>
  <c r="E459" i="6" s="1"/>
  <c r="A460" i="6"/>
  <c r="B460" i="5"/>
  <c r="L460" i="5"/>
  <c r="K460" i="6" s="1"/>
  <c r="T460" i="6" s="1"/>
  <c r="M462" i="5"/>
  <c r="J462" i="6" s="1"/>
  <c r="M464" i="5"/>
  <c r="C466" i="6"/>
  <c r="P466" i="6" s="1"/>
  <c r="T466" i="6" s="1"/>
  <c r="D466" i="5"/>
  <c r="D466" i="6" s="1"/>
  <c r="E468" i="5"/>
  <c r="A469" i="6"/>
  <c r="F470" i="5"/>
  <c r="B471" i="5"/>
  <c r="C475" i="6"/>
  <c r="P475" i="6" s="1"/>
  <c r="T475" i="6" s="1"/>
  <c r="G475" i="5"/>
  <c r="M475" i="5"/>
  <c r="D477" i="5"/>
  <c r="D477" i="6" s="1"/>
  <c r="A480" i="6"/>
  <c r="F480" i="5"/>
  <c r="J480" i="5"/>
  <c r="G480" i="6" s="1"/>
  <c r="J480" i="6" s="1"/>
  <c r="E481" i="5"/>
  <c r="E481" i="6" s="1"/>
  <c r="A482" i="6"/>
  <c r="M482" i="5"/>
  <c r="J482" i="5"/>
  <c r="G482" i="6" s="1"/>
  <c r="F483" i="5"/>
  <c r="M484" i="5"/>
  <c r="J484" i="6" s="1"/>
  <c r="E486" i="5"/>
  <c r="E486" i="6" s="1"/>
  <c r="E489" i="5"/>
  <c r="E489" i="6" s="1"/>
  <c r="C490" i="6"/>
  <c r="P490" i="6" s="1"/>
  <c r="T490" i="6" s="1"/>
  <c r="D490" i="5"/>
  <c r="D490" i="6" s="1"/>
  <c r="A491" i="6"/>
  <c r="L491" i="5"/>
  <c r="K491" i="6" s="1"/>
  <c r="G496" i="5"/>
  <c r="C497" i="6"/>
  <c r="P497" i="6" s="1"/>
  <c r="G497" i="5"/>
  <c r="A502" i="6"/>
  <c r="F502" i="5"/>
  <c r="L502" i="5"/>
  <c r="K502" i="6" s="1"/>
  <c r="T502" i="6" s="1"/>
  <c r="C504" i="6"/>
  <c r="P504" i="6" s="1"/>
  <c r="D504" i="5"/>
  <c r="D504" i="6" s="1"/>
  <c r="D508" i="5"/>
  <c r="D508" i="6" s="1"/>
  <c r="A509" i="6"/>
  <c r="L509" i="5"/>
  <c r="K509" i="6" s="1"/>
  <c r="T509" i="6" s="1"/>
  <c r="A512" i="6"/>
  <c r="F512" i="5"/>
  <c r="G512" i="5" s="1"/>
  <c r="M512" i="5"/>
  <c r="J512" i="6" s="1"/>
  <c r="L512" i="5"/>
  <c r="K512" i="6" s="1"/>
  <c r="F514" i="5"/>
  <c r="C515" i="6"/>
  <c r="P515" i="6" s="1"/>
  <c r="G515" i="5"/>
  <c r="E515" i="5"/>
  <c r="E515" i="6" s="1"/>
  <c r="A516" i="6"/>
  <c r="B516" i="5"/>
  <c r="B516" i="6" s="1"/>
  <c r="M516" i="5"/>
  <c r="J516" i="6" s="1"/>
  <c r="S516" i="6" s="1"/>
  <c r="E518" i="5"/>
  <c r="E518" i="6" s="1"/>
  <c r="H522" i="5"/>
  <c r="E529" i="5"/>
  <c r="E529" i="6" s="1"/>
  <c r="D534" i="5"/>
  <c r="D534" i="6" s="1"/>
  <c r="A536" i="6"/>
  <c r="F536" i="5"/>
  <c r="M536" i="5"/>
  <c r="J536" i="6" s="1"/>
  <c r="A540" i="6"/>
  <c r="M540" i="5"/>
  <c r="J540" i="6" s="1"/>
  <c r="L540" i="5"/>
  <c r="K540" i="6" s="1"/>
  <c r="B540" i="5"/>
  <c r="B541" i="5"/>
  <c r="B541" i="6" s="1"/>
  <c r="H554" i="5"/>
  <c r="E560" i="5"/>
  <c r="E560" i="6" s="1"/>
  <c r="C562" i="6"/>
  <c r="P562" i="6" s="1"/>
  <c r="E562" i="5"/>
  <c r="E562" i="6" s="1"/>
  <c r="D562" i="5"/>
  <c r="D562" i="6" s="1"/>
  <c r="D563" i="5"/>
  <c r="D563" i="6" s="1"/>
  <c r="C568" i="6"/>
  <c r="P568" i="6" s="1"/>
  <c r="D568" i="5"/>
  <c r="D568" i="6" s="1"/>
  <c r="A570" i="6"/>
  <c r="F570" i="5"/>
  <c r="M570" i="5"/>
  <c r="J570" i="6" s="1"/>
  <c r="B570" i="5"/>
  <c r="B570" i="6" s="1"/>
  <c r="C571" i="6"/>
  <c r="P571" i="6" s="1"/>
  <c r="T571" i="6" s="1"/>
  <c r="E571" i="5"/>
  <c r="E571" i="6" s="1"/>
  <c r="D574" i="5"/>
  <c r="D574" i="6" s="1"/>
  <c r="A576" i="6"/>
  <c r="F576" i="5"/>
  <c r="M576" i="5"/>
  <c r="J576" i="6" s="1"/>
  <c r="A580" i="6"/>
  <c r="M580" i="5"/>
  <c r="J580" i="6" s="1"/>
  <c r="L580" i="5"/>
  <c r="K580" i="6" s="1"/>
  <c r="B580" i="5"/>
  <c r="B581" i="5"/>
  <c r="B581" i="6" s="1"/>
  <c r="A589" i="6"/>
  <c r="B589" i="5"/>
  <c r="B589" i="6" s="1"/>
  <c r="F589" i="5"/>
  <c r="L589" i="5"/>
  <c r="K589" i="6" s="1"/>
  <c r="C387" i="6"/>
  <c r="P387" i="6" s="1"/>
  <c r="A392" i="6"/>
  <c r="F392" i="5"/>
  <c r="A394" i="6"/>
  <c r="M394" i="5"/>
  <c r="J394" i="6" s="1"/>
  <c r="A423" i="6"/>
  <c r="L423" i="5"/>
  <c r="K423" i="6" s="1"/>
  <c r="C429" i="6"/>
  <c r="P429" i="6" s="1"/>
  <c r="E429" i="5"/>
  <c r="E429" i="6" s="1"/>
  <c r="I434" i="5"/>
  <c r="E435" i="5"/>
  <c r="E435" i="6" s="1"/>
  <c r="A436" i="6"/>
  <c r="B436" i="5"/>
  <c r="B436" i="6" s="1"/>
  <c r="L436" i="5"/>
  <c r="K436" i="6" s="1"/>
  <c r="M438" i="5"/>
  <c r="J438" i="6" s="1"/>
  <c r="M440" i="5"/>
  <c r="J440" i="6" s="1"/>
  <c r="S440" i="6" s="1"/>
  <c r="G441" i="5"/>
  <c r="C442" i="6"/>
  <c r="P442" i="6" s="1"/>
  <c r="D442" i="5"/>
  <c r="D442" i="6" s="1"/>
  <c r="E444" i="5"/>
  <c r="E444" i="6" s="1"/>
  <c r="A445" i="6"/>
  <c r="C451" i="6"/>
  <c r="P451" i="6" s="1"/>
  <c r="M451" i="5"/>
  <c r="J451" i="6" s="1"/>
  <c r="A456" i="6"/>
  <c r="F456" i="5"/>
  <c r="E457" i="5"/>
  <c r="E457" i="6" s="1"/>
  <c r="A458" i="6"/>
  <c r="M458" i="5"/>
  <c r="J458" i="6" s="1"/>
  <c r="S460" i="6"/>
  <c r="M471" i="5"/>
  <c r="T492" i="6"/>
  <c r="A498" i="6"/>
  <c r="M498" i="5"/>
  <c r="J498" i="6" s="1"/>
  <c r="B498" i="5"/>
  <c r="B498" i="6" s="1"/>
  <c r="G500" i="5"/>
  <c r="E508" i="5"/>
  <c r="F514" i="6"/>
  <c r="N514" i="6" s="1"/>
  <c r="O514" i="6" s="1"/>
  <c r="J514" i="5"/>
  <c r="G514" i="6" s="1"/>
  <c r="A520" i="6"/>
  <c r="F520" i="5"/>
  <c r="M520" i="5"/>
  <c r="J520" i="6" s="1"/>
  <c r="I522" i="5"/>
  <c r="B543" i="6"/>
  <c r="A549" i="6"/>
  <c r="F549" i="5"/>
  <c r="L549" i="5"/>
  <c r="K549" i="6" s="1"/>
  <c r="T549" i="6" s="1"/>
  <c r="L552" i="5"/>
  <c r="K552" i="6" s="1"/>
  <c r="I554" i="5"/>
  <c r="F562" i="6"/>
  <c r="N562" i="6" s="1"/>
  <c r="O562" i="6" s="1"/>
  <c r="J562" i="5"/>
  <c r="G562" i="6" s="1"/>
  <c r="C570" i="6"/>
  <c r="P570" i="6" s="1"/>
  <c r="T570" i="6" s="1"/>
  <c r="E570" i="5"/>
  <c r="E570" i="6" s="1"/>
  <c r="D570" i="5"/>
  <c r="D570" i="6" s="1"/>
  <c r="B583" i="6"/>
  <c r="A476" i="6"/>
  <c r="B476" i="5"/>
  <c r="B476" i="6" s="1"/>
  <c r="L476" i="5"/>
  <c r="K476" i="6" s="1"/>
  <c r="T476" i="6" s="1"/>
  <c r="G477" i="5"/>
  <c r="F481" i="6"/>
  <c r="N481" i="6" s="1"/>
  <c r="O481" i="6" s="1"/>
  <c r="I481" i="5"/>
  <c r="C482" i="6"/>
  <c r="P482" i="6" s="1"/>
  <c r="T482" i="6" s="1"/>
  <c r="D482" i="5"/>
  <c r="D482" i="6" s="1"/>
  <c r="A485" i="6"/>
  <c r="L485" i="5"/>
  <c r="K485" i="6" s="1"/>
  <c r="T485" i="6" s="1"/>
  <c r="A488" i="6"/>
  <c r="F488" i="5"/>
  <c r="G488" i="5" s="1"/>
  <c r="M488" i="5"/>
  <c r="J488" i="6" s="1"/>
  <c r="L488" i="5"/>
  <c r="K488" i="6" s="1"/>
  <c r="F490" i="5"/>
  <c r="C491" i="6"/>
  <c r="P491" i="6" s="1"/>
  <c r="E491" i="5"/>
  <c r="E491" i="6" s="1"/>
  <c r="A492" i="6"/>
  <c r="B492" i="5"/>
  <c r="B492" i="6" s="1"/>
  <c r="M492" i="5"/>
  <c r="J492" i="6" s="1"/>
  <c r="S492" i="6" s="1"/>
  <c r="C498" i="6"/>
  <c r="P498" i="6" s="1"/>
  <c r="T498" i="6" s="1"/>
  <c r="D498" i="5"/>
  <c r="D498" i="6" s="1"/>
  <c r="A499" i="6"/>
  <c r="L499" i="5"/>
  <c r="K499" i="6" s="1"/>
  <c r="C505" i="6"/>
  <c r="P505" i="6" s="1"/>
  <c r="A510" i="6"/>
  <c r="F510" i="5"/>
  <c r="G510" i="5" s="1"/>
  <c r="F510" i="6" s="1"/>
  <c r="N510" i="6" s="1"/>
  <c r="O510" i="6" s="1"/>
  <c r="L510" i="5"/>
  <c r="K510" i="6" s="1"/>
  <c r="T510" i="6" s="1"/>
  <c r="C512" i="6"/>
  <c r="P512" i="6" s="1"/>
  <c r="D512" i="5"/>
  <c r="D512" i="6" s="1"/>
  <c r="H514" i="5"/>
  <c r="D516" i="5"/>
  <c r="D516" i="6" s="1"/>
  <c r="A517" i="6"/>
  <c r="L517" i="5"/>
  <c r="K517" i="6" s="1"/>
  <c r="T517" i="6" s="1"/>
  <c r="B520" i="5"/>
  <c r="B520" i="6" s="1"/>
  <c r="G534" i="5"/>
  <c r="C536" i="6"/>
  <c r="P536" i="6" s="1"/>
  <c r="T536" i="6" s="1"/>
  <c r="G536" i="5"/>
  <c r="D536" i="5"/>
  <c r="D536" i="6" s="1"/>
  <c r="A538" i="6"/>
  <c r="F538" i="5"/>
  <c r="M538" i="5"/>
  <c r="J538" i="6" s="1"/>
  <c r="B538" i="5"/>
  <c r="B538" i="6" s="1"/>
  <c r="C539" i="6"/>
  <c r="P539" i="6" s="1"/>
  <c r="G539" i="5"/>
  <c r="E539" i="5"/>
  <c r="E539" i="6" s="1"/>
  <c r="D542" i="5"/>
  <c r="D542" i="6" s="1"/>
  <c r="A544" i="6"/>
  <c r="F544" i="5"/>
  <c r="G544" i="5" s="1"/>
  <c r="M544" i="5"/>
  <c r="J544" i="6" s="1"/>
  <c r="A548" i="6"/>
  <c r="M548" i="5"/>
  <c r="J548" i="6" s="1"/>
  <c r="S548" i="6" s="1"/>
  <c r="L548" i="5"/>
  <c r="K548" i="6" s="1"/>
  <c r="T548" i="6" s="1"/>
  <c r="B548" i="5"/>
  <c r="B548" i="6" s="1"/>
  <c r="B549" i="5"/>
  <c r="B549" i="6" s="1"/>
  <c r="A557" i="6"/>
  <c r="F557" i="5"/>
  <c r="L557" i="5"/>
  <c r="K557" i="6" s="1"/>
  <c r="M557" i="5"/>
  <c r="J557" i="6" s="1"/>
  <c r="H562" i="5"/>
  <c r="G574" i="5"/>
  <c r="C576" i="6"/>
  <c r="P576" i="6" s="1"/>
  <c r="T576" i="6" s="1"/>
  <c r="G576" i="5"/>
  <c r="D576" i="5"/>
  <c r="D576" i="6" s="1"/>
  <c r="A578" i="6"/>
  <c r="F578" i="5"/>
  <c r="M578" i="5"/>
  <c r="J578" i="6" s="1"/>
  <c r="B578" i="5"/>
  <c r="B578" i="6" s="1"/>
  <c r="C579" i="6"/>
  <c r="P579" i="6" s="1"/>
  <c r="S579" i="6" s="1"/>
  <c r="G579" i="5"/>
  <c r="E579" i="5"/>
  <c r="E579" i="6" s="1"/>
  <c r="D582" i="5"/>
  <c r="D582" i="6" s="1"/>
  <c r="C586" i="6"/>
  <c r="P586" i="6" s="1"/>
  <c r="T586" i="6" s="1"/>
  <c r="E586" i="5"/>
  <c r="E586" i="6" s="1"/>
  <c r="D586" i="5"/>
  <c r="D586" i="6" s="1"/>
  <c r="C595" i="6"/>
  <c r="P595" i="6" s="1"/>
  <c r="D595" i="5"/>
  <c r="D595" i="6" s="1"/>
  <c r="G595" i="5"/>
  <c r="E595" i="5"/>
  <c r="E595" i="6" s="1"/>
  <c r="A439" i="6"/>
  <c r="L439" i="5"/>
  <c r="K439" i="6" s="1"/>
  <c r="C445" i="6"/>
  <c r="P445" i="6" s="1"/>
  <c r="E445" i="5"/>
  <c r="E445" i="6" s="1"/>
  <c r="A452" i="6"/>
  <c r="B452" i="5"/>
  <c r="B452" i="6" s="1"/>
  <c r="L452" i="5"/>
  <c r="K452" i="6" s="1"/>
  <c r="C458" i="6"/>
  <c r="P458" i="6" s="1"/>
  <c r="T458" i="6" s="1"/>
  <c r="D458" i="5"/>
  <c r="D458" i="6" s="1"/>
  <c r="A461" i="6"/>
  <c r="C467" i="6"/>
  <c r="P467" i="6" s="1"/>
  <c r="A472" i="6"/>
  <c r="F472" i="5"/>
  <c r="A474" i="6"/>
  <c r="M474" i="5"/>
  <c r="A506" i="6"/>
  <c r="M506" i="5"/>
  <c r="J506" i="6" s="1"/>
  <c r="B506" i="5"/>
  <c r="B506" i="6" s="1"/>
  <c r="C520" i="6"/>
  <c r="P520" i="6" s="1"/>
  <c r="T520" i="6" s="1"/>
  <c r="G520" i="5"/>
  <c r="D520" i="5"/>
  <c r="D520" i="6" s="1"/>
  <c r="A523" i="6"/>
  <c r="M523" i="5"/>
  <c r="J523" i="6" s="1"/>
  <c r="A528" i="6"/>
  <c r="F528" i="5"/>
  <c r="G528" i="5" s="1"/>
  <c r="M528" i="5"/>
  <c r="J528" i="6" s="1"/>
  <c r="C538" i="6"/>
  <c r="P538" i="6" s="1"/>
  <c r="T538" i="6" s="1"/>
  <c r="E538" i="5"/>
  <c r="E538" i="6" s="1"/>
  <c r="D538" i="5"/>
  <c r="D538" i="6" s="1"/>
  <c r="A552" i="6"/>
  <c r="F552" i="5"/>
  <c r="G552" i="5" s="1"/>
  <c r="M552" i="5"/>
  <c r="J552" i="6" s="1"/>
  <c r="A556" i="6"/>
  <c r="M556" i="5"/>
  <c r="J556" i="6" s="1"/>
  <c r="L556" i="5"/>
  <c r="K556" i="6" s="1"/>
  <c r="B556" i="5"/>
  <c r="B556" i="6" s="1"/>
  <c r="C578" i="6"/>
  <c r="P578" i="6" s="1"/>
  <c r="T578" i="6" s="1"/>
  <c r="E578" i="5"/>
  <c r="E578" i="6" s="1"/>
  <c r="D578" i="5"/>
  <c r="D578" i="6" s="1"/>
  <c r="A588" i="6"/>
  <c r="M588" i="5"/>
  <c r="J588" i="6" s="1"/>
  <c r="S588" i="6" s="1"/>
  <c r="L588" i="5"/>
  <c r="K588" i="6" s="1"/>
  <c r="T588" i="6" s="1"/>
  <c r="B588" i="5"/>
  <c r="B588" i="6" s="1"/>
  <c r="A384" i="6"/>
  <c r="F384" i="5"/>
  <c r="A386" i="6"/>
  <c r="M386" i="5"/>
  <c r="J386" i="6" s="1"/>
  <c r="F398" i="6"/>
  <c r="N398" i="6" s="1"/>
  <c r="O398" i="6" s="1"/>
  <c r="H398" i="5"/>
  <c r="A415" i="6"/>
  <c r="L415" i="5"/>
  <c r="K415" i="6" s="1"/>
  <c r="C421" i="6"/>
  <c r="P421" i="6" s="1"/>
  <c r="T421" i="6" s="1"/>
  <c r="E421" i="5"/>
  <c r="E421" i="6" s="1"/>
  <c r="A428" i="6"/>
  <c r="B428" i="5"/>
  <c r="B428" i="6" s="1"/>
  <c r="L428" i="5"/>
  <c r="K428" i="6" s="1"/>
  <c r="F433" i="6"/>
  <c r="N433" i="6" s="1"/>
  <c r="O433" i="6" s="1"/>
  <c r="I433" i="5"/>
  <c r="C434" i="6"/>
  <c r="P434" i="6" s="1"/>
  <c r="D434" i="5"/>
  <c r="D434" i="6" s="1"/>
  <c r="A437" i="6"/>
  <c r="F438" i="5"/>
  <c r="B439" i="5"/>
  <c r="B439" i="6" s="1"/>
  <c r="G440" i="5"/>
  <c r="G442" i="5"/>
  <c r="C443" i="6"/>
  <c r="P443" i="6" s="1"/>
  <c r="G443" i="5"/>
  <c r="D445" i="5"/>
  <c r="D445" i="6" s="1"/>
  <c r="A448" i="6"/>
  <c r="F448" i="5"/>
  <c r="A450" i="6"/>
  <c r="M450" i="5"/>
  <c r="J450" i="6" s="1"/>
  <c r="F451" i="5"/>
  <c r="G451" i="5" s="1"/>
  <c r="M452" i="5"/>
  <c r="J452" i="6" s="1"/>
  <c r="H453" i="5"/>
  <c r="D454" i="5"/>
  <c r="D454" i="6" s="1"/>
  <c r="D456" i="5"/>
  <c r="D456" i="6" s="1"/>
  <c r="E458" i="5"/>
  <c r="E458" i="6" s="1"/>
  <c r="B461" i="5"/>
  <c r="B461" i="6" s="1"/>
  <c r="L461" i="5"/>
  <c r="K461" i="6" s="1"/>
  <c r="D467" i="5"/>
  <c r="D467" i="6" s="1"/>
  <c r="B470" i="5"/>
  <c r="B470" i="6" s="1"/>
  <c r="L470" i="5"/>
  <c r="K470" i="6" s="1"/>
  <c r="T470" i="6" s="1"/>
  <c r="F471" i="5"/>
  <c r="G471" i="5" s="1"/>
  <c r="B472" i="5"/>
  <c r="B472" i="6" s="1"/>
  <c r="L472" i="5"/>
  <c r="K472" i="6" s="1"/>
  <c r="B474" i="5"/>
  <c r="B474" i="6" s="1"/>
  <c r="L474" i="5"/>
  <c r="K474" i="6" s="1"/>
  <c r="D476" i="5"/>
  <c r="D476" i="6" s="1"/>
  <c r="E478" i="5"/>
  <c r="E478" i="6" s="1"/>
  <c r="A479" i="6"/>
  <c r="L479" i="5"/>
  <c r="K479" i="6" s="1"/>
  <c r="E480" i="5"/>
  <c r="E480" i="6" s="1"/>
  <c r="J481" i="5"/>
  <c r="G481" i="6" s="1"/>
  <c r="B483" i="5"/>
  <c r="B483" i="6" s="1"/>
  <c r="L483" i="5"/>
  <c r="K483" i="6" s="1"/>
  <c r="A486" i="6"/>
  <c r="F486" i="5"/>
  <c r="L486" i="5"/>
  <c r="K486" i="6" s="1"/>
  <c r="T486" i="6" s="1"/>
  <c r="C488" i="6"/>
  <c r="P488" i="6" s="1"/>
  <c r="D488" i="5"/>
  <c r="D488" i="6" s="1"/>
  <c r="D492" i="5"/>
  <c r="D492" i="6" s="1"/>
  <c r="A493" i="6"/>
  <c r="L493" i="5"/>
  <c r="K493" i="6" s="1"/>
  <c r="A496" i="6"/>
  <c r="F496" i="5"/>
  <c r="M496" i="5"/>
  <c r="J496" i="6" s="1"/>
  <c r="L496" i="5"/>
  <c r="K496" i="6" s="1"/>
  <c r="F498" i="5"/>
  <c r="C499" i="6"/>
  <c r="P499" i="6" s="1"/>
  <c r="G499" i="5"/>
  <c r="E499" i="5"/>
  <c r="E499" i="6" s="1"/>
  <c r="A500" i="6"/>
  <c r="B500" i="5"/>
  <c r="B500" i="6" s="1"/>
  <c r="M500" i="5"/>
  <c r="J500" i="6" s="1"/>
  <c r="E502" i="5"/>
  <c r="E502" i="6" s="1"/>
  <c r="E505" i="5"/>
  <c r="E505" i="6" s="1"/>
  <c r="C506" i="6"/>
  <c r="P506" i="6" s="1"/>
  <c r="T506" i="6" s="1"/>
  <c r="D506" i="5"/>
  <c r="D506" i="6" s="1"/>
  <c r="A507" i="6"/>
  <c r="L507" i="5"/>
  <c r="K507" i="6" s="1"/>
  <c r="C513" i="6"/>
  <c r="P513" i="6" s="1"/>
  <c r="G513" i="5"/>
  <c r="E520" i="5"/>
  <c r="E520" i="6" s="1"/>
  <c r="C521" i="6"/>
  <c r="P521" i="6" s="1"/>
  <c r="G521" i="5"/>
  <c r="A522" i="6"/>
  <c r="M522" i="5"/>
  <c r="J522" i="6" s="1"/>
  <c r="B522" i="5"/>
  <c r="B522" i="6" s="1"/>
  <c r="B523" i="5"/>
  <c r="B523" i="6" s="1"/>
  <c r="A524" i="6"/>
  <c r="L524" i="5"/>
  <c r="K524" i="6" s="1"/>
  <c r="T524" i="6" s="1"/>
  <c r="B524" i="5"/>
  <c r="B524" i="6" s="1"/>
  <c r="B528" i="5"/>
  <c r="B528" i="6" s="1"/>
  <c r="A532" i="6"/>
  <c r="M532" i="5"/>
  <c r="J532" i="6" s="1"/>
  <c r="S532" i="6" s="1"/>
  <c r="L532" i="5"/>
  <c r="K532" i="6" s="1"/>
  <c r="T532" i="6" s="1"/>
  <c r="B532" i="5"/>
  <c r="A533" i="6"/>
  <c r="F533" i="5"/>
  <c r="L533" i="5"/>
  <c r="K533" i="6" s="1"/>
  <c r="T533" i="6" s="1"/>
  <c r="M533" i="5"/>
  <c r="J533" i="6" s="1"/>
  <c r="S533" i="6" s="1"/>
  <c r="F535" i="6"/>
  <c r="N535" i="6" s="1"/>
  <c r="O535" i="6" s="1"/>
  <c r="I535" i="5"/>
  <c r="G538" i="5"/>
  <c r="G542" i="5"/>
  <c r="C544" i="6"/>
  <c r="P544" i="6" s="1"/>
  <c r="D544" i="5"/>
  <c r="D544" i="6" s="1"/>
  <c r="A546" i="6"/>
  <c r="F546" i="5"/>
  <c r="M546" i="5"/>
  <c r="J546" i="6" s="1"/>
  <c r="B546" i="5"/>
  <c r="B546" i="6" s="1"/>
  <c r="C547" i="6"/>
  <c r="P547" i="6" s="1"/>
  <c r="E547" i="5"/>
  <c r="E547" i="6" s="1"/>
  <c r="B552" i="5"/>
  <c r="B552" i="6" s="1"/>
  <c r="L562" i="5"/>
  <c r="K562" i="6" s="1"/>
  <c r="A565" i="6"/>
  <c r="F565" i="5"/>
  <c r="L565" i="5"/>
  <c r="K565" i="6" s="1"/>
  <c r="T565" i="6" s="1"/>
  <c r="S574" i="6"/>
  <c r="G578" i="5"/>
  <c r="G582" i="5"/>
  <c r="A597" i="6"/>
  <c r="B597" i="5"/>
  <c r="B597" i="6" s="1"/>
  <c r="F597" i="5"/>
  <c r="M597" i="5"/>
  <c r="J597" i="6" s="1"/>
  <c r="L597" i="5"/>
  <c r="K597" i="6" s="1"/>
  <c r="A391" i="6"/>
  <c r="L391" i="5"/>
  <c r="K391" i="6" s="1"/>
  <c r="T391" i="6" s="1"/>
  <c r="F394" i="5"/>
  <c r="G396" i="5"/>
  <c r="C397" i="6"/>
  <c r="P397" i="6" s="1"/>
  <c r="E397" i="5"/>
  <c r="E397" i="6" s="1"/>
  <c r="A404" i="6"/>
  <c r="B404" i="5"/>
  <c r="L404" i="5"/>
  <c r="K404" i="6" s="1"/>
  <c r="T404" i="6" s="1"/>
  <c r="C410" i="6"/>
  <c r="P410" i="6" s="1"/>
  <c r="D410" i="5"/>
  <c r="D410" i="6" s="1"/>
  <c r="A413" i="6"/>
  <c r="C419" i="6"/>
  <c r="P419" i="6" s="1"/>
  <c r="G419" i="5"/>
  <c r="A424" i="6"/>
  <c r="F424" i="5"/>
  <c r="A426" i="6"/>
  <c r="M426" i="5"/>
  <c r="J426" i="6" s="1"/>
  <c r="F436" i="5"/>
  <c r="G438" i="5"/>
  <c r="M439" i="5"/>
  <c r="J439" i="6" s="1"/>
  <c r="F445" i="5"/>
  <c r="I453" i="5"/>
  <c r="E454" i="5"/>
  <c r="E454" i="6" s="1"/>
  <c r="A455" i="6"/>
  <c r="L455" i="5"/>
  <c r="K455" i="6" s="1"/>
  <c r="E456" i="5"/>
  <c r="E456" i="6" s="1"/>
  <c r="F458" i="5"/>
  <c r="G460" i="5"/>
  <c r="C461" i="6"/>
  <c r="P461" i="6" s="1"/>
  <c r="E461" i="5"/>
  <c r="E461" i="6" s="1"/>
  <c r="M461" i="5"/>
  <c r="J461" i="6" s="1"/>
  <c r="E467" i="5"/>
  <c r="E467" i="6" s="1"/>
  <c r="A468" i="6"/>
  <c r="B468" i="5"/>
  <c r="L468" i="5"/>
  <c r="K468" i="6" s="1"/>
  <c r="T468" i="6" s="1"/>
  <c r="M470" i="5"/>
  <c r="M472" i="5"/>
  <c r="F473" i="6"/>
  <c r="N473" i="6" s="1"/>
  <c r="O473" i="6" s="1"/>
  <c r="I473" i="5"/>
  <c r="C474" i="6"/>
  <c r="P474" i="6" s="1"/>
  <c r="D474" i="5"/>
  <c r="D474" i="6" s="1"/>
  <c r="E476" i="5"/>
  <c r="E476" i="6" s="1"/>
  <c r="A477" i="6"/>
  <c r="C483" i="6"/>
  <c r="P483" i="6" s="1"/>
  <c r="G483" i="5"/>
  <c r="M483" i="5"/>
  <c r="E492" i="5"/>
  <c r="E492" i="6" s="1"/>
  <c r="F502" i="6"/>
  <c r="N502" i="6" s="1"/>
  <c r="O502" i="6" s="1"/>
  <c r="A514" i="6"/>
  <c r="M514" i="5"/>
  <c r="J514" i="6" s="1"/>
  <c r="B514" i="5"/>
  <c r="B514" i="6" s="1"/>
  <c r="G516" i="5"/>
  <c r="C522" i="6"/>
  <c r="P522" i="6" s="1"/>
  <c r="E522" i="5"/>
  <c r="E522" i="6" s="1"/>
  <c r="D522" i="5"/>
  <c r="D522" i="6" s="1"/>
  <c r="C523" i="6"/>
  <c r="P523" i="6" s="1"/>
  <c r="T523" i="6" s="1"/>
  <c r="G523" i="5"/>
  <c r="E523" i="5"/>
  <c r="E523" i="6" s="1"/>
  <c r="A525" i="6"/>
  <c r="F525" i="5"/>
  <c r="L525" i="5"/>
  <c r="K525" i="6" s="1"/>
  <c r="T525" i="6" s="1"/>
  <c r="M525" i="5"/>
  <c r="J525" i="6" s="1"/>
  <c r="S525" i="6" s="1"/>
  <c r="C528" i="6"/>
  <c r="P528" i="6" s="1"/>
  <c r="T528" i="6" s="1"/>
  <c r="D528" i="5"/>
  <c r="D528" i="6" s="1"/>
  <c r="C546" i="6"/>
  <c r="P546" i="6" s="1"/>
  <c r="T546" i="6" s="1"/>
  <c r="E546" i="5"/>
  <c r="E546" i="6" s="1"/>
  <c r="D546" i="5"/>
  <c r="D546" i="6" s="1"/>
  <c r="C552" i="6"/>
  <c r="P552" i="6" s="1"/>
  <c r="D552" i="5"/>
  <c r="D552" i="6" s="1"/>
  <c r="A554" i="6"/>
  <c r="F554" i="5"/>
  <c r="M554" i="5"/>
  <c r="J554" i="6" s="1"/>
  <c r="B554" i="5"/>
  <c r="B554" i="6" s="1"/>
  <c r="C555" i="6"/>
  <c r="P555" i="6" s="1"/>
  <c r="S555" i="6" s="1"/>
  <c r="G555" i="5"/>
  <c r="E555" i="5"/>
  <c r="E555" i="6" s="1"/>
  <c r="A560" i="6"/>
  <c r="F560" i="5"/>
  <c r="M560" i="5"/>
  <c r="J560" i="6" s="1"/>
  <c r="A564" i="6"/>
  <c r="M564" i="5"/>
  <c r="J564" i="6" s="1"/>
  <c r="L564" i="5"/>
  <c r="K564" i="6" s="1"/>
  <c r="B564" i="5"/>
  <c r="B567" i="6"/>
  <c r="A573" i="6"/>
  <c r="F573" i="5"/>
  <c r="L573" i="5"/>
  <c r="K573" i="6" s="1"/>
  <c r="T573" i="6" s="1"/>
  <c r="M573" i="5"/>
  <c r="J573" i="6" s="1"/>
  <c r="S573" i="6" s="1"/>
  <c r="F518" i="5"/>
  <c r="F526" i="5"/>
  <c r="F534" i="5"/>
  <c r="G537" i="5"/>
  <c r="F542" i="5"/>
  <c r="F550" i="5"/>
  <c r="G550" i="5" s="1"/>
  <c r="H550" i="5" s="1"/>
  <c r="G553" i="5"/>
  <c r="F558" i="5"/>
  <c r="G561" i="5"/>
  <c r="F566" i="5"/>
  <c r="F574" i="5"/>
  <c r="G577" i="5"/>
  <c r="F582" i="5"/>
  <c r="D584" i="5"/>
  <c r="D584" i="6" s="1"/>
  <c r="M584" i="5"/>
  <c r="J584" i="6" s="1"/>
  <c r="B586" i="5"/>
  <c r="B586" i="6" s="1"/>
  <c r="F590" i="5"/>
  <c r="G590" i="5" s="1"/>
  <c r="D592" i="5"/>
  <c r="D592" i="6" s="1"/>
  <c r="M592" i="5"/>
  <c r="J592" i="6" s="1"/>
  <c r="S592" i="6" s="1"/>
  <c r="G593" i="5"/>
  <c r="B594" i="5"/>
  <c r="B594" i="6" s="1"/>
  <c r="F598" i="5"/>
  <c r="D600" i="5"/>
  <c r="D600" i="6" s="1"/>
  <c r="M600" i="5"/>
  <c r="J600" i="6" s="1"/>
  <c r="G601" i="5"/>
  <c r="B602" i="5"/>
  <c r="B602" i="6" s="1"/>
  <c r="F606" i="5"/>
  <c r="D608" i="5"/>
  <c r="D608" i="6" s="1"/>
  <c r="M608" i="5"/>
  <c r="B610" i="5"/>
  <c r="B610" i="6" s="1"/>
  <c r="E611" i="5"/>
  <c r="E611" i="6" s="1"/>
  <c r="L613" i="5"/>
  <c r="K613" i="6" s="1"/>
  <c r="T613" i="6" s="1"/>
  <c r="F614" i="5"/>
  <c r="C619" i="6"/>
  <c r="P619" i="6" s="1"/>
  <c r="D619" i="5"/>
  <c r="D619" i="6" s="1"/>
  <c r="A617" i="6"/>
  <c r="L617" i="5"/>
  <c r="K617" i="6" s="1"/>
  <c r="F617" i="5"/>
  <c r="F618" i="6"/>
  <c r="N618" i="6" s="1"/>
  <c r="O618" i="6" s="1"/>
  <c r="I618" i="5"/>
  <c r="E485" i="5"/>
  <c r="E485" i="6" s="1"/>
  <c r="L487" i="5"/>
  <c r="K487" i="6" s="1"/>
  <c r="E493" i="5"/>
  <c r="E493" i="6" s="1"/>
  <c r="L495" i="5"/>
  <c r="K495" i="6" s="1"/>
  <c r="E501" i="5"/>
  <c r="E501" i="6" s="1"/>
  <c r="L503" i="5"/>
  <c r="K503" i="6" s="1"/>
  <c r="T503" i="6" s="1"/>
  <c r="E509" i="5"/>
  <c r="L511" i="5"/>
  <c r="K511" i="6" s="1"/>
  <c r="E517" i="5"/>
  <c r="E517" i="6" s="1"/>
  <c r="L519" i="5"/>
  <c r="K519" i="6" s="1"/>
  <c r="E525" i="5"/>
  <c r="E525" i="6" s="1"/>
  <c r="L527" i="5"/>
  <c r="K527" i="6" s="1"/>
  <c r="T527" i="6" s="1"/>
  <c r="E533" i="5"/>
  <c r="E533" i="6" s="1"/>
  <c r="L535" i="5"/>
  <c r="K535" i="6" s="1"/>
  <c r="E541" i="5"/>
  <c r="E541" i="6" s="1"/>
  <c r="L543" i="5"/>
  <c r="K543" i="6" s="1"/>
  <c r="T543" i="6" s="1"/>
  <c r="E549" i="5"/>
  <c r="E549" i="6" s="1"/>
  <c r="L551" i="5"/>
  <c r="K551" i="6" s="1"/>
  <c r="E557" i="5"/>
  <c r="E557" i="6" s="1"/>
  <c r="L559" i="5"/>
  <c r="K559" i="6" s="1"/>
  <c r="T559" i="6" s="1"/>
  <c r="E565" i="5"/>
  <c r="E565" i="6" s="1"/>
  <c r="L567" i="5"/>
  <c r="K567" i="6" s="1"/>
  <c r="T567" i="6" s="1"/>
  <c r="E573" i="5"/>
  <c r="E573" i="6" s="1"/>
  <c r="L575" i="5"/>
  <c r="K575" i="6" s="1"/>
  <c r="E581" i="5"/>
  <c r="E581" i="6" s="1"/>
  <c r="L583" i="5"/>
  <c r="K583" i="6" s="1"/>
  <c r="F584" i="5"/>
  <c r="M586" i="5"/>
  <c r="J586" i="6" s="1"/>
  <c r="E589" i="5"/>
  <c r="E589" i="6" s="1"/>
  <c r="L591" i="5"/>
  <c r="K591" i="6" s="1"/>
  <c r="F592" i="5"/>
  <c r="G592" i="5" s="1"/>
  <c r="D594" i="5"/>
  <c r="D594" i="6" s="1"/>
  <c r="M594" i="5"/>
  <c r="J594" i="6" s="1"/>
  <c r="S594" i="6" s="1"/>
  <c r="B596" i="5"/>
  <c r="B596" i="6" s="1"/>
  <c r="E597" i="5"/>
  <c r="E597" i="6" s="1"/>
  <c r="L599" i="5"/>
  <c r="K599" i="6" s="1"/>
  <c r="F600" i="5"/>
  <c r="D602" i="5"/>
  <c r="D602" i="6" s="1"/>
  <c r="M602" i="5"/>
  <c r="J602" i="6" s="1"/>
  <c r="S602" i="6" s="1"/>
  <c r="B604" i="5"/>
  <c r="B604" i="6" s="1"/>
  <c r="E605" i="5"/>
  <c r="E605" i="6" s="1"/>
  <c r="L607" i="5"/>
  <c r="K607" i="6" s="1"/>
  <c r="T607" i="6" s="1"/>
  <c r="F608" i="5"/>
  <c r="D610" i="5"/>
  <c r="D610" i="6" s="1"/>
  <c r="M610" i="5"/>
  <c r="B612" i="5"/>
  <c r="B612" i="6" s="1"/>
  <c r="E613" i="5"/>
  <c r="E613" i="6" s="1"/>
  <c r="L615" i="5"/>
  <c r="K615" i="6" s="1"/>
  <c r="T615" i="6" s="1"/>
  <c r="B617" i="5"/>
  <c r="B617" i="6" s="1"/>
  <c r="M617" i="5"/>
  <c r="H618" i="5"/>
  <c r="G619" i="5"/>
  <c r="C620" i="6"/>
  <c r="P620" i="6" s="1"/>
  <c r="D620" i="5"/>
  <c r="D620" i="6" s="1"/>
  <c r="G620" i="5"/>
  <c r="E594" i="5"/>
  <c r="E594" i="6" s="1"/>
  <c r="L596" i="5"/>
  <c r="K596" i="6" s="1"/>
  <c r="T596" i="6" s="1"/>
  <c r="G600" i="5"/>
  <c r="E602" i="5"/>
  <c r="E602" i="6" s="1"/>
  <c r="L604" i="5"/>
  <c r="K604" i="6" s="1"/>
  <c r="T604" i="6" s="1"/>
  <c r="E610" i="5"/>
  <c r="E610" i="6" s="1"/>
  <c r="L612" i="5"/>
  <c r="K612" i="6" s="1"/>
  <c r="F613" i="5"/>
  <c r="J618" i="5"/>
  <c r="G618" i="6" s="1"/>
  <c r="C622" i="6"/>
  <c r="P622" i="6" s="1"/>
  <c r="G622" i="5"/>
  <c r="E622" i="5"/>
  <c r="E622" i="6" s="1"/>
  <c r="D622" i="5"/>
  <c r="D622" i="6" s="1"/>
  <c r="D540" i="5"/>
  <c r="D540" i="6" s="1"/>
  <c r="B542" i="5"/>
  <c r="B542" i="6" s="1"/>
  <c r="T545" i="6"/>
  <c r="D548" i="5"/>
  <c r="D548" i="6" s="1"/>
  <c r="B550" i="5"/>
  <c r="B550" i="6" s="1"/>
  <c r="D556" i="5"/>
  <c r="D556" i="6" s="1"/>
  <c r="B558" i="5"/>
  <c r="B558" i="6" s="1"/>
  <c r="D564" i="5"/>
  <c r="D564" i="6" s="1"/>
  <c r="B566" i="5"/>
  <c r="D572" i="5"/>
  <c r="D572" i="6" s="1"/>
  <c r="B574" i="5"/>
  <c r="B574" i="6" s="1"/>
  <c r="D580" i="5"/>
  <c r="D580" i="6" s="1"/>
  <c r="B582" i="5"/>
  <c r="B582" i="6" s="1"/>
  <c r="F586" i="5"/>
  <c r="D588" i="5"/>
  <c r="D588" i="6" s="1"/>
  <c r="B590" i="5"/>
  <c r="T593" i="6"/>
  <c r="F594" i="5"/>
  <c r="D596" i="5"/>
  <c r="D596" i="6" s="1"/>
  <c r="M596" i="5"/>
  <c r="J596" i="6" s="1"/>
  <c r="S596" i="6" s="1"/>
  <c r="B598" i="5"/>
  <c r="F602" i="5"/>
  <c r="D604" i="5"/>
  <c r="D604" i="6" s="1"/>
  <c r="M604" i="5"/>
  <c r="B606" i="5"/>
  <c r="F610" i="5"/>
  <c r="D612" i="5"/>
  <c r="D612" i="6" s="1"/>
  <c r="M612" i="5"/>
  <c r="B614" i="5"/>
  <c r="C621" i="6"/>
  <c r="P621" i="6" s="1"/>
  <c r="G621" i="5"/>
  <c r="D621" i="5"/>
  <c r="D621" i="6" s="1"/>
  <c r="T590" i="6"/>
  <c r="G594" i="5"/>
  <c r="G602" i="5"/>
  <c r="L614" i="5"/>
  <c r="K614" i="6" s="1"/>
  <c r="T614" i="6" s="1"/>
  <c r="A616" i="6"/>
  <c r="L616" i="5"/>
  <c r="K616" i="6" s="1"/>
  <c r="T616" i="6" s="1"/>
  <c r="F612" i="5"/>
  <c r="M614" i="5"/>
  <c r="L584" i="5"/>
  <c r="K584" i="6" s="1"/>
  <c r="T592" i="6"/>
  <c r="M622" i="5"/>
  <c r="G623" i="5"/>
  <c r="F622" i="5"/>
  <c r="L618" i="5"/>
  <c r="K618" i="6" s="1"/>
  <c r="T618" i="6" s="1"/>
  <c r="F619" i="5"/>
  <c r="M621" i="5"/>
  <c r="B623" i="5"/>
  <c r="B623" i="6" s="1"/>
  <c r="L623" i="5"/>
  <c r="K623" i="6" s="1"/>
  <c r="F618" i="5"/>
  <c r="B622" i="5"/>
  <c r="B622" i="6" s="1"/>
  <c r="E623" i="5"/>
  <c r="E623" i="6" s="1"/>
  <c r="T599" i="6" l="1"/>
  <c r="S393" i="6"/>
  <c r="T341" i="6"/>
  <c r="F243" i="6"/>
  <c r="N243" i="6" s="1"/>
  <c r="O243" i="6" s="1"/>
  <c r="T94" i="6"/>
  <c r="G365" i="5"/>
  <c r="F365" i="6" s="1"/>
  <c r="N365" i="6" s="1"/>
  <c r="O365" i="6" s="1"/>
  <c r="F604" i="6"/>
  <c r="I201" i="5"/>
  <c r="T558" i="6"/>
  <c r="T584" i="6"/>
  <c r="T617" i="6"/>
  <c r="H596" i="5"/>
  <c r="T383" i="6"/>
  <c r="J423" i="5"/>
  <c r="G423" i="6" s="1"/>
  <c r="H423" i="6" s="1"/>
  <c r="R423" i="6" s="1"/>
  <c r="S584" i="6"/>
  <c r="I423" i="5"/>
  <c r="F423" i="6"/>
  <c r="N423" i="6" s="1"/>
  <c r="O423" i="6" s="1"/>
  <c r="I159" i="5"/>
  <c r="H16" i="5"/>
  <c r="G231" i="5"/>
  <c r="S294" i="6"/>
  <c r="G51" i="5"/>
  <c r="J51" i="5" s="1"/>
  <c r="G51" i="6" s="1"/>
  <c r="T206" i="6"/>
  <c r="T103" i="6"/>
  <c r="J158" i="5"/>
  <c r="G158" i="6" s="1"/>
  <c r="H158" i="6" s="1"/>
  <c r="R158" i="6" s="1"/>
  <c r="I14" i="5"/>
  <c r="S246" i="6"/>
  <c r="S345" i="6"/>
  <c r="G452" i="5"/>
  <c r="J452" i="5" s="1"/>
  <c r="G452" i="6" s="1"/>
  <c r="G470" i="5"/>
  <c r="F470" i="6" s="1"/>
  <c r="N470" i="6" s="1"/>
  <c r="O470" i="6" s="1"/>
  <c r="T231" i="6"/>
  <c r="G168" i="5"/>
  <c r="H168" i="5" s="1"/>
  <c r="I168" i="5" s="1"/>
  <c r="J493" i="5"/>
  <c r="G493" i="6" s="1"/>
  <c r="H493" i="6" s="1"/>
  <c r="R493" i="6" s="1"/>
  <c r="S371" i="6"/>
  <c r="S231" i="6"/>
  <c r="T335" i="6"/>
  <c r="G90" i="5"/>
  <c r="F90" i="6" s="1"/>
  <c r="N90" i="6" s="1"/>
  <c r="O90" i="6" s="1"/>
  <c r="J618" i="6"/>
  <c r="S618" i="6" s="1"/>
  <c r="T563" i="6"/>
  <c r="J604" i="5"/>
  <c r="G604" i="6" s="1"/>
  <c r="J604" i="6" s="1"/>
  <c r="S604" i="6" s="1"/>
  <c r="G232" i="5"/>
  <c r="I232" i="5" s="1"/>
  <c r="I233" i="5"/>
  <c r="S441" i="6"/>
  <c r="S463" i="6"/>
  <c r="T180" i="6"/>
  <c r="S446" i="6"/>
  <c r="F263" i="6"/>
  <c r="N263" i="6" s="1"/>
  <c r="O263" i="6" s="1"/>
  <c r="G325" i="5"/>
  <c r="F325" i="6" s="1"/>
  <c r="N325" i="6" s="1"/>
  <c r="O325" i="6" s="1"/>
  <c r="S521" i="6"/>
  <c r="I303" i="5"/>
  <c r="S129" i="6"/>
  <c r="G432" i="5"/>
  <c r="F432" i="6" s="1"/>
  <c r="N432" i="6" s="1"/>
  <c r="O432" i="6" s="1"/>
  <c r="G50" i="5"/>
  <c r="J50" i="5" s="1"/>
  <c r="G50" i="6" s="1"/>
  <c r="H263" i="5"/>
  <c r="J263" i="5"/>
  <c r="G263" i="6" s="1"/>
  <c r="W263" i="6" s="1"/>
  <c r="T235" i="6"/>
  <c r="G10" i="5"/>
  <c r="J10" i="5" s="1"/>
  <c r="S452" i="6"/>
  <c r="G172" i="5"/>
  <c r="F172" i="6" s="1"/>
  <c r="N172" i="6" s="1"/>
  <c r="O172" i="6" s="1"/>
  <c r="S582" i="6"/>
  <c r="R591" i="6"/>
  <c r="S93" i="6"/>
  <c r="S175" i="6"/>
  <c r="T93" i="6"/>
  <c r="T151" i="6"/>
  <c r="G190" i="5"/>
  <c r="F190" i="6" s="1"/>
  <c r="N190" i="6" s="1"/>
  <c r="O190" i="6" s="1"/>
  <c r="G5" i="5"/>
  <c r="H5" i="5" s="1"/>
  <c r="T452" i="6"/>
  <c r="T535" i="6"/>
  <c r="T337" i="6"/>
  <c r="G330" i="5"/>
  <c r="H330" i="5" s="1"/>
  <c r="I330" i="5" s="1"/>
  <c r="S500" i="6"/>
  <c r="J599" i="5"/>
  <c r="G599" i="6" s="1"/>
  <c r="H599" i="6" s="1"/>
  <c r="R599" i="6" s="1"/>
  <c r="F319" i="6"/>
  <c r="N319" i="6" s="1"/>
  <c r="O319" i="6" s="1"/>
  <c r="T437" i="6"/>
  <c r="I382" i="5"/>
  <c r="G370" i="5"/>
  <c r="H370" i="5" s="1"/>
  <c r="I370" i="5" s="1"/>
  <c r="H183" i="5"/>
  <c r="S495" i="6"/>
  <c r="J596" i="5"/>
  <c r="G596" i="6" s="1"/>
  <c r="H596" i="6" s="1"/>
  <c r="R596" i="6" s="1"/>
  <c r="T348" i="6"/>
  <c r="I121" i="5"/>
  <c r="H297" i="5"/>
  <c r="J183" i="5"/>
  <c r="G183" i="6" s="1"/>
  <c r="H183" i="6" s="1"/>
  <c r="R183" i="6" s="1"/>
  <c r="I614" i="5"/>
  <c r="G124" i="5"/>
  <c r="F124" i="6" s="1"/>
  <c r="H102" i="5"/>
  <c r="T251" i="6"/>
  <c r="G472" i="5"/>
  <c r="J472" i="5" s="1"/>
  <c r="G472" i="6" s="1"/>
  <c r="T497" i="6"/>
  <c r="T542" i="6"/>
  <c r="I297" i="5"/>
  <c r="H614" i="5"/>
  <c r="J455" i="5"/>
  <c r="G455" i="6" s="1"/>
  <c r="W455" i="6" s="1"/>
  <c r="S542" i="6"/>
  <c r="T612" i="6"/>
  <c r="T540" i="6"/>
  <c r="H297" i="6"/>
  <c r="R297" i="6" s="1"/>
  <c r="G567" i="5"/>
  <c r="F567" i="6" s="1"/>
  <c r="I377" i="5"/>
  <c r="G409" i="5"/>
  <c r="F409" i="6" s="1"/>
  <c r="N409" i="6" s="1"/>
  <c r="O409" i="6" s="1"/>
  <c r="J340" i="5"/>
  <c r="G340" i="6" s="1"/>
  <c r="H340" i="6" s="1"/>
  <c r="R340" i="6" s="1"/>
  <c r="S131" i="6"/>
  <c r="T153" i="6"/>
  <c r="I417" i="5"/>
  <c r="J199" i="5"/>
  <c r="G199" i="6" s="1"/>
  <c r="W199" i="6" s="1"/>
  <c r="I96" i="5"/>
  <c r="G7" i="5"/>
  <c r="F7" i="6" s="1"/>
  <c r="H96" i="5"/>
  <c r="J15" i="5"/>
  <c r="G15" i="6" s="1"/>
  <c r="K15" i="6" s="1"/>
  <c r="T15" i="6" s="1"/>
  <c r="I199" i="5"/>
  <c r="H199" i="5"/>
  <c r="G6" i="5"/>
  <c r="F6" i="6" s="1"/>
  <c r="N6" i="6" s="1"/>
  <c r="O6" i="6" s="1"/>
  <c r="T257" i="6"/>
  <c r="T207" i="6"/>
  <c r="I180" i="5"/>
  <c r="I15" i="5"/>
  <c r="H15" i="5"/>
  <c r="J494" i="5"/>
  <c r="G494" i="6" s="1"/>
  <c r="H494" i="6" s="1"/>
  <c r="R494" i="6" s="1"/>
  <c r="H494" i="5"/>
  <c r="G269" i="5"/>
  <c r="F269" i="6" s="1"/>
  <c r="N269" i="6" s="1"/>
  <c r="O269" i="6" s="1"/>
  <c r="S557" i="6"/>
  <c r="J334" i="5"/>
  <c r="G334" i="6" s="1"/>
  <c r="J334" i="6" s="1"/>
  <c r="S334" i="6" s="1"/>
  <c r="T597" i="6"/>
  <c r="S507" i="6"/>
  <c r="T557" i="6"/>
  <c r="J466" i="5"/>
  <c r="G466" i="6" s="1"/>
  <c r="J466" i="6" s="1"/>
  <c r="S466" i="6" s="1"/>
  <c r="S597" i="6"/>
  <c r="T431" i="6"/>
  <c r="H466" i="5"/>
  <c r="I466" i="5" s="1"/>
  <c r="H382" i="5"/>
  <c r="G112" i="5"/>
  <c r="F112" i="6" s="1"/>
  <c r="N112" i="6" s="1"/>
  <c r="O112" i="6" s="1"/>
  <c r="J214" i="5"/>
  <c r="G214" i="6" s="1"/>
  <c r="H214" i="6" s="1"/>
  <c r="R214" i="6" s="1"/>
  <c r="T428" i="6"/>
  <c r="T327" i="6"/>
  <c r="S398" i="6"/>
  <c r="J305" i="5"/>
  <c r="G305" i="6" s="1"/>
  <c r="H305" i="6" s="1"/>
  <c r="R305" i="6" s="1"/>
  <c r="I501" i="5"/>
  <c r="H501" i="5"/>
  <c r="F494" i="6"/>
  <c r="N494" i="6" s="1"/>
  <c r="O494" i="6" s="1"/>
  <c r="G150" i="5"/>
  <c r="J150" i="5" s="1"/>
  <c r="G150" i="6" s="1"/>
  <c r="H150" i="6" s="1"/>
  <c r="R150" i="6" s="1"/>
  <c r="F305" i="6"/>
  <c r="S223" i="6"/>
  <c r="G252" i="5"/>
  <c r="H252" i="5" s="1"/>
  <c r="T277" i="6"/>
  <c r="G332" i="5"/>
  <c r="F332" i="6" s="1"/>
  <c r="N332" i="6" s="1"/>
  <c r="O332" i="6" s="1"/>
  <c r="T622" i="6"/>
  <c r="I615" i="5"/>
  <c r="H222" i="5"/>
  <c r="S95" i="6"/>
  <c r="H462" i="5"/>
  <c r="I279" i="5"/>
  <c r="G171" i="5"/>
  <c r="F171" i="6" s="1"/>
  <c r="I222" i="5"/>
  <c r="F300" i="6"/>
  <c r="N300" i="6" s="1"/>
  <c r="O300" i="6" s="1"/>
  <c r="F279" i="6"/>
  <c r="N279" i="6" s="1"/>
  <c r="O279" i="6" s="1"/>
  <c r="S273" i="6"/>
  <c r="J222" i="5"/>
  <c r="G222" i="6" s="1"/>
  <c r="H222" i="6" s="1"/>
  <c r="R222" i="6" s="1"/>
  <c r="J501" i="5"/>
  <c r="G501" i="6" s="1"/>
  <c r="H501" i="6" s="1"/>
  <c r="R501" i="6" s="1"/>
  <c r="T287" i="6"/>
  <c r="G551" i="5"/>
  <c r="F551" i="6" s="1"/>
  <c r="G511" i="5"/>
  <c r="F511" i="6" s="1"/>
  <c r="G25" i="5"/>
  <c r="F25" i="6" s="1"/>
  <c r="N25" i="6" s="1"/>
  <c r="O25" i="6" s="1"/>
  <c r="T223" i="6"/>
  <c r="S558" i="6"/>
  <c r="G350" i="5"/>
  <c r="J350" i="5" s="1"/>
  <c r="G170" i="5"/>
  <c r="J170" i="5" s="1"/>
  <c r="G170" i="6" s="1"/>
  <c r="G351" i="5"/>
  <c r="F351" i="6" s="1"/>
  <c r="G410" i="5"/>
  <c r="H410" i="5" s="1"/>
  <c r="I410" i="5" s="1"/>
  <c r="G91" i="5"/>
  <c r="F91" i="6" s="1"/>
  <c r="H212" i="5"/>
  <c r="I212" i="5" s="1"/>
  <c r="F212" i="6"/>
  <c r="J212" i="5"/>
  <c r="G212" i="6" s="1"/>
  <c r="H212" i="6" s="1"/>
  <c r="R212" i="6" s="1"/>
  <c r="T605" i="6"/>
  <c r="J175" i="5"/>
  <c r="G175" i="6" s="1"/>
  <c r="W175" i="6" s="1"/>
  <c r="T432" i="6"/>
  <c r="H62" i="6"/>
  <c r="R62" i="6" s="1"/>
  <c r="T561" i="6"/>
  <c r="G610" i="5"/>
  <c r="F610" i="6" s="1"/>
  <c r="N610" i="6" s="1"/>
  <c r="O610" i="6" s="1"/>
  <c r="G492" i="5"/>
  <c r="F492" i="6" s="1"/>
  <c r="N492" i="6" s="1"/>
  <c r="O492" i="6" s="1"/>
  <c r="T273" i="6"/>
  <c r="G392" i="5"/>
  <c r="J392" i="5" s="1"/>
  <c r="G392" i="6" s="1"/>
  <c r="J543" i="5"/>
  <c r="G543" i="6" s="1"/>
  <c r="H543" i="6" s="1"/>
  <c r="R543" i="6" s="1"/>
  <c r="I543" i="5"/>
  <c r="T331" i="6"/>
  <c r="S125" i="6"/>
  <c r="T583" i="6"/>
  <c r="S515" i="6"/>
  <c r="R583" i="6"/>
  <c r="J417" i="5"/>
  <c r="G417" i="6" s="1"/>
  <c r="H417" i="6" s="1"/>
  <c r="R417" i="6" s="1"/>
  <c r="S282" i="6"/>
  <c r="G310" i="5"/>
  <c r="J96" i="5"/>
  <c r="G96" i="6" s="1"/>
  <c r="H96" i="6" s="1"/>
  <c r="R96" i="6" s="1"/>
  <c r="F417" i="6"/>
  <c r="N417" i="6" s="1"/>
  <c r="O417" i="6" s="1"/>
  <c r="S227" i="6"/>
  <c r="G271" i="5"/>
  <c r="J271" i="5" s="1"/>
  <c r="G271" i="6" s="1"/>
  <c r="F180" i="6"/>
  <c r="N180" i="6" s="1"/>
  <c r="O180" i="6" s="1"/>
  <c r="G230" i="5"/>
  <c r="F230" i="6" s="1"/>
  <c r="G49" i="5"/>
  <c r="J49" i="5" s="1"/>
  <c r="G49" i="6" s="1"/>
  <c r="J49" i="6" s="1"/>
  <c r="S49" i="6" s="1"/>
  <c r="R398" i="6"/>
  <c r="G151" i="5"/>
  <c r="J151" i="5" s="1"/>
  <c r="G151" i="6" s="1"/>
  <c r="H151" i="6" s="1"/>
  <c r="R151" i="6" s="1"/>
  <c r="T377" i="6"/>
  <c r="G412" i="5"/>
  <c r="F412" i="6" s="1"/>
  <c r="N412" i="6" s="1"/>
  <c r="O412" i="6" s="1"/>
  <c r="J518" i="5"/>
  <c r="G518" i="6" s="1"/>
  <c r="G570" i="5"/>
  <c r="H570" i="5" s="1"/>
  <c r="I570" i="5" s="1"/>
  <c r="H320" i="5"/>
  <c r="S432" i="6"/>
  <c r="G272" i="5"/>
  <c r="F272" i="6" s="1"/>
  <c r="N272" i="6" s="1"/>
  <c r="O272" i="6" s="1"/>
  <c r="T409" i="6"/>
  <c r="G32" i="5"/>
  <c r="F32" i="6" s="1"/>
  <c r="N32" i="6" s="1"/>
  <c r="O32" i="6" s="1"/>
  <c r="G532" i="5"/>
  <c r="F532" i="6" s="1"/>
  <c r="G612" i="5"/>
  <c r="H612" i="5" s="1"/>
  <c r="I612" i="5" s="1"/>
  <c r="G530" i="5"/>
  <c r="J530" i="5" s="1"/>
  <c r="G530" i="6" s="1"/>
  <c r="J320" i="5"/>
  <c r="G320" i="6" s="1"/>
  <c r="W320" i="6" s="1"/>
  <c r="I320" i="5"/>
  <c r="G371" i="5"/>
  <c r="H371" i="5" s="1"/>
  <c r="G331" i="5"/>
  <c r="F331" i="6" s="1"/>
  <c r="G192" i="5"/>
  <c r="F192" i="6" s="1"/>
  <c r="N192" i="6" s="1"/>
  <c r="O192" i="6" s="1"/>
  <c r="G65" i="5"/>
  <c r="F65" i="6" s="1"/>
  <c r="G30" i="5"/>
  <c r="H30" i="5" s="1"/>
  <c r="S104" i="6"/>
  <c r="G311" i="5"/>
  <c r="F311" i="6" s="1"/>
  <c r="G291" i="5"/>
  <c r="J291" i="5" s="1"/>
  <c r="G291" i="6" s="1"/>
  <c r="F518" i="6"/>
  <c r="N518" i="6" s="1"/>
  <c r="O518" i="6" s="1"/>
  <c r="G270" i="5"/>
  <c r="J270" i="5" s="1"/>
  <c r="G270" i="6" s="1"/>
  <c r="H270" i="6" s="1"/>
  <c r="R270" i="6" s="1"/>
  <c r="G250" i="5"/>
  <c r="H250" i="5" s="1"/>
  <c r="S180" i="6"/>
  <c r="G130" i="5"/>
  <c r="F130" i="6" s="1"/>
  <c r="N130" i="6" s="1"/>
  <c r="O130" i="6" s="1"/>
  <c r="G431" i="5"/>
  <c r="F431" i="6" s="1"/>
  <c r="S257" i="6"/>
  <c r="J201" i="5"/>
  <c r="G201" i="6" s="1"/>
  <c r="H201" i="6" s="1"/>
  <c r="R201" i="6" s="1"/>
  <c r="G191" i="5"/>
  <c r="J191" i="5" s="1"/>
  <c r="G191" i="6" s="1"/>
  <c r="H191" i="6" s="1"/>
  <c r="R191" i="6" s="1"/>
  <c r="S428" i="6"/>
  <c r="T395" i="6"/>
  <c r="G490" i="5"/>
  <c r="G390" i="5"/>
  <c r="H390" i="5" s="1"/>
  <c r="T320" i="6"/>
  <c r="S258" i="6"/>
  <c r="I40" i="5"/>
  <c r="H40" i="5"/>
  <c r="G132" i="5"/>
  <c r="F132" i="6" s="1"/>
  <c r="G71" i="5"/>
  <c r="F71" i="6" s="1"/>
  <c r="S173" i="6"/>
  <c r="G531" i="5"/>
  <c r="T619" i="6"/>
  <c r="G606" i="5"/>
  <c r="F606" i="6" s="1"/>
  <c r="N606" i="6" s="1"/>
  <c r="O606" i="6" s="1"/>
  <c r="T303" i="6"/>
  <c r="G111" i="5"/>
  <c r="H111" i="5" s="1"/>
  <c r="J352" i="5"/>
  <c r="G352" i="6" s="1"/>
  <c r="H352" i="6" s="1"/>
  <c r="R352" i="6" s="1"/>
  <c r="F352" i="6"/>
  <c r="N352" i="6" s="1"/>
  <c r="O352" i="6" s="1"/>
  <c r="H352" i="5"/>
  <c r="I352" i="5" s="1"/>
  <c r="H590" i="5"/>
  <c r="I590" i="5" s="1"/>
  <c r="F590" i="6"/>
  <c r="N590" i="6" s="1"/>
  <c r="O590" i="6" s="1"/>
  <c r="J590" i="5"/>
  <c r="G590" i="6" s="1"/>
  <c r="H590" i="6" s="1"/>
  <c r="R590" i="6" s="1"/>
  <c r="F70" i="6"/>
  <c r="J471" i="5"/>
  <c r="G471" i="6" s="1"/>
  <c r="H471" i="6" s="1"/>
  <c r="R471" i="6" s="1"/>
  <c r="H471" i="5"/>
  <c r="I471" i="5" s="1"/>
  <c r="J231" i="5"/>
  <c r="G231" i="6" s="1"/>
  <c r="H231" i="6" s="1"/>
  <c r="R231" i="6" s="1"/>
  <c r="F231" i="6"/>
  <c r="N231" i="6" s="1"/>
  <c r="O231" i="6" s="1"/>
  <c r="H231" i="5"/>
  <c r="I231" i="5" s="1"/>
  <c r="H400" i="5"/>
  <c r="H340" i="5"/>
  <c r="W434" i="6"/>
  <c r="S413" i="6"/>
  <c r="T62" i="6"/>
  <c r="T582" i="6"/>
  <c r="G12" i="5"/>
  <c r="T434" i="6"/>
  <c r="I400" i="5"/>
  <c r="F340" i="6"/>
  <c r="N340" i="6" s="1"/>
  <c r="O340" i="6" s="1"/>
  <c r="J220" i="5"/>
  <c r="G220" i="6" s="1"/>
  <c r="H220" i="6" s="1"/>
  <c r="R220" i="6" s="1"/>
  <c r="J162" i="5"/>
  <c r="G162" i="6" s="1"/>
  <c r="H162" i="6" s="1"/>
  <c r="R162" i="6" s="1"/>
  <c r="G11" i="5"/>
  <c r="F11" i="6" s="1"/>
  <c r="G46" i="5"/>
  <c r="F46" i="6" s="1"/>
  <c r="N46" i="6" s="1"/>
  <c r="O46" i="6" s="1"/>
  <c r="G52" i="5"/>
  <c r="J502" i="5"/>
  <c r="G502" i="6" s="1"/>
  <c r="W502" i="6" s="1"/>
  <c r="G110" i="5"/>
  <c r="F457" i="6"/>
  <c r="N457" i="6" s="1"/>
  <c r="O457" i="6" s="1"/>
  <c r="T325" i="6"/>
  <c r="G611" i="5"/>
  <c r="J611" i="5" s="1"/>
  <c r="G611" i="6" s="1"/>
  <c r="S412" i="6"/>
  <c r="J258" i="5"/>
  <c r="G258" i="6" s="1"/>
  <c r="F220" i="6"/>
  <c r="N220" i="6" s="1"/>
  <c r="O220" i="6" s="1"/>
  <c r="G29" i="5"/>
  <c r="J29" i="5" s="1"/>
  <c r="G29" i="6" s="1"/>
  <c r="S575" i="6"/>
  <c r="I162" i="5"/>
  <c r="T601" i="6"/>
  <c r="S551" i="6"/>
  <c r="G31" i="5"/>
  <c r="F31" i="6" s="1"/>
  <c r="F162" i="6"/>
  <c r="N162" i="6" s="1"/>
  <c r="O162" i="6" s="1"/>
  <c r="G571" i="5"/>
  <c r="H571" i="5" s="1"/>
  <c r="I571" i="5" s="1"/>
  <c r="T389" i="6"/>
  <c r="H220" i="5"/>
  <c r="G85" i="5"/>
  <c r="F85" i="6" s="1"/>
  <c r="N85" i="6" s="1"/>
  <c r="O85" i="6" s="1"/>
  <c r="J202" i="5"/>
  <c r="G202" i="6" s="1"/>
  <c r="W202" i="6" s="1"/>
  <c r="T61" i="6"/>
  <c r="S219" i="6"/>
  <c r="H279" i="5"/>
  <c r="T479" i="6"/>
  <c r="T445" i="6"/>
  <c r="H591" i="5"/>
  <c r="I591" i="5" s="1"/>
  <c r="G491" i="5"/>
  <c r="F491" i="6" s="1"/>
  <c r="T423" i="6"/>
  <c r="J262" i="5"/>
  <c r="G262" i="6" s="1"/>
  <c r="W262" i="6" s="1"/>
  <c r="T275" i="6"/>
  <c r="G210" i="5"/>
  <c r="H210" i="5" s="1"/>
  <c r="I210" i="5" s="1"/>
  <c r="S405" i="6"/>
  <c r="G92" i="5"/>
  <c r="G391" i="5"/>
  <c r="H391" i="5" s="1"/>
  <c r="G72" i="5"/>
  <c r="F72" i="6" s="1"/>
  <c r="N72" i="6" s="1"/>
  <c r="O72" i="6" s="1"/>
  <c r="G312" i="5"/>
  <c r="H502" i="5"/>
  <c r="F591" i="6"/>
  <c r="N591" i="6" s="1"/>
  <c r="O591" i="6" s="1"/>
  <c r="T411" i="6"/>
  <c r="S279" i="6"/>
  <c r="S171" i="6"/>
  <c r="G251" i="5"/>
  <c r="H251" i="5" s="1"/>
  <c r="G607" i="5"/>
  <c r="F607" i="6" s="1"/>
  <c r="N607" i="6" s="1"/>
  <c r="O607" i="6" s="1"/>
  <c r="T478" i="6"/>
  <c r="G372" i="5"/>
  <c r="I598" i="5"/>
  <c r="I617" i="5"/>
  <c r="H518" i="5"/>
  <c r="S310" i="6"/>
  <c r="F214" i="6"/>
  <c r="N214" i="6" s="1"/>
  <c r="O214" i="6" s="1"/>
  <c r="T481" i="6"/>
  <c r="I300" i="5"/>
  <c r="S121" i="6"/>
  <c r="F14" i="6"/>
  <c r="N14" i="6" s="1"/>
  <c r="O14" i="6" s="1"/>
  <c r="S547" i="6"/>
  <c r="T386" i="6"/>
  <c r="H300" i="5"/>
  <c r="G66" i="5"/>
  <c r="H66" i="5" s="1"/>
  <c r="I66" i="5" s="1"/>
  <c r="I175" i="5"/>
  <c r="H175" i="5"/>
  <c r="T165" i="6"/>
  <c r="H598" i="5"/>
  <c r="J498" i="5"/>
  <c r="G498" i="6" s="1"/>
  <c r="R535" i="6"/>
  <c r="G366" i="5"/>
  <c r="F366" i="6" s="1"/>
  <c r="N366" i="6" s="1"/>
  <c r="O366" i="6" s="1"/>
  <c r="T267" i="6"/>
  <c r="T574" i="6"/>
  <c r="J598" i="5"/>
  <c r="G598" i="6" s="1"/>
  <c r="W598" i="6" s="1"/>
  <c r="F498" i="6"/>
  <c r="N498" i="6" s="1"/>
  <c r="O498" i="6" s="1"/>
  <c r="S459" i="6"/>
  <c r="T259" i="6"/>
  <c r="S307" i="6"/>
  <c r="T197" i="6"/>
  <c r="T427" i="6"/>
  <c r="H63" i="5"/>
  <c r="J23" i="5"/>
  <c r="G23" i="6" s="1"/>
  <c r="K23" i="6" s="1"/>
  <c r="T23" i="6" s="1"/>
  <c r="I23" i="5"/>
  <c r="H23" i="5"/>
  <c r="G584" i="5"/>
  <c r="F584" i="6" s="1"/>
  <c r="N584" i="6" s="1"/>
  <c r="O584" i="6" s="1"/>
  <c r="T455" i="6"/>
  <c r="J420" i="5"/>
  <c r="G420" i="6" s="1"/>
  <c r="H420" i="6" s="1"/>
  <c r="R420" i="6" s="1"/>
  <c r="S484" i="6"/>
  <c r="H615" i="5"/>
  <c r="R377" i="6"/>
  <c r="S369" i="6"/>
  <c r="S160" i="6"/>
  <c r="S396" i="6"/>
  <c r="T49" i="6"/>
  <c r="T396" i="6"/>
  <c r="I214" i="5"/>
  <c r="G609" i="5"/>
  <c r="H609" i="5" s="1"/>
  <c r="I609" i="5" s="1"/>
  <c r="J615" i="5"/>
  <c r="G615" i="6" s="1"/>
  <c r="W615" i="6" s="1"/>
  <c r="H80" i="5"/>
  <c r="H158" i="5"/>
  <c r="J137" i="5"/>
  <c r="G137" i="6" s="1"/>
  <c r="H137" i="6" s="1"/>
  <c r="R137" i="6" s="1"/>
  <c r="I63" i="5"/>
  <c r="T45" i="6"/>
  <c r="I533" i="5"/>
  <c r="S281" i="6"/>
  <c r="J40" i="5"/>
  <c r="G40" i="6" s="1"/>
  <c r="G225" i="5"/>
  <c r="F225" i="6" s="1"/>
  <c r="H201" i="5"/>
  <c r="S480" i="6"/>
  <c r="T472" i="6"/>
  <c r="T415" i="6"/>
  <c r="T595" i="6"/>
  <c r="I599" i="5"/>
  <c r="H556" i="5"/>
  <c r="S255" i="6"/>
  <c r="F158" i="6"/>
  <c r="N158" i="6" s="1"/>
  <c r="O158" i="6" s="1"/>
  <c r="J63" i="5"/>
  <c r="G63" i="6" s="1"/>
  <c r="J63" i="6" s="1"/>
  <c r="S63" i="6" s="1"/>
  <c r="H159" i="5"/>
  <c r="J70" i="5"/>
  <c r="G70" i="6" s="1"/>
  <c r="T211" i="6"/>
  <c r="T175" i="6"/>
  <c r="J614" i="5"/>
  <c r="G614" i="6" s="1"/>
  <c r="H614" i="6" s="1"/>
  <c r="R614" i="6" s="1"/>
  <c r="T591" i="6"/>
  <c r="H572" i="5"/>
  <c r="I572" i="5" s="1"/>
  <c r="T505" i="6"/>
  <c r="S540" i="6"/>
  <c r="S350" i="6"/>
  <c r="T463" i="6"/>
  <c r="H77" i="5"/>
  <c r="I241" i="5"/>
  <c r="F102" i="6"/>
  <c r="N102" i="6" s="1"/>
  <c r="O102" i="6" s="1"/>
  <c r="G206" i="5"/>
  <c r="J206" i="5" s="1"/>
  <c r="S535" i="6"/>
  <c r="S301" i="6"/>
  <c r="G9" i="5"/>
  <c r="H9" i="5" s="1"/>
  <c r="S293" i="6"/>
  <c r="T263" i="6"/>
  <c r="T240" i="6"/>
  <c r="H56" i="5"/>
  <c r="T261" i="6"/>
  <c r="T623" i="6"/>
  <c r="G566" i="5"/>
  <c r="F566" i="6" s="1"/>
  <c r="N566" i="6" s="1"/>
  <c r="O566" i="6" s="1"/>
  <c r="G526" i="5"/>
  <c r="J526" i="5" s="1"/>
  <c r="G526" i="6" s="1"/>
  <c r="J572" i="5"/>
  <c r="G572" i="6" s="1"/>
  <c r="H572" i="6" s="1"/>
  <c r="R572" i="6" s="1"/>
  <c r="T361" i="6"/>
  <c r="T248" i="6"/>
  <c r="S430" i="6"/>
  <c r="H241" i="5"/>
  <c r="H70" i="5"/>
  <c r="I70" i="5" s="1"/>
  <c r="J241" i="5"/>
  <c r="G241" i="6" s="1"/>
  <c r="H241" i="6" s="1"/>
  <c r="R241" i="6" s="1"/>
  <c r="T227" i="6"/>
  <c r="H137" i="5"/>
  <c r="S353" i="6"/>
  <c r="J159" i="5"/>
  <c r="G159" i="6" s="1"/>
  <c r="H159" i="6" s="1"/>
  <c r="R159" i="6" s="1"/>
  <c r="J80" i="5"/>
  <c r="G80" i="6" s="1"/>
  <c r="W80" i="6" s="1"/>
  <c r="I119" i="5"/>
  <c r="J540" i="5"/>
  <c r="G540" i="6" s="1"/>
  <c r="H540" i="6" s="1"/>
  <c r="R540" i="6" s="1"/>
  <c r="S499" i="6"/>
  <c r="F572" i="6"/>
  <c r="N572" i="6" s="1"/>
  <c r="O572" i="6" s="1"/>
  <c r="G309" i="5"/>
  <c r="H309" i="5" s="1"/>
  <c r="I309" i="5" s="1"/>
  <c r="S248" i="6"/>
  <c r="G224" i="5"/>
  <c r="F224" i="6" s="1"/>
  <c r="N224" i="6" s="1"/>
  <c r="O224" i="6" s="1"/>
  <c r="T138" i="6"/>
  <c r="H119" i="5"/>
  <c r="G69" i="5"/>
  <c r="F69" i="6" s="1"/>
  <c r="J55" i="6"/>
  <c r="S55" i="6" s="1"/>
  <c r="I322" i="5"/>
  <c r="J294" i="5"/>
  <c r="G294" i="6" s="1"/>
  <c r="H294" i="6" s="1"/>
  <c r="R294" i="6" s="1"/>
  <c r="S591" i="6"/>
  <c r="S457" i="6"/>
  <c r="H433" i="5"/>
  <c r="F596" i="6"/>
  <c r="N596" i="6" s="1"/>
  <c r="O596" i="6" s="1"/>
  <c r="S361" i="6"/>
  <c r="S351" i="6"/>
  <c r="J119" i="5"/>
  <c r="G119" i="6" s="1"/>
  <c r="H119" i="6" s="1"/>
  <c r="R119" i="6" s="1"/>
  <c r="H294" i="5"/>
  <c r="I137" i="5"/>
  <c r="I294" i="5"/>
  <c r="T448" i="6"/>
  <c r="T144" i="6"/>
  <c r="G448" i="5"/>
  <c r="H448" i="5" s="1"/>
  <c r="I448" i="5" s="1"/>
  <c r="J196" i="6"/>
  <c r="S196" i="6" s="1"/>
  <c r="G324" i="5"/>
  <c r="F324" i="6" s="1"/>
  <c r="N324" i="6" s="1"/>
  <c r="O324" i="6" s="1"/>
  <c r="T414" i="6"/>
  <c r="G408" i="5"/>
  <c r="F408" i="6" s="1"/>
  <c r="N408" i="6" s="1"/>
  <c r="O408" i="6" s="1"/>
  <c r="G169" i="5"/>
  <c r="I169" i="5" s="1"/>
  <c r="S172" i="6"/>
  <c r="T172" i="6"/>
  <c r="T299" i="6"/>
  <c r="I217" i="5"/>
  <c r="J135" i="5"/>
  <c r="G135" i="6" s="1"/>
  <c r="W135" i="6" s="1"/>
  <c r="J239" i="5"/>
  <c r="G239" i="6" s="1"/>
  <c r="H239" i="6" s="1"/>
  <c r="R239" i="6" s="1"/>
  <c r="S144" i="6"/>
  <c r="F164" i="6"/>
  <c r="N164" i="6" s="1"/>
  <c r="O164" i="6" s="1"/>
  <c r="S103" i="6"/>
  <c r="I77" i="5"/>
  <c r="J77" i="5"/>
  <c r="G77" i="6" s="1"/>
  <c r="H77" i="6" s="1"/>
  <c r="R77" i="6" s="1"/>
  <c r="T426" i="6"/>
  <c r="H322" i="5"/>
  <c r="F322" i="6"/>
  <c r="N322" i="6" s="1"/>
  <c r="O322" i="6" s="1"/>
  <c r="T119" i="6"/>
  <c r="S420" i="6"/>
  <c r="S147" i="6"/>
  <c r="T522" i="6"/>
  <c r="J474" i="6"/>
  <c r="S474" i="6" s="1"/>
  <c r="H581" i="6"/>
  <c r="R581" i="6" s="1"/>
  <c r="F543" i="6"/>
  <c r="N543" i="6" s="1"/>
  <c r="O543" i="6" s="1"/>
  <c r="S138" i="6"/>
  <c r="T323" i="6"/>
  <c r="G209" i="5"/>
  <c r="F209" i="6" s="1"/>
  <c r="N209" i="6" s="1"/>
  <c r="O209" i="6" s="1"/>
  <c r="T566" i="6"/>
  <c r="F450" i="6"/>
  <c r="N450" i="6" s="1"/>
  <c r="O450" i="6" s="1"/>
  <c r="S382" i="6"/>
  <c r="T407" i="6"/>
  <c r="J382" i="5"/>
  <c r="G382" i="6" s="1"/>
  <c r="H382" i="6" s="1"/>
  <c r="R382" i="6" s="1"/>
  <c r="G166" i="5"/>
  <c r="F166" i="6" s="1"/>
  <c r="N166" i="6" s="1"/>
  <c r="O166" i="6" s="1"/>
  <c r="G564" i="5"/>
  <c r="H564" i="5" s="1"/>
  <c r="I564" i="5" s="1"/>
  <c r="T79" i="6"/>
  <c r="G289" i="5"/>
  <c r="H289" i="5" s="1"/>
  <c r="I289" i="5" s="1"/>
  <c r="S119" i="6"/>
  <c r="S277" i="6"/>
  <c r="S278" i="6"/>
  <c r="H218" i="5"/>
  <c r="T441" i="6"/>
  <c r="S207" i="6"/>
  <c r="G249" i="5"/>
  <c r="J249" i="5" s="1"/>
  <c r="G249" i="6" s="1"/>
  <c r="H249" i="6" s="1"/>
  <c r="R249" i="6" s="1"/>
  <c r="S150" i="6"/>
  <c r="H164" i="5"/>
  <c r="I164" i="5" s="1"/>
  <c r="S319" i="6"/>
  <c r="J37" i="5"/>
  <c r="G37" i="6" s="1"/>
  <c r="T129" i="6"/>
  <c r="I37" i="5"/>
  <c r="S251" i="6"/>
  <c r="T125" i="6"/>
  <c r="K14" i="6"/>
  <c r="T14" i="6" s="1"/>
  <c r="J198" i="5"/>
  <c r="G198" i="6" s="1"/>
  <c r="J198" i="6" s="1"/>
  <c r="S198" i="6" s="1"/>
  <c r="S182" i="6"/>
  <c r="S417" i="6"/>
  <c r="S292" i="6"/>
  <c r="T150" i="6"/>
  <c r="H135" i="5"/>
  <c r="T95" i="6"/>
  <c r="S485" i="6"/>
  <c r="S554" i="6"/>
  <c r="I135" i="5"/>
  <c r="I498" i="5"/>
  <c r="S94" i="6"/>
  <c r="I581" i="5"/>
  <c r="G165" i="5"/>
  <c r="I165" i="5" s="1"/>
  <c r="G569" i="5"/>
  <c r="I569" i="5" s="1"/>
  <c r="T168" i="6"/>
  <c r="T55" i="6"/>
  <c r="S377" i="6"/>
  <c r="S560" i="6"/>
  <c r="G429" i="5"/>
  <c r="H429" i="5" s="1"/>
  <c r="I429" i="5" s="1"/>
  <c r="T334" i="6"/>
  <c r="G89" i="5"/>
  <c r="F89" i="6" s="1"/>
  <c r="N89" i="6" s="1"/>
  <c r="O89" i="6" s="1"/>
  <c r="G465" i="5"/>
  <c r="J465" i="5" s="1"/>
  <c r="G465" i="6" s="1"/>
  <c r="T603" i="6"/>
  <c r="F334" i="6"/>
  <c r="N334" i="6" s="1"/>
  <c r="O334" i="6" s="1"/>
  <c r="T283" i="6"/>
  <c r="F198" i="6"/>
  <c r="N198" i="6" s="1"/>
  <c r="O198" i="6" s="1"/>
  <c r="F121" i="6"/>
  <c r="N121" i="6" s="1"/>
  <c r="O121" i="6" s="1"/>
  <c r="F239" i="6"/>
  <c r="N239" i="6" s="1"/>
  <c r="O239" i="6" s="1"/>
  <c r="G285" i="5"/>
  <c r="H285" i="5" s="1"/>
  <c r="I285" i="5" s="1"/>
  <c r="H38" i="5"/>
  <c r="S79" i="6"/>
  <c r="S514" i="6"/>
  <c r="T568" i="6"/>
  <c r="T489" i="6"/>
  <c r="T347" i="6"/>
  <c r="J282" i="5"/>
  <c r="G282" i="6" s="1"/>
  <c r="I198" i="5"/>
  <c r="T54" i="6"/>
  <c r="T473" i="6"/>
  <c r="T209" i="6"/>
  <c r="G585" i="5"/>
  <c r="F585" i="6" s="1"/>
  <c r="N585" i="6" s="1"/>
  <c r="O585" i="6" s="1"/>
  <c r="I495" i="5"/>
  <c r="H282" i="5"/>
  <c r="F282" i="6"/>
  <c r="N282" i="6" s="1"/>
  <c r="O282" i="6" s="1"/>
  <c r="S388" i="6"/>
  <c r="T127" i="6"/>
  <c r="J79" i="5"/>
  <c r="G79" i="6" s="1"/>
  <c r="W79" i="6" s="1"/>
  <c r="H223" i="5"/>
  <c r="T47" i="6"/>
  <c r="J450" i="5"/>
  <c r="G450" i="6" s="1"/>
  <c r="H450" i="6" s="1"/>
  <c r="R450" i="6" s="1"/>
  <c r="F495" i="6"/>
  <c r="N495" i="6" s="1"/>
  <c r="O495" i="6" s="1"/>
  <c r="H121" i="5"/>
  <c r="S164" i="6"/>
  <c r="T157" i="6"/>
  <c r="S123" i="6"/>
  <c r="H79" i="5"/>
  <c r="S87" i="6"/>
  <c r="I21" i="5"/>
  <c r="I16" i="7"/>
  <c r="S600" i="6"/>
  <c r="J495" i="5"/>
  <c r="G495" i="6" s="1"/>
  <c r="H495" i="6" s="1"/>
  <c r="R495" i="6" s="1"/>
  <c r="S431" i="6"/>
  <c r="H21" i="5"/>
  <c r="S267" i="6"/>
  <c r="T111" i="6"/>
  <c r="W181" i="6"/>
  <c r="T609" i="6"/>
  <c r="T480" i="6"/>
  <c r="S447" i="6"/>
  <c r="I38" i="5"/>
  <c r="T369" i="6"/>
  <c r="S448" i="6"/>
  <c r="S385" i="6"/>
  <c r="T164" i="6"/>
  <c r="I79" i="5"/>
  <c r="T101" i="6"/>
  <c r="S237" i="6"/>
  <c r="H450" i="5"/>
  <c r="I450" i="5" s="1"/>
  <c r="J38" i="5"/>
  <c r="G38" i="6" s="1"/>
  <c r="T366" i="6"/>
  <c r="I15" i="7"/>
  <c r="S149" i="6"/>
  <c r="I550" i="5"/>
  <c r="H540" i="5"/>
  <c r="T422" i="6"/>
  <c r="T292" i="6"/>
  <c r="T392" i="6"/>
  <c r="H334" i="5"/>
  <c r="T293" i="6"/>
  <c r="I239" i="5"/>
  <c r="G86" i="5"/>
  <c r="H86" i="5" s="1"/>
  <c r="I86" i="5" s="1"/>
  <c r="J21" i="5"/>
  <c r="G21" i="6" s="1"/>
  <c r="K21" i="6" s="1"/>
  <c r="T21" i="6" s="1"/>
  <c r="K19" i="7"/>
  <c r="H503" i="5"/>
  <c r="F258" i="6"/>
  <c r="N258" i="6" s="1"/>
  <c r="O258" i="6" s="1"/>
  <c r="I19" i="7"/>
  <c r="J95" i="5"/>
  <c r="G95" i="6" s="1"/>
  <c r="H95" i="6" s="1"/>
  <c r="R95" i="6" s="1"/>
  <c r="I95" i="5"/>
  <c r="K22" i="7"/>
  <c r="S513" i="6"/>
  <c r="F503" i="6"/>
  <c r="N503" i="6" s="1"/>
  <c r="O503" i="6" s="1"/>
  <c r="S355" i="6"/>
  <c r="T224" i="6"/>
  <c r="S427" i="6"/>
  <c r="T247" i="6"/>
  <c r="G126" i="5"/>
  <c r="F126" i="6" s="1"/>
  <c r="N126" i="6" s="1"/>
  <c r="O126" i="6" s="1"/>
  <c r="T170" i="6"/>
  <c r="T69" i="6"/>
  <c r="T53" i="6"/>
  <c r="T319" i="6"/>
  <c r="S222" i="6"/>
  <c r="T493" i="6"/>
  <c r="L19" i="7"/>
  <c r="T495" i="6"/>
  <c r="K20" i="7"/>
  <c r="G428" i="5"/>
  <c r="J428" i="5" s="1"/>
  <c r="G428" i="6" s="1"/>
  <c r="S274" i="6"/>
  <c r="H258" i="5"/>
  <c r="H292" i="5"/>
  <c r="I292" i="5" s="1"/>
  <c r="T363" i="6"/>
  <c r="T182" i="6"/>
  <c r="T399" i="6"/>
  <c r="I193" i="5"/>
  <c r="S214" i="6"/>
  <c r="K16" i="7"/>
  <c r="T551" i="6"/>
  <c r="S489" i="6"/>
  <c r="S418" i="6"/>
  <c r="J292" i="5"/>
  <c r="G292" i="6" s="1"/>
  <c r="H292" i="6" s="1"/>
  <c r="R292" i="6" s="1"/>
  <c r="S315" i="6"/>
  <c r="F292" i="6"/>
  <c r="S390" i="6"/>
  <c r="S295" i="6"/>
  <c r="F193" i="6"/>
  <c r="N193" i="6" s="1"/>
  <c r="O193" i="6" s="1"/>
  <c r="I503" i="5"/>
  <c r="T360" i="6"/>
  <c r="I20" i="7"/>
  <c r="S302" i="6"/>
  <c r="G406" i="5"/>
  <c r="H406" i="5" s="1"/>
  <c r="I406" i="5" s="1"/>
  <c r="R399" i="6"/>
  <c r="T162" i="6"/>
  <c r="H53" i="5"/>
  <c r="H193" i="5"/>
  <c r="T106" i="6"/>
  <c r="I613" i="5"/>
  <c r="T401" i="6"/>
  <c r="T213" i="6"/>
  <c r="S122" i="6"/>
  <c r="G306" i="5"/>
  <c r="J306" i="5" s="1"/>
  <c r="G306" i="6" s="1"/>
  <c r="S599" i="6"/>
  <c r="J613" i="5"/>
  <c r="G613" i="6" s="1"/>
  <c r="J613" i="6" s="1"/>
  <c r="S613" i="6" s="1"/>
  <c r="T417" i="6"/>
  <c r="I12" i="7"/>
  <c r="T484" i="6"/>
  <c r="T199" i="6"/>
  <c r="T58" i="6"/>
  <c r="F613" i="6"/>
  <c r="N613" i="6" s="1"/>
  <c r="O613" i="6" s="1"/>
  <c r="I53" i="5"/>
  <c r="T166" i="6"/>
  <c r="S224" i="6"/>
  <c r="F556" i="6"/>
  <c r="N556" i="6" s="1"/>
  <c r="O556" i="6" s="1"/>
  <c r="J290" i="5"/>
  <c r="G290" i="6" s="1"/>
  <c r="H290" i="6" s="1"/>
  <c r="R290" i="6" s="1"/>
  <c r="T284" i="6"/>
  <c r="K18" i="7"/>
  <c r="I10" i="7"/>
  <c r="L15" i="7"/>
  <c r="S603" i="6"/>
  <c r="T621" i="6"/>
  <c r="T487" i="6"/>
  <c r="S539" i="6"/>
  <c r="S394" i="6"/>
  <c r="S284" i="6"/>
  <c r="T260" i="6"/>
  <c r="T403" i="6"/>
  <c r="G286" i="5"/>
  <c r="F286" i="6" s="1"/>
  <c r="N286" i="6" s="1"/>
  <c r="O286" i="6" s="1"/>
  <c r="T219" i="6"/>
  <c r="T187" i="6"/>
  <c r="S178" i="6"/>
  <c r="S114" i="6"/>
  <c r="G204" i="5"/>
  <c r="F204" i="6" s="1"/>
  <c r="I223" i="5"/>
  <c r="S141" i="6"/>
  <c r="H95" i="5"/>
  <c r="T500" i="6"/>
  <c r="T104" i="6"/>
  <c r="I402" i="5"/>
  <c r="S563" i="6"/>
  <c r="S426" i="6"/>
  <c r="I6" i="7"/>
  <c r="T507" i="6"/>
  <c r="S260" i="6"/>
  <c r="T122" i="6"/>
  <c r="T121" i="6"/>
  <c r="J53" i="5"/>
  <c r="G53" i="6" s="1"/>
  <c r="H53" i="6" s="1"/>
  <c r="R53" i="6" s="1"/>
  <c r="K14" i="7"/>
  <c r="L9" i="7"/>
  <c r="T459" i="6"/>
  <c r="T393" i="6"/>
  <c r="T374" i="6"/>
  <c r="S157" i="6"/>
  <c r="I218" i="5"/>
  <c r="R121" i="6"/>
  <c r="F550" i="6"/>
  <c r="I23" i="7"/>
  <c r="S450" i="6"/>
  <c r="J402" i="5"/>
  <c r="G402" i="6" s="1"/>
  <c r="H402" i="6" s="1"/>
  <c r="R402" i="6" s="1"/>
  <c r="S69" i="6"/>
  <c r="T600" i="6"/>
  <c r="J617" i="5"/>
  <c r="G617" i="6" s="1"/>
  <c r="H617" i="6" s="1"/>
  <c r="R617" i="6" s="1"/>
  <c r="S209" i="6"/>
  <c r="J550" i="5"/>
  <c r="G550" i="6" s="1"/>
  <c r="H550" i="6" s="1"/>
  <c r="R550" i="6" s="1"/>
  <c r="J556" i="5"/>
  <c r="G556" i="6" s="1"/>
  <c r="H556" i="6" s="1"/>
  <c r="R556" i="6" s="1"/>
  <c r="F402" i="6"/>
  <c r="N402" i="6" s="1"/>
  <c r="O402" i="6" s="1"/>
  <c r="L10" i="7"/>
  <c r="K10" i="7"/>
  <c r="G586" i="5"/>
  <c r="F586" i="6" s="1"/>
  <c r="N586" i="6" s="1"/>
  <c r="O586" i="6" s="1"/>
  <c r="I22" i="7"/>
  <c r="G349" i="5"/>
  <c r="J349" i="5" s="1"/>
  <c r="J223" i="5"/>
  <c r="G223" i="6" s="1"/>
  <c r="H223" i="6" s="1"/>
  <c r="R223" i="6" s="1"/>
  <c r="J218" i="5"/>
  <c r="G218" i="6" s="1"/>
  <c r="W218" i="6" s="1"/>
  <c r="G67" i="5"/>
  <c r="H67" i="5" s="1"/>
  <c r="I67" i="5" s="1"/>
  <c r="G104" i="5"/>
  <c r="H104" i="5" s="1"/>
  <c r="I104" i="5" s="1"/>
  <c r="F617" i="6"/>
  <c r="N617" i="6" s="1"/>
  <c r="O617" i="6" s="1"/>
  <c r="L13" i="7"/>
  <c r="S235" i="6"/>
  <c r="G426" i="5"/>
  <c r="F426" i="6" s="1"/>
  <c r="N426" i="6" s="1"/>
  <c r="O426" i="6" s="1"/>
  <c r="G205" i="5"/>
  <c r="H205" i="5" s="1"/>
  <c r="I205" i="5" s="1"/>
  <c r="G27" i="5"/>
  <c r="J27" i="5" s="1"/>
  <c r="G27" i="6" s="1"/>
  <c r="S553" i="6"/>
  <c r="G427" i="5"/>
  <c r="J427" i="5" s="1"/>
  <c r="G427" i="6" s="1"/>
  <c r="S423" i="6"/>
  <c r="S168" i="6"/>
  <c r="W117" i="6"/>
  <c r="K8" i="7"/>
  <c r="I11" i="7"/>
  <c r="T531" i="6"/>
  <c r="L25" i="7"/>
  <c r="I9" i="7"/>
  <c r="I24" i="7"/>
  <c r="K25" i="7"/>
  <c r="K23" i="7"/>
  <c r="L12" i="7"/>
  <c r="S586" i="6"/>
  <c r="S493" i="6"/>
  <c r="T63" i="6"/>
  <c r="T87" i="6"/>
  <c r="J335" i="6"/>
  <c r="S335" i="6" s="1"/>
  <c r="K9" i="7"/>
  <c r="L21" i="7"/>
  <c r="L18" i="7"/>
  <c r="T442" i="6"/>
  <c r="J62" i="6"/>
  <c r="S62" i="6" s="1"/>
  <c r="L16" i="7"/>
  <c r="S303" i="6"/>
  <c r="G588" i="5"/>
  <c r="F232" i="6"/>
  <c r="N232" i="6" s="1"/>
  <c r="O232" i="6" s="1"/>
  <c r="F533" i="6"/>
  <c r="H533" i="5"/>
  <c r="G388" i="5"/>
  <c r="J388" i="5" s="1"/>
  <c r="G388" i="6" s="1"/>
  <c r="G524" i="5"/>
  <c r="F524" i="6" s="1"/>
  <c r="N524" i="6" s="1"/>
  <c r="O524" i="6" s="1"/>
  <c r="I21" i="7"/>
  <c r="L17" i="7"/>
  <c r="I591" i="6"/>
  <c r="Q591" i="6" s="1"/>
  <c r="T390" i="6"/>
  <c r="S372" i="6"/>
  <c r="S314" i="6"/>
  <c r="S234" i="6"/>
  <c r="S399" i="6"/>
  <c r="G227" i="5"/>
  <c r="F227" i="6" s="1"/>
  <c r="N227" i="6" s="1"/>
  <c r="O227" i="6" s="1"/>
  <c r="S583" i="6"/>
  <c r="T237" i="6"/>
  <c r="T553" i="6"/>
  <c r="S422" i="6"/>
  <c r="G507" i="5"/>
  <c r="F507" i="6" s="1"/>
  <c r="T382" i="6"/>
  <c r="T562" i="6"/>
  <c r="I503" i="6"/>
  <c r="Q503" i="6" s="1"/>
  <c r="I583" i="6"/>
  <c r="Q583" i="6" s="1"/>
  <c r="S531" i="6"/>
  <c r="S519" i="6"/>
  <c r="S487" i="6"/>
  <c r="S526" i="6"/>
  <c r="T203" i="6"/>
  <c r="T526" i="6"/>
  <c r="K6" i="7"/>
  <c r="I8" i="7"/>
  <c r="K7" i="7"/>
  <c r="L23" i="7"/>
  <c r="F15" i="7"/>
  <c r="T519" i="6"/>
  <c r="S496" i="6"/>
  <c r="S491" i="6"/>
  <c r="J510" i="5"/>
  <c r="G510" i="6" s="1"/>
  <c r="H510" i="6" s="1"/>
  <c r="R510" i="6" s="1"/>
  <c r="H558" i="5"/>
  <c r="S449" i="6"/>
  <c r="T301" i="6"/>
  <c r="T368" i="6"/>
  <c r="S320" i="6"/>
  <c r="S226" i="6"/>
  <c r="T229" i="6"/>
  <c r="S116" i="6"/>
  <c r="G145" i="5"/>
  <c r="F145" i="6" s="1"/>
  <c r="S366" i="6"/>
  <c r="W399" i="6"/>
  <c r="F361" i="6"/>
  <c r="N361" i="6" s="1"/>
  <c r="O361" i="6" s="1"/>
  <c r="I361" i="5"/>
  <c r="J361" i="5"/>
  <c r="G361" i="6" s="1"/>
  <c r="H361" i="5"/>
  <c r="I616" i="5"/>
  <c r="T564" i="6"/>
  <c r="G445" i="5"/>
  <c r="F445" i="6" s="1"/>
  <c r="N445" i="6" s="1"/>
  <c r="O445" i="6" s="1"/>
  <c r="T467" i="6"/>
  <c r="H517" i="5"/>
  <c r="S389" i="6"/>
  <c r="I558" i="5"/>
  <c r="S363" i="6"/>
  <c r="G189" i="5"/>
  <c r="J189" i="5" s="1"/>
  <c r="G189" i="6" s="1"/>
  <c r="J189" i="6" s="1"/>
  <c r="S189" i="6" s="1"/>
  <c r="S601" i="6"/>
  <c r="T343" i="6"/>
  <c r="W433" i="6"/>
  <c r="T511" i="6"/>
  <c r="S564" i="6"/>
  <c r="J517" i="5"/>
  <c r="G517" i="6" s="1"/>
  <c r="W517" i="6" s="1"/>
  <c r="T353" i="6"/>
  <c r="J558" i="5"/>
  <c r="G558" i="6" s="1"/>
  <c r="W558" i="6" s="1"/>
  <c r="T264" i="6"/>
  <c r="T378" i="6"/>
  <c r="S244" i="6"/>
  <c r="S205" i="6"/>
  <c r="T205" i="6"/>
  <c r="I380" i="5"/>
  <c r="T620" i="6"/>
  <c r="G548" i="5"/>
  <c r="H548" i="5" s="1"/>
  <c r="G545" i="5"/>
  <c r="J545" i="5" s="1"/>
  <c r="G545" i="6" s="1"/>
  <c r="T598" i="6"/>
  <c r="T446" i="6"/>
  <c r="S359" i="6"/>
  <c r="T405" i="6"/>
  <c r="S323" i="6"/>
  <c r="J217" i="5"/>
  <c r="G217" i="6" s="1"/>
  <c r="H217" i="6" s="1"/>
  <c r="R217" i="6" s="1"/>
  <c r="H217" i="5"/>
  <c r="F573" i="6"/>
  <c r="N573" i="6" s="1"/>
  <c r="O573" i="6" s="1"/>
  <c r="H573" i="5"/>
  <c r="I573" i="5"/>
  <c r="C18" i="7"/>
  <c r="E21" i="7"/>
  <c r="J457" i="5"/>
  <c r="G457" i="6" s="1"/>
  <c r="H457" i="6" s="1"/>
  <c r="R457" i="6" s="1"/>
  <c r="S386" i="6"/>
  <c r="S488" i="6"/>
  <c r="I559" i="5"/>
  <c r="G587" i="5"/>
  <c r="F587" i="6" s="1"/>
  <c r="S264" i="6"/>
  <c r="T149" i="6"/>
  <c r="G45" i="5"/>
  <c r="F45" i="6" s="1"/>
  <c r="N45" i="6" s="1"/>
  <c r="O45" i="6" s="1"/>
  <c r="H380" i="5"/>
  <c r="S598" i="6"/>
  <c r="J473" i="6"/>
  <c r="S473" i="6" s="1"/>
  <c r="G207" i="5"/>
  <c r="G167" i="5"/>
  <c r="F167" i="6" s="1"/>
  <c r="G87" i="5"/>
  <c r="H87" i="5" s="1"/>
  <c r="I87" i="5" s="1"/>
  <c r="G22" i="7"/>
  <c r="T556" i="6"/>
  <c r="F559" i="6"/>
  <c r="N559" i="6" s="1"/>
  <c r="O559" i="6" s="1"/>
  <c r="H510" i="5"/>
  <c r="S435" i="6"/>
  <c r="T288" i="6"/>
  <c r="S311" i="6"/>
  <c r="S407" i="6"/>
  <c r="G405" i="5"/>
  <c r="F405" i="6" s="1"/>
  <c r="N405" i="6" s="1"/>
  <c r="O405" i="6" s="1"/>
  <c r="J380" i="5"/>
  <c r="G380" i="6" s="1"/>
  <c r="G527" i="5"/>
  <c r="T469" i="6"/>
  <c r="S165" i="6"/>
  <c r="F377" i="6"/>
  <c r="H377" i="5"/>
  <c r="T222" i="6"/>
  <c r="H559" i="5"/>
  <c r="I25" i="7"/>
  <c r="K12" i="7"/>
  <c r="I14" i="7"/>
  <c r="K11" i="7"/>
  <c r="I13" i="7"/>
  <c r="H19" i="7"/>
  <c r="L24" i="7"/>
  <c r="J616" i="5"/>
  <c r="G616" i="6" s="1"/>
  <c r="H616" i="6" s="1"/>
  <c r="R616" i="6" s="1"/>
  <c r="H616" i="5"/>
  <c r="G608" i="5"/>
  <c r="H608" i="5" s="1"/>
  <c r="I608" i="5" s="1"/>
  <c r="H457" i="5"/>
  <c r="S556" i="6"/>
  <c r="T579" i="6"/>
  <c r="I517" i="5"/>
  <c r="I510" i="5"/>
  <c r="T447" i="6"/>
  <c r="T345" i="6"/>
  <c r="T587" i="6"/>
  <c r="I398" i="6"/>
  <c r="Q398" i="6" s="1"/>
  <c r="S288" i="6"/>
  <c r="S378" i="6"/>
  <c r="J336" i="6"/>
  <c r="S336" i="6" s="1"/>
  <c r="S259" i="6"/>
  <c r="T131" i="6"/>
  <c r="S181" i="6"/>
  <c r="S395" i="6"/>
  <c r="J343" i="5"/>
  <c r="G343" i="6" s="1"/>
  <c r="H343" i="5"/>
  <c r="F103" i="6"/>
  <c r="N103" i="6" s="1"/>
  <c r="O103" i="6" s="1"/>
  <c r="H103" i="5"/>
  <c r="I103" i="5"/>
  <c r="C17" i="7"/>
  <c r="S401" i="6"/>
  <c r="S305" i="6"/>
  <c r="J193" i="6"/>
  <c r="S193" i="6" s="1"/>
  <c r="I47" i="5"/>
  <c r="F313" i="6"/>
  <c r="N313" i="6" s="1"/>
  <c r="O313" i="6" s="1"/>
  <c r="J313" i="5"/>
  <c r="G313" i="6" s="1"/>
  <c r="I313" i="5"/>
  <c r="H313" i="5"/>
  <c r="J519" i="5"/>
  <c r="G519" i="6" s="1"/>
  <c r="W519" i="6" s="1"/>
  <c r="H519" i="5"/>
  <c r="F383" i="6"/>
  <c r="N383" i="6" s="1"/>
  <c r="O383" i="6" s="1"/>
  <c r="H383" i="5"/>
  <c r="J383" i="5"/>
  <c r="G383" i="6" s="1"/>
  <c r="H25" i="7"/>
  <c r="K24" i="7"/>
  <c r="C16" i="7"/>
  <c r="J24" i="7"/>
  <c r="I18" i="7"/>
  <c r="H24" i="7"/>
  <c r="G16" i="7"/>
  <c r="J21" i="7"/>
  <c r="I17" i="7"/>
  <c r="E23" i="7"/>
  <c r="H21" i="7"/>
  <c r="K17" i="7"/>
  <c r="K13" i="7"/>
  <c r="L20" i="7"/>
  <c r="G525" i="5"/>
  <c r="J525" i="5" s="1"/>
  <c r="G525" i="6" s="1"/>
  <c r="F575" i="6"/>
  <c r="N575" i="6" s="1"/>
  <c r="O575" i="6" s="1"/>
  <c r="F540" i="6"/>
  <c r="N540" i="6" s="1"/>
  <c r="O540" i="6" s="1"/>
  <c r="I519" i="5"/>
  <c r="T488" i="6"/>
  <c r="H599" i="5"/>
  <c r="T580" i="6"/>
  <c r="S462" i="6"/>
  <c r="T453" i="6"/>
  <c r="S442" i="6"/>
  <c r="H338" i="5"/>
  <c r="G228" i="5"/>
  <c r="J228" i="5" s="1"/>
  <c r="G228" i="6" s="1"/>
  <c r="G449" i="5"/>
  <c r="J449" i="5" s="1"/>
  <c r="G449" i="6" s="1"/>
  <c r="S266" i="6"/>
  <c r="S300" i="6"/>
  <c r="S362" i="6"/>
  <c r="S299" i="6"/>
  <c r="S107" i="6"/>
  <c r="T242" i="6"/>
  <c r="T171" i="6"/>
  <c r="T234" i="6"/>
  <c r="G264" i="5"/>
  <c r="F264" i="6" s="1"/>
  <c r="N264" i="6" s="1"/>
  <c r="O264" i="6" s="1"/>
  <c r="G229" i="5"/>
  <c r="F229" i="6" s="1"/>
  <c r="I121" i="6"/>
  <c r="Q121" i="6" s="1"/>
  <c r="H142" i="5"/>
  <c r="F541" i="6"/>
  <c r="N541" i="6" s="1"/>
  <c r="O541" i="6" s="1"/>
  <c r="J541" i="5"/>
  <c r="G541" i="6" s="1"/>
  <c r="I541" i="5"/>
  <c r="H541" i="5"/>
  <c r="F597" i="6"/>
  <c r="N597" i="6" s="1"/>
  <c r="O597" i="6" s="1"/>
  <c r="I597" i="5"/>
  <c r="H597" i="5"/>
  <c r="J597" i="5"/>
  <c r="G597" i="6" s="1"/>
  <c r="H290" i="5"/>
  <c r="I290" i="5" s="1"/>
  <c r="F337" i="6"/>
  <c r="N337" i="6" s="1"/>
  <c r="O337" i="6" s="1"/>
  <c r="I337" i="5"/>
  <c r="J337" i="5"/>
  <c r="G337" i="6" s="1"/>
  <c r="H337" i="5"/>
  <c r="F61" i="6"/>
  <c r="N61" i="6" s="1"/>
  <c r="O61" i="6" s="1"/>
  <c r="I61" i="5"/>
  <c r="J61" i="5"/>
  <c r="G61" i="6" s="1"/>
  <c r="J61" i="6" s="1"/>
  <c r="S61" i="6" s="1"/>
  <c r="F30" i="6"/>
  <c r="N30" i="6" s="1"/>
  <c r="O30" i="6" s="1"/>
  <c r="J30" i="5"/>
  <c r="G30" i="6" s="1"/>
  <c r="I30" i="5"/>
  <c r="F78" i="6"/>
  <c r="N78" i="6" s="1"/>
  <c r="O78" i="6" s="1"/>
  <c r="J78" i="5"/>
  <c r="G78" i="6" s="1"/>
  <c r="I78" i="5"/>
  <c r="G108" i="5"/>
  <c r="T139" i="6"/>
  <c r="F257" i="6"/>
  <c r="N257" i="6" s="1"/>
  <c r="O257" i="6" s="1"/>
  <c r="I257" i="5"/>
  <c r="H257" i="5"/>
  <c r="J257" i="5"/>
  <c r="G257" i="6" s="1"/>
  <c r="G25" i="7"/>
  <c r="S529" i="6"/>
  <c r="T186" i="6"/>
  <c r="S445" i="6"/>
  <c r="T416" i="6"/>
  <c r="S580" i="6"/>
  <c r="T512" i="6"/>
  <c r="S490" i="6"/>
  <c r="H473" i="6"/>
  <c r="R473" i="6" s="1"/>
  <c r="T424" i="6"/>
  <c r="T425" i="6"/>
  <c r="S283" i="6"/>
  <c r="H374" i="5"/>
  <c r="G26" i="5"/>
  <c r="F26" i="6" s="1"/>
  <c r="N26" i="6" s="1"/>
  <c r="O26" i="6" s="1"/>
  <c r="T116" i="6"/>
  <c r="T184" i="6"/>
  <c r="T215" i="6"/>
  <c r="G144" i="5"/>
  <c r="F144" i="6" s="1"/>
  <c r="N144" i="6" s="1"/>
  <c r="O144" i="6" s="1"/>
  <c r="I120" i="5"/>
  <c r="I142" i="5"/>
  <c r="H120" i="5"/>
  <c r="F142" i="6"/>
  <c r="N142" i="6" s="1"/>
  <c r="O142" i="6" s="1"/>
  <c r="F612" i="6"/>
  <c r="T465" i="6"/>
  <c r="J319" i="5"/>
  <c r="G319" i="6" s="1"/>
  <c r="H319" i="5"/>
  <c r="H262" i="5"/>
  <c r="I262" i="5"/>
  <c r="F93" i="6"/>
  <c r="N93" i="6" s="1"/>
  <c r="O93" i="6" s="1"/>
  <c r="I93" i="5"/>
  <c r="J93" i="5"/>
  <c r="G93" i="6" s="1"/>
  <c r="F22" i="6"/>
  <c r="N22" i="6" s="1"/>
  <c r="O22" i="6" s="1"/>
  <c r="I22" i="5"/>
  <c r="J22" i="5"/>
  <c r="G22" i="6" s="1"/>
  <c r="K22" i="6" s="1"/>
  <c r="T22" i="6" s="1"/>
  <c r="T177" i="6"/>
  <c r="F56" i="6"/>
  <c r="N56" i="6" s="1"/>
  <c r="O56" i="6" s="1"/>
  <c r="J56" i="5"/>
  <c r="G56" i="6" s="1"/>
  <c r="J56" i="6" s="1"/>
  <c r="S56" i="6" s="1"/>
  <c r="J303" i="5"/>
  <c r="G303" i="6" s="1"/>
  <c r="H303" i="6" s="1"/>
  <c r="R303" i="6" s="1"/>
  <c r="H303" i="5"/>
  <c r="D24" i="7"/>
  <c r="F23" i="7"/>
  <c r="S587" i="6"/>
  <c r="G546" i="5"/>
  <c r="J546" i="5" s="1"/>
  <c r="G546" i="6" s="1"/>
  <c r="D22" i="7"/>
  <c r="H20" i="7"/>
  <c r="H23" i="7"/>
  <c r="F17" i="7"/>
  <c r="F13" i="7"/>
  <c r="G424" i="5"/>
  <c r="F424" i="6" s="1"/>
  <c r="N424" i="6" s="1"/>
  <c r="O424" i="6" s="1"/>
  <c r="H573" i="6"/>
  <c r="R573" i="6" s="1"/>
  <c r="G486" i="5"/>
  <c r="F486" i="6" s="1"/>
  <c r="N486" i="6" s="1"/>
  <c r="O486" i="6" s="1"/>
  <c r="T589" i="6"/>
  <c r="T547" i="6"/>
  <c r="T291" i="6"/>
  <c r="S354" i="6"/>
  <c r="T305" i="6"/>
  <c r="S287" i="6"/>
  <c r="T281" i="6"/>
  <c r="T349" i="6"/>
  <c r="T311" i="6"/>
  <c r="S364" i="6"/>
  <c r="J374" i="5"/>
  <c r="G374" i="6" s="1"/>
  <c r="H374" i="6" s="1"/>
  <c r="R374" i="6" s="1"/>
  <c r="T107" i="6"/>
  <c r="S376" i="6"/>
  <c r="S212" i="6"/>
  <c r="S215" i="6"/>
  <c r="T344" i="6"/>
  <c r="H180" i="5"/>
  <c r="H47" i="5"/>
  <c r="F557" i="6"/>
  <c r="N557" i="6" s="1"/>
  <c r="O557" i="6" s="1"/>
  <c r="J557" i="5"/>
  <c r="G557" i="6" s="1"/>
  <c r="I557" i="5"/>
  <c r="H557" i="5"/>
  <c r="S511" i="6"/>
  <c r="J375" i="5"/>
  <c r="G375" i="6" s="1"/>
  <c r="H375" i="5"/>
  <c r="G369" i="5"/>
  <c r="F281" i="6"/>
  <c r="N281" i="6" s="1"/>
  <c r="O281" i="6" s="1"/>
  <c r="J281" i="5"/>
  <c r="G281" i="6" s="1"/>
  <c r="I281" i="5"/>
  <c r="H281" i="5"/>
  <c r="F437" i="6"/>
  <c r="N437" i="6" s="1"/>
  <c r="O437" i="6" s="1"/>
  <c r="I437" i="5"/>
  <c r="H437" i="5"/>
  <c r="G329" i="5"/>
  <c r="F479" i="6"/>
  <c r="N479" i="6" s="1"/>
  <c r="O479" i="6" s="1"/>
  <c r="H479" i="5"/>
  <c r="J479" i="5"/>
  <c r="G479" i="6" s="1"/>
  <c r="F94" i="6"/>
  <c r="N94" i="6" s="1"/>
  <c r="O94" i="6" s="1"/>
  <c r="J94" i="5"/>
  <c r="G94" i="6" s="1"/>
  <c r="I94" i="5"/>
  <c r="G20" i="7"/>
  <c r="F343" i="6"/>
  <c r="N343" i="6" s="1"/>
  <c r="O343" i="6" s="1"/>
  <c r="G184" i="5"/>
  <c r="F184" i="6" s="1"/>
  <c r="N184" i="6" s="1"/>
  <c r="O184" i="6" s="1"/>
  <c r="J22" i="7"/>
  <c r="J15" i="7"/>
  <c r="J16" i="7"/>
  <c r="C21" i="7"/>
  <c r="C15" i="7"/>
  <c r="T575" i="6"/>
  <c r="I580" i="5"/>
  <c r="S461" i="6"/>
  <c r="I455" i="5"/>
  <c r="S439" i="6"/>
  <c r="H580" i="5"/>
  <c r="T513" i="6"/>
  <c r="G467" i="5"/>
  <c r="H467" i="5" s="1"/>
  <c r="I467" i="5" s="1"/>
  <c r="T521" i="6"/>
  <c r="S438" i="6"/>
  <c r="J482" i="6"/>
  <c r="S482" i="6" s="1"/>
  <c r="T471" i="6"/>
  <c r="H575" i="6"/>
  <c r="R575" i="6" s="1"/>
  <c r="I433" i="6"/>
  <c r="Q433" i="6" s="1"/>
  <c r="U433" i="6" s="1"/>
  <c r="S368" i="6"/>
  <c r="S356" i="6"/>
  <c r="T295" i="6"/>
  <c r="S252" i="6"/>
  <c r="F374" i="6"/>
  <c r="N374" i="6" s="1"/>
  <c r="O374" i="6" s="1"/>
  <c r="G148" i="5"/>
  <c r="J148" i="5" s="1"/>
  <c r="G148" i="6" s="1"/>
  <c r="G265" i="5"/>
  <c r="F265" i="6" s="1"/>
  <c r="N265" i="6" s="1"/>
  <c r="O265" i="6" s="1"/>
  <c r="S133" i="6"/>
  <c r="S179" i="6"/>
  <c r="I420" i="5"/>
  <c r="H420" i="5"/>
  <c r="I462" i="5"/>
  <c r="J462" i="5"/>
  <c r="G462" i="6" s="1"/>
  <c r="F439" i="6"/>
  <c r="N439" i="6" s="1"/>
  <c r="O439" i="6" s="1"/>
  <c r="I439" i="5"/>
  <c r="H439" i="5"/>
  <c r="F493" i="6"/>
  <c r="N493" i="6" s="1"/>
  <c r="O493" i="6" s="1"/>
  <c r="I493" i="5"/>
  <c r="F16" i="6"/>
  <c r="N16" i="6" s="1"/>
  <c r="O16" i="6" s="1"/>
  <c r="J16" i="5"/>
  <c r="G16" i="6" s="1"/>
  <c r="J359" i="5"/>
  <c r="G359" i="6" s="1"/>
  <c r="H359" i="5"/>
  <c r="F273" i="6"/>
  <c r="N273" i="6" s="1"/>
  <c r="O273" i="6" s="1"/>
  <c r="J273" i="5"/>
  <c r="G273" i="6" s="1"/>
  <c r="I273" i="5"/>
  <c r="H273" i="5"/>
  <c r="F21" i="7"/>
  <c r="I575" i="5"/>
  <c r="C24" i="7"/>
  <c r="J18" i="7"/>
  <c r="D20" i="7"/>
  <c r="D18" i="7"/>
  <c r="C20" i="7"/>
  <c r="L11" i="7"/>
  <c r="L7" i="7"/>
  <c r="F11" i="7"/>
  <c r="K21" i="7"/>
  <c r="E19" i="7"/>
  <c r="K15" i="7"/>
  <c r="L22" i="7"/>
  <c r="H575" i="5"/>
  <c r="J580" i="5"/>
  <c r="G580" i="6" s="1"/>
  <c r="H580" i="6" s="1"/>
  <c r="R580" i="6" s="1"/>
  <c r="T544" i="6"/>
  <c r="H455" i="5"/>
  <c r="T439" i="6"/>
  <c r="T449" i="6"/>
  <c r="T436" i="6"/>
  <c r="T477" i="6"/>
  <c r="S437" i="6"/>
  <c r="T379" i="6"/>
  <c r="G347" i="5"/>
  <c r="H347" i="5" s="1"/>
  <c r="I347" i="5" s="1"/>
  <c r="J338" i="5"/>
  <c r="G338" i="6" s="1"/>
  <c r="J338" i="6" s="1"/>
  <c r="S338" i="6" s="1"/>
  <c r="S263" i="6"/>
  <c r="G469" i="5"/>
  <c r="J469" i="5" s="1"/>
  <c r="G469" i="6" s="1"/>
  <c r="T371" i="6"/>
  <c r="T147" i="6"/>
  <c r="T115" i="6"/>
  <c r="Q255" i="6"/>
  <c r="T117" i="6"/>
  <c r="T114" i="6"/>
  <c r="T333" i="6"/>
  <c r="T210" i="6"/>
  <c r="S550" i="6"/>
  <c r="F463" i="6"/>
  <c r="N463" i="6" s="1"/>
  <c r="O463" i="6" s="1"/>
  <c r="J463" i="5"/>
  <c r="G463" i="6" s="1"/>
  <c r="H463" i="5"/>
  <c r="I463" i="5"/>
  <c r="T462" i="6"/>
  <c r="G447" i="5"/>
  <c r="F321" i="6"/>
  <c r="N321" i="6" s="1"/>
  <c r="O321" i="6" s="1"/>
  <c r="I321" i="5"/>
  <c r="J321" i="5"/>
  <c r="G321" i="6" s="1"/>
  <c r="H321" i="5"/>
  <c r="F353" i="6"/>
  <c r="N353" i="6" s="1"/>
  <c r="O353" i="6" s="1"/>
  <c r="J353" i="5"/>
  <c r="G353" i="6" s="1"/>
  <c r="I353" i="5"/>
  <c r="H353" i="5"/>
  <c r="F143" i="6"/>
  <c r="N143" i="6" s="1"/>
  <c r="O143" i="6" s="1"/>
  <c r="J143" i="5"/>
  <c r="G143" i="6" s="1"/>
  <c r="I143" i="5"/>
  <c r="H143" i="5"/>
  <c r="F160" i="6"/>
  <c r="N160" i="6" s="1"/>
  <c r="O160" i="6" s="1"/>
  <c r="I160" i="5"/>
  <c r="H160" i="5"/>
  <c r="F54" i="6"/>
  <c r="N54" i="6" s="1"/>
  <c r="O54" i="6" s="1"/>
  <c r="J54" i="5"/>
  <c r="G54" i="6" s="1"/>
  <c r="I54" i="5"/>
  <c r="F25" i="7"/>
  <c r="F359" i="6"/>
  <c r="N359" i="6" s="1"/>
  <c r="O359" i="6" s="1"/>
  <c r="H22" i="7"/>
  <c r="C19" i="7"/>
  <c r="D16" i="7"/>
  <c r="F9" i="7"/>
  <c r="C23" i="7"/>
  <c r="F19" i="7"/>
  <c r="I533" i="6"/>
  <c r="Q533" i="6" s="1"/>
  <c r="T438" i="6"/>
  <c r="I338" i="5"/>
  <c r="T356" i="6"/>
  <c r="T246" i="6"/>
  <c r="T256" i="6"/>
  <c r="T307" i="6"/>
  <c r="T195" i="6"/>
  <c r="J120" i="5"/>
  <c r="G120" i="6" s="1"/>
  <c r="W120" i="6" s="1"/>
  <c r="G105" i="5"/>
  <c r="F105" i="6" s="1"/>
  <c r="N105" i="6" s="1"/>
  <c r="O105" i="6" s="1"/>
  <c r="T189" i="6"/>
  <c r="G147" i="5"/>
  <c r="J147" i="5" s="1"/>
  <c r="G147" i="6" s="1"/>
  <c r="J47" i="5"/>
  <c r="G47" i="6" s="1"/>
  <c r="J47" i="6" s="1"/>
  <c r="S47" i="6" s="1"/>
  <c r="T123" i="6"/>
  <c r="T550" i="6"/>
  <c r="T398" i="6"/>
  <c r="F471" i="6"/>
  <c r="N471" i="6" s="1"/>
  <c r="O471" i="6" s="1"/>
  <c r="G484" i="5"/>
  <c r="S349" i="6"/>
  <c r="S383" i="6"/>
  <c r="F13" i="6"/>
  <c r="N13" i="6" s="1"/>
  <c r="O13" i="6" s="1"/>
  <c r="I13" i="5"/>
  <c r="J13" i="5"/>
  <c r="G13" i="6" s="1"/>
  <c r="K13" i="6" s="1"/>
  <c r="T13" i="6" s="1"/>
  <c r="F488" i="6"/>
  <c r="N488" i="6" s="1"/>
  <c r="O488" i="6" s="1"/>
  <c r="J488" i="5"/>
  <c r="G488" i="6" s="1"/>
  <c r="H488" i="5"/>
  <c r="I488" i="5" s="1"/>
  <c r="F368" i="6"/>
  <c r="H368" i="5"/>
  <c r="I368" i="5" s="1"/>
  <c r="J368" i="5"/>
  <c r="G368" i="6" s="1"/>
  <c r="F544" i="6"/>
  <c r="N544" i="6" s="1"/>
  <c r="O544" i="6" s="1"/>
  <c r="H544" i="5"/>
  <c r="J544" i="5"/>
  <c r="G544" i="6" s="1"/>
  <c r="I544" i="5"/>
  <c r="F528" i="6"/>
  <c r="J528" i="5"/>
  <c r="G528" i="6" s="1"/>
  <c r="H528" i="5"/>
  <c r="I528" i="5" s="1"/>
  <c r="J23" i="7"/>
  <c r="J25" i="7"/>
  <c r="F602" i="6"/>
  <c r="N602" i="6" s="1"/>
  <c r="O602" i="6" s="1"/>
  <c r="I602" i="5"/>
  <c r="J602" i="5"/>
  <c r="G602" i="6" s="1"/>
  <c r="H602" i="5"/>
  <c r="B606" i="6"/>
  <c r="B566" i="6"/>
  <c r="F577" i="6"/>
  <c r="N577" i="6" s="1"/>
  <c r="O577" i="6" s="1"/>
  <c r="J577" i="5"/>
  <c r="G577" i="6" s="1"/>
  <c r="I577" i="5"/>
  <c r="H577" i="5"/>
  <c r="F523" i="6"/>
  <c r="N523" i="6" s="1"/>
  <c r="O523" i="6" s="1"/>
  <c r="H523" i="5"/>
  <c r="J523" i="5"/>
  <c r="G523" i="6" s="1"/>
  <c r="I523" i="5"/>
  <c r="F578" i="6"/>
  <c r="N578" i="6" s="1"/>
  <c r="O578" i="6" s="1"/>
  <c r="J578" i="5"/>
  <c r="G578" i="6" s="1"/>
  <c r="H578" i="5"/>
  <c r="I578" i="5"/>
  <c r="F499" i="6"/>
  <c r="N499" i="6" s="1"/>
  <c r="O499" i="6" s="1"/>
  <c r="J499" i="5"/>
  <c r="G499" i="6" s="1"/>
  <c r="I499" i="5"/>
  <c r="H499" i="5"/>
  <c r="F440" i="6"/>
  <c r="N440" i="6" s="1"/>
  <c r="O440" i="6" s="1"/>
  <c r="H440" i="5"/>
  <c r="J440" i="5"/>
  <c r="G440" i="6" s="1"/>
  <c r="I440" i="5"/>
  <c r="I559" i="6"/>
  <c r="Q559" i="6" s="1"/>
  <c r="T555" i="6"/>
  <c r="S505" i="6"/>
  <c r="H470" i="5"/>
  <c r="I470" i="5" s="1"/>
  <c r="T385" i="6"/>
  <c r="F571" i="6"/>
  <c r="J571" i="5"/>
  <c r="G571" i="6" s="1"/>
  <c r="F568" i="6"/>
  <c r="N568" i="6" s="1"/>
  <c r="O568" i="6" s="1"/>
  <c r="H568" i="5"/>
  <c r="I568" i="5" s="1"/>
  <c r="J568" i="5"/>
  <c r="G568" i="6" s="1"/>
  <c r="B540" i="6"/>
  <c r="B451" i="6"/>
  <c r="F373" i="6"/>
  <c r="N373" i="6" s="1"/>
  <c r="O373" i="6" s="1"/>
  <c r="J373" i="5"/>
  <c r="G373" i="6" s="1"/>
  <c r="I373" i="5"/>
  <c r="H373" i="5"/>
  <c r="F357" i="6"/>
  <c r="N357" i="6" s="1"/>
  <c r="O357" i="6" s="1"/>
  <c r="J357" i="5"/>
  <c r="G357" i="6" s="1"/>
  <c r="I357" i="5"/>
  <c r="H357" i="5"/>
  <c r="F341" i="6"/>
  <c r="N341" i="6" s="1"/>
  <c r="O341" i="6" s="1"/>
  <c r="J341" i="5"/>
  <c r="G341" i="6" s="1"/>
  <c r="I341" i="5"/>
  <c r="H341" i="5"/>
  <c r="F301" i="6"/>
  <c r="N301" i="6" s="1"/>
  <c r="O301" i="6" s="1"/>
  <c r="J301" i="5"/>
  <c r="G301" i="6" s="1"/>
  <c r="I301" i="5"/>
  <c r="H301" i="5"/>
  <c r="H522" i="6"/>
  <c r="R522" i="6" s="1"/>
  <c r="W522" i="6"/>
  <c r="F476" i="6"/>
  <c r="N476" i="6" s="1"/>
  <c r="O476" i="6" s="1"/>
  <c r="J476" i="5"/>
  <c r="G476" i="6" s="1"/>
  <c r="I476" i="5"/>
  <c r="H476" i="5"/>
  <c r="S530" i="6"/>
  <c r="F478" i="6"/>
  <c r="N478" i="6" s="1"/>
  <c r="O478" i="6" s="1"/>
  <c r="H478" i="5"/>
  <c r="J478" i="5"/>
  <c r="G478" i="6" s="1"/>
  <c r="I478" i="5"/>
  <c r="W535" i="6"/>
  <c r="S443" i="6"/>
  <c r="H421" i="6"/>
  <c r="R421" i="6" s="1"/>
  <c r="W421" i="6"/>
  <c r="H314" i="6"/>
  <c r="R314" i="6" s="1"/>
  <c r="W314" i="6"/>
  <c r="H397" i="6"/>
  <c r="R397" i="6" s="1"/>
  <c r="W397" i="6"/>
  <c r="F364" i="6"/>
  <c r="H364" i="5"/>
  <c r="I364" i="5" s="1"/>
  <c r="J364" i="5"/>
  <c r="G364" i="6" s="1"/>
  <c r="F376" i="6"/>
  <c r="N376" i="6" s="1"/>
  <c r="O376" i="6" s="1"/>
  <c r="H376" i="5"/>
  <c r="J376" i="5"/>
  <c r="G376" i="6" s="1"/>
  <c r="I376" i="5"/>
  <c r="S387" i="6"/>
  <c r="T280" i="6"/>
  <c r="S370" i="6"/>
  <c r="S276" i="6"/>
  <c r="T397" i="6"/>
  <c r="S352" i="6"/>
  <c r="G326" i="5"/>
  <c r="T279" i="6"/>
  <c r="F106" i="6"/>
  <c r="N106" i="6" s="1"/>
  <c r="O106" i="6" s="1"/>
  <c r="J106" i="5"/>
  <c r="G106" i="6" s="1"/>
  <c r="I106" i="5"/>
  <c r="H106" i="5"/>
  <c r="T268" i="6"/>
  <c r="G247" i="5"/>
  <c r="F234" i="6"/>
  <c r="N234" i="6" s="1"/>
  <c r="O234" i="6" s="1"/>
  <c r="I234" i="5"/>
  <c r="H234" i="5"/>
  <c r="J234" i="5"/>
  <c r="G234" i="6" s="1"/>
  <c r="T218" i="6"/>
  <c r="F141" i="6"/>
  <c r="N141" i="6" s="1"/>
  <c r="O141" i="6" s="1"/>
  <c r="I141" i="5"/>
  <c r="H141" i="5"/>
  <c r="J141" i="5"/>
  <c r="G141" i="6" s="1"/>
  <c r="F235" i="6"/>
  <c r="N235" i="6" s="1"/>
  <c r="O235" i="6" s="1"/>
  <c r="J235" i="5"/>
  <c r="G235" i="6" s="1"/>
  <c r="I235" i="5"/>
  <c r="H235" i="5"/>
  <c r="E185" i="6"/>
  <c r="G185" i="5"/>
  <c r="F178" i="6"/>
  <c r="N178" i="6" s="1"/>
  <c r="O178" i="6" s="1"/>
  <c r="J178" i="5"/>
  <c r="G178" i="6" s="1"/>
  <c r="I178" i="5"/>
  <c r="H178" i="5"/>
  <c r="F156" i="6"/>
  <c r="N156" i="6" s="1"/>
  <c r="O156" i="6" s="1"/>
  <c r="J156" i="5"/>
  <c r="G156" i="6" s="1"/>
  <c r="I156" i="5"/>
  <c r="H156" i="5"/>
  <c r="T146" i="6"/>
  <c r="F295" i="6"/>
  <c r="N295" i="6" s="1"/>
  <c r="O295" i="6" s="1"/>
  <c r="I295" i="5"/>
  <c r="J295" i="5"/>
  <c r="G295" i="6" s="1"/>
  <c r="H295" i="5"/>
  <c r="F139" i="6"/>
  <c r="N139" i="6" s="1"/>
  <c r="O139" i="6" s="1"/>
  <c r="H139" i="5"/>
  <c r="J139" i="5"/>
  <c r="G139" i="6" s="1"/>
  <c r="I139" i="5"/>
  <c r="E48" i="6"/>
  <c r="G48" i="5"/>
  <c r="H335" i="6"/>
  <c r="R335" i="6" s="1"/>
  <c r="W335" i="6"/>
  <c r="Q275" i="6"/>
  <c r="F260" i="6"/>
  <c r="N260" i="6" s="1"/>
  <c r="O260" i="6" s="1"/>
  <c r="H260" i="5"/>
  <c r="J260" i="5"/>
  <c r="G260" i="6" s="1"/>
  <c r="I260" i="5"/>
  <c r="F163" i="6"/>
  <c r="N163" i="6" s="1"/>
  <c r="O163" i="6" s="1"/>
  <c r="I163" i="5"/>
  <c r="H163" i="5"/>
  <c r="J163" i="5"/>
  <c r="G163" i="6" s="1"/>
  <c r="T130" i="6"/>
  <c r="F97" i="6"/>
  <c r="N97" i="6" s="1"/>
  <c r="O97" i="6" s="1"/>
  <c r="J97" i="5"/>
  <c r="G97" i="6" s="1"/>
  <c r="I97" i="5"/>
  <c r="H97" i="5"/>
  <c r="B90" i="6"/>
  <c r="F33" i="6"/>
  <c r="N33" i="6" s="1"/>
  <c r="O33" i="6" s="1"/>
  <c r="J33" i="5"/>
  <c r="G33" i="6" s="1"/>
  <c r="I33" i="5"/>
  <c r="H33" i="5"/>
  <c r="B26" i="6"/>
  <c r="G84" i="5"/>
  <c r="E17" i="7"/>
  <c r="E15" i="7"/>
  <c r="F553" i="6"/>
  <c r="N553" i="6" s="1"/>
  <c r="O553" i="6" s="1"/>
  <c r="J553" i="5"/>
  <c r="G553" i="6" s="1"/>
  <c r="I553" i="5"/>
  <c r="H553" i="5"/>
  <c r="F487" i="6"/>
  <c r="J487" i="5"/>
  <c r="H487" i="5"/>
  <c r="I487" i="5" s="1"/>
  <c r="F538" i="6"/>
  <c r="N538" i="6" s="1"/>
  <c r="O538" i="6" s="1"/>
  <c r="J538" i="5"/>
  <c r="G538" i="6" s="1"/>
  <c r="H538" i="5"/>
  <c r="I538" i="5"/>
  <c r="F521" i="6"/>
  <c r="N521" i="6" s="1"/>
  <c r="O521" i="6" s="1"/>
  <c r="J521" i="5"/>
  <c r="G521" i="6" s="1"/>
  <c r="I521" i="5"/>
  <c r="H521" i="5"/>
  <c r="F512" i="6"/>
  <c r="N512" i="6" s="1"/>
  <c r="O512" i="6" s="1"/>
  <c r="H512" i="5"/>
  <c r="I512" i="5" s="1"/>
  <c r="J512" i="5"/>
  <c r="G512" i="6" s="1"/>
  <c r="H439" i="6"/>
  <c r="R439" i="6" s="1"/>
  <c r="F574" i="6"/>
  <c r="N574" i="6" s="1"/>
  <c r="O574" i="6" s="1"/>
  <c r="J574" i="5"/>
  <c r="G574" i="6" s="1"/>
  <c r="I574" i="5"/>
  <c r="H574" i="5"/>
  <c r="H562" i="6"/>
  <c r="R562" i="6" s="1"/>
  <c r="W562" i="6"/>
  <c r="B471" i="6"/>
  <c r="E404" i="6"/>
  <c r="G404" i="5"/>
  <c r="B396" i="6"/>
  <c r="G605" i="5"/>
  <c r="F454" i="6"/>
  <c r="N454" i="6" s="1"/>
  <c r="O454" i="6" s="1"/>
  <c r="H454" i="5"/>
  <c r="J454" i="5"/>
  <c r="G454" i="6" s="1"/>
  <c r="I454" i="5"/>
  <c r="F435" i="6"/>
  <c r="N435" i="6" s="1"/>
  <c r="O435" i="6" s="1"/>
  <c r="J435" i="5"/>
  <c r="G435" i="6" s="1"/>
  <c r="I435" i="5"/>
  <c r="H435" i="5"/>
  <c r="F506" i="6"/>
  <c r="N506" i="6" s="1"/>
  <c r="O506" i="6" s="1"/>
  <c r="J506" i="5"/>
  <c r="G506" i="6" s="1"/>
  <c r="I506" i="5"/>
  <c r="H506" i="5"/>
  <c r="S402" i="6"/>
  <c r="F393" i="6"/>
  <c r="N393" i="6" s="1"/>
  <c r="O393" i="6" s="1"/>
  <c r="I393" i="5"/>
  <c r="J393" i="5"/>
  <c r="G393" i="6" s="1"/>
  <c r="H393" i="5"/>
  <c r="T429" i="6"/>
  <c r="F358" i="6"/>
  <c r="N358" i="6" s="1"/>
  <c r="O358" i="6" s="1"/>
  <c r="J358" i="5"/>
  <c r="G358" i="6" s="1"/>
  <c r="H358" i="5"/>
  <c r="I358" i="5"/>
  <c r="F436" i="6"/>
  <c r="N436" i="6" s="1"/>
  <c r="O436" i="6" s="1"/>
  <c r="J436" i="5"/>
  <c r="G436" i="6" s="1"/>
  <c r="I436" i="5"/>
  <c r="H436" i="5"/>
  <c r="F328" i="6"/>
  <c r="N328" i="6" s="1"/>
  <c r="O328" i="6" s="1"/>
  <c r="H328" i="5"/>
  <c r="I328" i="5" s="1"/>
  <c r="J328" i="5"/>
  <c r="G328" i="6" s="1"/>
  <c r="J328" i="6" s="1"/>
  <c r="S328" i="6" s="1"/>
  <c r="T308" i="6"/>
  <c r="F416" i="6"/>
  <c r="N416" i="6" s="1"/>
  <c r="O416" i="6" s="1"/>
  <c r="J416" i="5"/>
  <c r="G416" i="6" s="1"/>
  <c r="H416" i="5"/>
  <c r="I416" i="5"/>
  <c r="F394" i="6"/>
  <c r="N394" i="6" s="1"/>
  <c r="O394" i="6" s="1"/>
  <c r="J394" i="5"/>
  <c r="G394" i="6" s="1"/>
  <c r="I394" i="5"/>
  <c r="H394" i="5"/>
  <c r="S280" i="6"/>
  <c r="T315" i="6"/>
  <c r="S421" i="6"/>
  <c r="S397" i="6"/>
  <c r="S275" i="6"/>
  <c r="F242" i="6"/>
  <c r="N242" i="6" s="1"/>
  <c r="O242" i="6" s="1"/>
  <c r="I242" i="5"/>
  <c r="H242" i="5"/>
  <c r="J242" i="5"/>
  <c r="G242" i="6" s="1"/>
  <c r="F157" i="6"/>
  <c r="N157" i="6" s="1"/>
  <c r="O157" i="6" s="1"/>
  <c r="J157" i="5"/>
  <c r="G157" i="6" s="1"/>
  <c r="I157" i="5"/>
  <c r="H157" i="5"/>
  <c r="F98" i="6"/>
  <c r="N98" i="6" s="1"/>
  <c r="O98" i="6" s="1"/>
  <c r="J98" i="5"/>
  <c r="G98" i="6" s="1"/>
  <c r="I98" i="5"/>
  <c r="H98" i="5"/>
  <c r="F82" i="6"/>
  <c r="N82" i="6" s="1"/>
  <c r="O82" i="6" s="1"/>
  <c r="J82" i="5"/>
  <c r="G82" i="6" s="1"/>
  <c r="I82" i="5"/>
  <c r="H82" i="5"/>
  <c r="T272" i="6"/>
  <c r="S218" i="6"/>
  <c r="F210" i="6"/>
  <c r="N210" i="6" s="1"/>
  <c r="O210" i="6" s="1"/>
  <c r="J210" i="5"/>
  <c r="F195" i="6"/>
  <c r="N195" i="6" s="1"/>
  <c r="O195" i="6" s="1"/>
  <c r="I195" i="5"/>
  <c r="J195" i="5"/>
  <c r="G195" i="6" s="1"/>
  <c r="H195" i="5"/>
  <c r="H160" i="6"/>
  <c r="R160" i="6" s="1"/>
  <c r="F154" i="6"/>
  <c r="N154" i="6" s="1"/>
  <c r="O154" i="6" s="1"/>
  <c r="I154" i="5"/>
  <c r="H154" i="5"/>
  <c r="J154" i="5"/>
  <c r="G154" i="6" s="1"/>
  <c r="F221" i="6"/>
  <c r="N221" i="6" s="1"/>
  <c r="O221" i="6" s="1"/>
  <c r="I221" i="5"/>
  <c r="H221" i="5"/>
  <c r="J221" i="5"/>
  <c r="G221" i="6" s="1"/>
  <c r="S211" i="6"/>
  <c r="F176" i="6"/>
  <c r="N176" i="6" s="1"/>
  <c r="O176" i="6" s="1"/>
  <c r="J176" i="5"/>
  <c r="G176" i="6" s="1"/>
  <c r="I176" i="5"/>
  <c r="H176" i="5"/>
  <c r="T155" i="6"/>
  <c r="H112" i="5"/>
  <c r="I112" i="5" s="1"/>
  <c r="F59" i="6"/>
  <c r="N59" i="6" s="1"/>
  <c r="O59" i="6" s="1"/>
  <c r="J59" i="5"/>
  <c r="G59" i="6" s="1"/>
  <c r="I59" i="5"/>
  <c r="H59" i="5"/>
  <c r="F355" i="6"/>
  <c r="N355" i="6" s="1"/>
  <c r="O355" i="6" s="1"/>
  <c r="I355" i="5"/>
  <c r="J355" i="5"/>
  <c r="G355" i="6" s="1"/>
  <c r="H355" i="5"/>
  <c r="S146" i="6"/>
  <c r="G125" i="5"/>
  <c r="E88" i="6"/>
  <c r="G88" i="5"/>
  <c r="F76" i="6"/>
  <c r="N76" i="6" s="1"/>
  <c r="O76" i="6" s="1"/>
  <c r="J76" i="5"/>
  <c r="G76" i="6" s="1"/>
  <c r="I76" i="5"/>
  <c r="H76" i="5"/>
  <c r="S170" i="6"/>
  <c r="B82" i="6"/>
  <c r="B18" i="6"/>
  <c r="S130" i="6"/>
  <c r="R117" i="6"/>
  <c r="G4" i="5"/>
  <c r="F4" i="6" s="1"/>
  <c r="F197" i="6"/>
  <c r="N197" i="6" s="1"/>
  <c r="O197" i="6" s="1"/>
  <c r="J197" i="5"/>
  <c r="G197" i="6" s="1"/>
  <c r="I197" i="5"/>
  <c r="H197" i="5"/>
  <c r="R181" i="6"/>
  <c r="F36" i="6"/>
  <c r="N36" i="6" s="1"/>
  <c r="O36" i="6" s="1"/>
  <c r="J36" i="5"/>
  <c r="G36" i="6" s="1"/>
  <c r="I36" i="5"/>
  <c r="H36" i="5"/>
  <c r="J20" i="7"/>
  <c r="D25" i="7"/>
  <c r="G18" i="7"/>
  <c r="J19" i="7"/>
  <c r="F623" i="6"/>
  <c r="N623" i="6" s="1"/>
  <c r="O623" i="6" s="1"/>
  <c r="J623" i="5"/>
  <c r="G623" i="6" s="1"/>
  <c r="I623" i="5"/>
  <c r="H623" i="5"/>
  <c r="S595" i="6"/>
  <c r="B614" i="6"/>
  <c r="F592" i="6"/>
  <c r="N592" i="6" s="1"/>
  <c r="O592" i="6" s="1"/>
  <c r="H592" i="5"/>
  <c r="I592" i="5" s="1"/>
  <c r="J592" i="5"/>
  <c r="G592" i="6" s="1"/>
  <c r="F619" i="6"/>
  <c r="N619" i="6" s="1"/>
  <c r="O619" i="6" s="1"/>
  <c r="I619" i="5"/>
  <c r="J619" i="5"/>
  <c r="G619" i="6" s="1"/>
  <c r="H619" i="5"/>
  <c r="H498" i="6"/>
  <c r="R498" i="6" s="1"/>
  <c r="F438" i="6"/>
  <c r="N438" i="6" s="1"/>
  <c r="O438" i="6" s="1"/>
  <c r="H438" i="5"/>
  <c r="J438" i="5"/>
  <c r="G438" i="6" s="1"/>
  <c r="I438" i="5"/>
  <c r="F419" i="6"/>
  <c r="N419" i="6" s="1"/>
  <c r="O419" i="6" s="1"/>
  <c r="H419" i="5"/>
  <c r="J419" i="5"/>
  <c r="G419" i="6" s="1"/>
  <c r="I419" i="5"/>
  <c r="B404" i="6"/>
  <c r="B532" i="6"/>
  <c r="T461" i="6"/>
  <c r="T529" i="6"/>
  <c r="S506" i="6"/>
  <c r="S578" i="6"/>
  <c r="F477" i="6"/>
  <c r="N477" i="6" s="1"/>
  <c r="O477" i="6" s="1"/>
  <c r="J477" i="5"/>
  <c r="G477" i="6" s="1"/>
  <c r="I477" i="5"/>
  <c r="H477" i="5"/>
  <c r="T552" i="6"/>
  <c r="S451" i="6"/>
  <c r="F515" i="6"/>
  <c r="N515" i="6" s="1"/>
  <c r="O515" i="6" s="1"/>
  <c r="J515" i="5"/>
  <c r="G515" i="6" s="1"/>
  <c r="I515" i="5"/>
  <c r="H515" i="5"/>
  <c r="T491" i="6"/>
  <c r="B440" i="6"/>
  <c r="S411" i="6"/>
  <c r="F293" i="6"/>
  <c r="N293" i="6" s="1"/>
  <c r="O293" i="6" s="1"/>
  <c r="H293" i="5"/>
  <c r="J293" i="5"/>
  <c r="G293" i="6" s="1"/>
  <c r="I293" i="5"/>
  <c r="F261" i="6"/>
  <c r="N261" i="6" s="1"/>
  <c r="O261" i="6" s="1"/>
  <c r="I261" i="5"/>
  <c r="H261" i="5"/>
  <c r="J261" i="5"/>
  <c r="G261" i="6" s="1"/>
  <c r="S497" i="6"/>
  <c r="W473" i="6"/>
  <c r="S568" i="6"/>
  <c r="T539" i="6"/>
  <c r="T504" i="6"/>
  <c r="G489" i="5"/>
  <c r="H453" i="6"/>
  <c r="R453" i="6" s="1"/>
  <c r="W453" i="6"/>
  <c r="F395" i="6"/>
  <c r="N395" i="6" s="1"/>
  <c r="O395" i="6" s="1"/>
  <c r="J395" i="5"/>
  <c r="G395" i="6" s="1"/>
  <c r="I395" i="5"/>
  <c r="H395" i="5"/>
  <c r="T412" i="6"/>
  <c r="I535" i="6"/>
  <c r="Q535" i="6" s="1"/>
  <c r="S322" i="6"/>
  <c r="S291" i="6"/>
  <c r="S429" i="6"/>
  <c r="F315" i="6"/>
  <c r="N315" i="6" s="1"/>
  <c r="O315" i="6" s="1"/>
  <c r="I315" i="5"/>
  <c r="J315" i="5"/>
  <c r="G315" i="6" s="1"/>
  <c r="H315" i="5"/>
  <c r="S308" i="6"/>
  <c r="S347" i="6"/>
  <c r="T239" i="6"/>
  <c r="B222" i="6"/>
  <c r="T255" i="6"/>
  <c r="S296" i="6"/>
  <c r="J90" i="5"/>
  <c r="G90" i="6" s="1"/>
  <c r="F74" i="6"/>
  <c r="N74" i="6" s="1"/>
  <c r="O74" i="6" s="1"/>
  <c r="I74" i="5"/>
  <c r="J74" i="5"/>
  <c r="G74" i="6" s="1"/>
  <c r="H74" i="5"/>
  <c r="F58" i="6"/>
  <c r="N58" i="6" s="1"/>
  <c r="O58" i="6" s="1"/>
  <c r="I58" i="5"/>
  <c r="J58" i="5"/>
  <c r="G58" i="6" s="1"/>
  <c r="J58" i="6" s="1"/>
  <c r="S58" i="6" s="1"/>
  <c r="H58" i="5"/>
  <c r="F42" i="6"/>
  <c r="N42" i="6" s="1"/>
  <c r="O42" i="6" s="1"/>
  <c r="H42" i="5"/>
  <c r="J42" i="5"/>
  <c r="G42" i="6" s="1"/>
  <c r="I42" i="5"/>
  <c r="B180" i="6"/>
  <c r="F131" i="6"/>
  <c r="N131" i="6" s="1"/>
  <c r="O131" i="6" s="1"/>
  <c r="J131" i="5"/>
  <c r="G131" i="6" s="1"/>
  <c r="I131" i="5"/>
  <c r="H131" i="5"/>
  <c r="F323" i="6"/>
  <c r="N323" i="6" s="1"/>
  <c r="O323" i="6" s="1"/>
  <c r="I323" i="5"/>
  <c r="J323" i="5"/>
  <c r="G323" i="6" s="1"/>
  <c r="H323" i="5"/>
  <c r="T202" i="6"/>
  <c r="F174" i="6"/>
  <c r="N174" i="6" s="1"/>
  <c r="O174" i="6" s="1"/>
  <c r="H174" i="5"/>
  <c r="J174" i="5"/>
  <c r="G174" i="6" s="1"/>
  <c r="I174" i="5"/>
  <c r="S344" i="6"/>
  <c r="B155" i="6"/>
  <c r="F134" i="6"/>
  <c r="N134" i="6" s="1"/>
  <c r="O134" i="6" s="1"/>
  <c r="H134" i="5"/>
  <c r="J134" i="5"/>
  <c r="G134" i="6" s="1"/>
  <c r="I134" i="5"/>
  <c r="T245" i="6"/>
  <c r="F138" i="6"/>
  <c r="N138" i="6" s="1"/>
  <c r="O138" i="6" s="1"/>
  <c r="J138" i="5"/>
  <c r="G138" i="6" s="1"/>
  <c r="I138" i="5"/>
  <c r="H138" i="5"/>
  <c r="S117" i="6"/>
  <c r="E24" i="6"/>
  <c r="G24" i="5"/>
  <c r="F20" i="6"/>
  <c r="N20" i="6" s="1"/>
  <c r="O20" i="6" s="1"/>
  <c r="J20" i="5"/>
  <c r="G20" i="6" s="1"/>
  <c r="I20" i="5"/>
  <c r="H20" i="5"/>
  <c r="R300" i="6"/>
  <c r="G288" i="5"/>
  <c r="H280" i="6"/>
  <c r="R280" i="6" s="1"/>
  <c r="W280" i="6"/>
  <c r="B220" i="6"/>
  <c r="F81" i="6"/>
  <c r="N81" i="6" s="1"/>
  <c r="O81" i="6" s="1"/>
  <c r="J81" i="5"/>
  <c r="G81" i="6" s="1"/>
  <c r="I81" i="5"/>
  <c r="H81" i="5"/>
  <c r="B74" i="6"/>
  <c r="J46" i="5"/>
  <c r="G46" i="6" s="1"/>
  <c r="F17" i="6"/>
  <c r="N17" i="6" s="1"/>
  <c r="O17" i="6" s="1"/>
  <c r="J17" i="5"/>
  <c r="G17" i="6" s="1"/>
  <c r="I17" i="5"/>
  <c r="H17" i="5"/>
  <c r="B10" i="6"/>
  <c r="I117" i="6"/>
  <c r="Q117" i="6" s="1"/>
  <c r="H322" i="6"/>
  <c r="R322" i="6" s="1"/>
  <c r="T236" i="6"/>
  <c r="S210" i="6"/>
  <c r="G187" i="5"/>
  <c r="I181" i="6"/>
  <c r="Q181" i="6" s="1"/>
  <c r="T154" i="6"/>
  <c r="G485" i="5"/>
  <c r="T278" i="6"/>
  <c r="T254" i="6"/>
  <c r="F237" i="6"/>
  <c r="N237" i="6" s="1"/>
  <c r="O237" i="6" s="1"/>
  <c r="J237" i="5"/>
  <c r="G237" i="6" s="1"/>
  <c r="I237" i="5"/>
  <c r="H237" i="5"/>
  <c r="J17" i="7"/>
  <c r="G23" i="7"/>
  <c r="G21" i="7"/>
  <c r="G19" i="7"/>
  <c r="G17" i="7"/>
  <c r="G15" i="7"/>
  <c r="F594" i="6"/>
  <c r="N594" i="6" s="1"/>
  <c r="O594" i="6" s="1"/>
  <c r="I594" i="5"/>
  <c r="J594" i="5"/>
  <c r="G594" i="6" s="1"/>
  <c r="H594" i="5"/>
  <c r="J606" i="5"/>
  <c r="G606" i="6" s="1"/>
  <c r="H606" i="5"/>
  <c r="I606" i="5" s="1"/>
  <c r="F483" i="6"/>
  <c r="N483" i="6" s="1"/>
  <c r="O483" i="6" s="1"/>
  <c r="J483" i="5"/>
  <c r="G483" i="6" s="1"/>
  <c r="I483" i="5"/>
  <c r="H483" i="5"/>
  <c r="F460" i="6"/>
  <c r="N460" i="6" s="1"/>
  <c r="O460" i="6" s="1"/>
  <c r="J460" i="5"/>
  <c r="G460" i="6" s="1"/>
  <c r="I460" i="5"/>
  <c r="H460" i="5"/>
  <c r="G565" i="5"/>
  <c r="G547" i="5"/>
  <c r="T496" i="6"/>
  <c r="F520" i="6"/>
  <c r="N520" i="6" s="1"/>
  <c r="O520" i="6" s="1"/>
  <c r="H520" i="5"/>
  <c r="J520" i="5"/>
  <c r="G520" i="6" s="1"/>
  <c r="I520" i="5"/>
  <c r="F595" i="6"/>
  <c r="N595" i="6" s="1"/>
  <c r="O595" i="6" s="1"/>
  <c r="J595" i="5"/>
  <c r="G595" i="6" s="1"/>
  <c r="I595" i="5"/>
  <c r="H595" i="5"/>
  <c r="G505" i="5"/>
  <c r="S520" i="6"/>
  <c r="H514" i="6"/>
  <c r="R514" i="6" s="1"/>
  <c r="W514" i="6"/>
  <c r="F500" i="6"/>
  <c r="N500" i="6" s="1"/>
  <c r="O500" i="6" s="1"/>
  <c r="J500" i="5"/>
  <c r="G500" i="6" s="1"/>
  <c r="H500" i="5"/>
  <c r="I500" i="5"/>
  <c r="F451" i="6"/>
  <c r="N451" i="6" s="1"/>
  <c r="O451" i="6" s="1"/>
  <c r="H451" i="5"/>
  <c r="I451" i="5" s="1"/>
  <c r="J451" i="5"/>
  <c r="G451" i="6" s="1"/>
  <c r="G589" i="5"/>
  <c r="S576" i="6"/>
  <c r="S570" i="6"/>
  <c r="H482" i="6"/>
  <c r="R482" i="6" s="1"/>
  <c r="W482" i="6"/>
  <c r="S453" i="6"/>
  <c r="F430" i="6"/>
  <c r="N430" i="6" s="1"/>
  <c r="O430" i="6" s="1"/>
  <c r="H430" i="5"/>
  <c r="I430" i="5"/>
  <c r="J430" i="5"/>
  <c r="G430" i="6" s="1"/>
  <c r="F411" i="6"/>
  <c r="H411" i="5"/>
  <c r="I411" i="5" s="1"/>
  <c r="J411" i="5"/>
  <c r="G411" i="6" s="1"/>
  <c r="E367" i="6"/>
  <c r="G367" i="5"/>
  <c r="F563" i="6"/>
  <c r="N563" i="6" s="1"/>
  <c r="O563" i="6" s="1"/>
  <c r="I563" i="5"/>
  <c r="H563" i="5"/>
  <c r="J563" i="5"/>
  <c r="G563" i="6" s="1"/>
  <c r="F560" i="6"/>
  <c r="N560" i="6" s="1"/>
  <c r="O560" i="6" s="1"/>
  <c r="H560" i="5"/>
  <c r="J560" i="5"/>
  <c r="G560" i="6" s="1"/>
  <c r="I560" i="5"/>
  <c r="S504" i="6"/>
  <c r="F459" i="6"/>
  <c r="N459" i="6" s="1"/>
  <c r="O459" i="6" s="1"/>
  <c r="J459" i="5"/>
  <c r="G459" i="6" s="1"/>
  <c r="I459" i="5"/>
  <c r="H459" i="5"/>
  <c r="T435" i="6"/>
  <c r="T413" i="6"/>
  <c r="F379" i="6"/>
  <c r="N379" i="6" s="1"/>
  <c r="O379" i="6" s="1"/>
  <c r="I379" i="5"/>
  <c r="J379" i="5"/>
  <c r="G379" i="6" s="1"/>
  <c r="H379" i="5"/>
  <c r="H299" i="6"/>
  <c r="R299" i="6" s="1"/>
  <c r="W299" i="6"/>
  <c r="T380" i="6"/>
  <c r="H334" i="6"/>
  <c r="R334" i="6" s="1"/>
  <c r="T271" i="6"/>
  <c r="F418" i="6"/>
  <c r="N418" i="6" s="1"/>
  <c r="O418" i="6" s="1"/>
  <c r="J418" i="5"/>
  <c r="G418" i="6" s="1"/>
  <c r="H418" i="5"/>
  <c r="I418" i="5"/>
  <c r="G385" i="5"/>
  <c r="H258" i="6"/>
  <c r="R258" i="6" s="1"/>
  <c r="F362" i="6"/>
  <c r="N362" i="6" s="1"/>
  <c r="O362" i="6" s="1"/>
  <c r="J362" i="5"/>
  <c r="G362" i="6" s="1"/>
  <c r="I362" i="5"/>
  <c r="H362" i="5"/>
  <c r="G344" i="5"/>
  <c r="S316" i="6"/>
  <c r="F413" i="6"/>
  <c r="N413" i="6" s="1"/>
  <c r="O413" i="6" s="1"/>
  <c r="J413" i="5"/>
  <c r="G413" i="6" s="1"/>
  <c r="I413" i="5"/>
  <c r="H413" i="5"/>
  <c r="S346" i="6"/>
  <c r="T304" i="6"/>
  <c r="B273" i="6"/>
  <c r="I377" i="6"/>
  <c r="Q377" i="6" s="1"/>
  <c r="H103" i="6"/>
  <c r="R103" i="6" s="1"/>
  <c r="F50" i="6"/>
  <c r="N50" i="6" s="1"/>
  <c r="O50" i="6" s="1"/>
  <c r="F34" i="6"/>
  <c r="N34" i="6" s="1"/>
  <c r="O34" i="6" s="1"/>
  <c r="I34" i="5"/>
  <c r="J34" i="5"/>
  <c r="G34" i="6" s="1"/>
  <c r="H34" i="5"/>
  <c r="F18" i="6"/>
  <c r="N18" i="6" s="1"/>
  <c r="O18" i="6" s="1"/>
  <c r="I18" i="5"/>
  <c r="J18" i="5"/>
  <c r="G18" i="6" s="1"/>
  <c r="H18" i="5"/>
  <c r="I14" i="6"/>
  <c r="Q14" i="6" s="1"/>
  <c r="F271" i="6"/>
  <c r="T244" i="6"/>
  <c r="F5" i="6"/>
  <c r="N5" i="6" s="1"/>
  <c r="O5" i="6" s="1"/>
  <c r="H236" i="6"/>
  <c r="R236" i="6" s="1"/>
  <c r="W236" i="6"/>
  <c r="F194" i="6"/>
  <c r="N194" i="6" s="1"/>
  <c r="O194" i="6" s="1"/>
  <c r="I194" i="5"/>
  <c r="H194" i="5"/>
  <c r="J194" i="5"/>
  <c r="G194" i="6" s="1"/>
  <c r="J194" i="6" s="1"/>
  <c r="S194" i="6" s="1"/>
  <c r="T173" i="6"/>
  <c r="F152" i="6"/>
  <c r="N152" i="6" s="1"/>
  <c r="O152" i="6" s="1"/>
  <c r="I152" i="5"/>
  <c r="H152" i="5"/>
  <c r="J152" i="5"/>
  <c r="G152" i="6" s="1"/>
  <c r="B175" i="6"/>
  <c r="B144" i="6"/>
  <c r="T133" i="6"/>
  <c r="B111" i="6"/>
  <c r="F75" i="6"/>
  <c r="N75" i="6" s="1"/>
  <c r="O75" i="6" s="1"/>
  <c r="J75" i="5"/>
  <c r="G75" i="6" s="1"/>
  <c r="I75" i="5"/>
  <c r="H75" i="5"/>
  <c r="F19" i="6"/>
  <c r="N19" i="6" s="1"/>
  <c r="O19" i="6" s="1"/>
  <c r="J19" i="5"/>
  <c r="G19" i="6" s="1"/>
  <c r="I19" i="5"/>
  <c r="H19" i="5"/>
  <c r="T410" i="6"/>
  <c r="G287" i="5"/>
  <c r="S245" i="6"/>
  <c r="H180" i="6"/>
  <c r="R180" i="6" s="1"/>
  <c r="F136" i="6"/>
  <c r="N136" i="6" s="1"/>
  <c r="O136" i="6" s="1"/>
  <c r="J136" i="5"/>
  <c r="G136" i="6" s="1"/>
  <c r="I136" i="5"/>
  <c r="H136" i="5"/>
  <c r="H55" i="6"/>
  <c r="R55" i="6" s="1"/>
  <c r="W55" i="6"/>
  <c r="I300" i="6"/>
  <c r="Q300" i="6" s="1"/>
  <c r="W243" i="6"/>
  <c r="H243" i="6"/>
  <c r="R243" i="6" s="1"/>
  <c r="G226" i="5"/>
  <c r="F73" i="6"/>
  <c r="N73" i="6" s="1"/>
  <c r="O73" i="6" s="1"/>
  <c r="J73" i="5"/>
  <c r="I73" i="5"/>
  <c r="H73" i="5"/>
  <c r="B66" i="6"/>
  <c r="G128" i="5"/>
  <c r="S101" i="6"/>
  <c r="G28" i="5"/>
  <c r="F274" i="6"/>
  <c r="N274" i="6" s="1"/>
  <c r="O274" i="6" s="1"/>
  <c r="J274" i="5"/>
  <c r="G274" i="6" s="1"/>
  <c r="I274" i="5"/>
  <c r="H274" i="5"/>
  <c r="F254" i="6"/>
  <c r="N254" i="6" s="1"/>
  <c r="O254" i="6" s="1"/>
  <c r="J254" i="5"/>
  <c r="G254" i="6" s="1"/>
  <c r="I254" i="5"/>
  <c r="H254" i="5"/>
  <c r="G246" i="5"/>
  <c r="T194" i="6"/>
  <c r="F356" i="6"/>
  <c r="N356" i="6" s="1"/>
  <c r="O356" i="6" s="1"/>
  <c r="H356" i="5"/>
  <c r="J356" i="5"/>
  <c r="G356" i="6" s="1"/>
  <c r="I356" i="5"/>
  <c r="H17" i="7"/>
  <c r="H15" i="7"/>
  <c r="J610" i="5"/>
  <c r="G610" i="6" s="1"/>
  <c r="J610" i="6" s="1"/>
  <c r="S610" i="6" s="1"/>
  <c r="F621" i="6"/>
  <c r="N621" i="6" s="1"/>
  <c r="O621" i="6" s="1"/>
  <c r="J621" i="5"/>
  <c r="G621" i="6" s="1"/>
  <c r="J621" i="6" s="1"/>
  <c r="S621" i="6" s="1"/>
  <c r="I621" i="5"/>
  <c r="H621" i="5"/>
  <c r="H584" i="5"/>
  <c r="I584" i="5" s="1"/>
  <c r="B564" i="6"/>
  <c r="F555" i="6"/>
  <c r="N555" i="6" s="1"/>
  <c r="O555" i="6" s="1"/>
  <c r="I555" i="5"/>
  <c r="H555" i="5"/>
  <c r="J555" i="5"/>
  <c r="G555" i="6" s="1"/>
  <c r="F552" i="6"/>
  <c r="N552" i="6" s="1"/>
  <c r="O552" i="6" s="1"/>
  <c r="H552" i="5"/>
  <c r="J552" i="5"/>
  <c r="G552" i="6" s="1"/>
  <c r="I552" i="5"/>
  <c r="B468" i="6"/>
  <c r="F582" i="6"/>
  <c r="N582" i="6" s="1"/>
  <c r="O582" i="6" s="1"/>
  <c r="J582" i="5"/>
  <c r="G582" i="6" s="1"/>
  <c r="I582" i="5"/>
  <c r="H582" i="5"/>
  <c r="T483" i="6"/>
  <c r="F443" i="6"/>
  <c r="N443" i="6" s="1"/>
  <c r="O443" i="6" s="1"/>
  <c r="I443" i="5"/>
  <c r="H443" i="5"/>
  <c r="J443" i="5"/>
  <c r="G443" i="6" s="1"/>
  <c r="H437" i="6"/>
  <c r="R437" i="6" s="1"/>
  <c r="S528" i="6"/>
  <c r="F539" i="6"/>
  <c r="N539" i="6" s="1"/>
  <c r="O539" i="6" s="1"/>
  <c r="I539" i="5"/>
  <c r="H539" i="5"/>
  <c r="J539" i="5"/>
  <c r="G539" i="6" s="1"/>
  <c r="F536" i="6"/>
  <c r="N536" i="6" s="1"/>
  <c r="O536" i="6" s="1"/>
  <c r="H536" i="5"/>
  <c r="J536" i="5"/>
  <c r="G536" i="6" s="1"/>
  <c r="I536" i="5"/>
  <c r="F441" i="6"/>
  <c r="N441" i="6" s="1"/>
  <c r="O441" i="6" s="1"/>
  <c r="I441" i="5"/>
  <c r="J441" i="5"/>
  <c r="G441" i="6" s="1"/>
  <c r="H441" i="5"/>
  <c r="S536" i="6"/>
  <c r="F475" i="6"/>
  <c r="N475" i="6" s="1"/>
  <c r="O475" i="6" s="1"/>
  <c r="I475" i="5"/>
  <c r="H475" i="5"/>
  <c r="J475" i="5"/>
  <c r="G475" i="6" s="1"/>
  <c r="E446" i="6"/>
  <c r="G446" i="5"/>
  <c r="B438" i="6"/>
  <c r="J365" i="5"/>
  <c r="G365" i="6" s="1"/>
  <c r="H365" i="5"/>
  <c r="I365" i="5" s="1"/>
  <c r="F333" i="6"/>
  <c r="N333" i="6" s="1"/>
  <c r="O333" i="6" s="1"/>
  <c r="I333" i="5"/>
  <c r="H333" i="5"/>
  <c r="J333" i="5"/>
  <c r="G333" i="6" s="1"/>
  <c r="F317" i="6"/>
  <c r="N317" i="6" s="1"/>
  <c r="O317" i="6" s="1"/>
  <c r="J317" i="5"/>
  <c r="G317" i="6" s="1"/>
  <c r="I317" i="5"/>
  <c r="H317" i="5"/>
  <c r="F253" i="6"/>
  <c r="N253" i="6" s="1"/>
  <c r="O253" i="6" s="1"/>
  <c r="J253" i="5"/>
  <c r="G253" i="6" s="1"/>
  <c r="I253" i="5"/>
  <c r="H253" i="5"/>
  <c r="H554" i="6"/>
  <c r="R554" i="6" s="1"/>
  <c r="W554" i="6"/>
  <c r="G529" i="5"/>
  <c r="F504" i="6"/>
  <c r="N504" i="6" s="1"/>
  <c r="O504" i="6" s="1"/>
  <c r="J504" i="5"/>
  <c r="G504" i="6" s="1"/>
  <c r="H504" i="5"/>
  <c r="I504" i="5" s="1"/>
  <c r="F464" i="6"/>
  <c r="N464" i="6" s="1"/>
  <c r="O464" i="6" s="1"/>
  <c r="I464" i="5"/>
  <c r="H464" i="5"/>
  <c r="J464" i="5"/>
  <c r="G464" i="6" s="1"/>
  <c r="S434" i="6"/>
  <c r="G425" i="5"/>
  <c r="B322" i="6"/>
  <c r="E304" i="6"/>
  <c r="G304" i="5"/>
  <c r="W461" i="6"/>
  <c r="H461" i="6"/>
  <c r="R461" i="6" s="1"/>
  <c r="E307" i="6"/>
  <c r="G307" i="5"/>
  <c r="H458" i="6"/>
  <c r="R458" i="6" s="1"/>
  <c r="W458" i="6"/>
  <c r="F403" i="6"/>
  <c r="N403" i="6" s="1"/>
  <c r="O403" i="6" s="1"/>
  <c r="J403" i="5"/>
  <c r="G403" i="6" s="1"/>
  <c r="I403" i="5"/>
  <c r="H403" i="5"/>
  <c r="T381" i="6"/>
  <c r="F346" i="6"/>
  <c r="N346" i="6" s="1"/>
  <c r="O346" i="6" s="1"/>
  <c r="J346" i="5"/>
  <c r="G346" i="6" s="1"/>
  <c r="H346" i="5"/>
  <c r="I346" i="5"/>
  <c r="S304" i="6"/>
  <c r="F298" i="6"/>
  <c r="N298" i="6" s="1"/>
  <c r="O298" i="6" s="1"/>
  <c r="J298" i="5"/>
  <c r="G298" i="6" s="1"/>
  <c r="I298" i="5"/>
  <c r="H298" i="5"/>
  <c r="G245" i="5"/>
  <c r="S392" i="6"/>
  <c r="F342" i="6"/>
  <c r="N342" i="6" s="1"/>
  <c r="O342" i="6" s="1"/>
  <c r="J342" i="5"/>
  <c r="G342" i="6" s="1"/>
  <c r="H342" i="5"/>
  <c r="I342" i="5"/>
  <c r="H170" i="5"/>
  <c r="I170" i="5" s="1"/>
  <c r="B103" i="6"/>
  <c r="F238" i="6"/>
  <c r="N238" i="6" s="1"/>
  <c r="O238" i="6" s="1"/>
  <c r="J238" i="5"/>
  <c r="G238" i="6" s="1"/>
  <c r="I238" i="5"/>
  <c r="H238" i="5"/>
  <c r="S109" i="6"/>
  <c r="H193" i="6"/>
  <c r="R193" i="6" s="1"/>
  <c r="G188" i="5"/>
  <c r="H173" i="6"/>
  <c r="R173" i="6" s="1"/>
  <c r="W173" i="6"/>
  <c r="H122" i="6"/>
  <c r="R122" i="6" s="1"/>
  <c r="W122" i="6"/>
  <c r="F101" i="6"/>
  <c r="N101" i="6" s="1"/>
  <c r="O101" i="6" s="1"/>
  <c r="J101" i="5"/>
  <c r="G101" i="6" s="1"/>
  <c r="I101" i="5"/>
  <c r="H101" i="5"/>
  <c r="F83" i="6"/>
  <c r="N83" i="6" s="1"/>
  <c r="O83" i="6" s="1"/>
  <c r="J83" i="5"/>
  <c r="G83" i="6" s="1"/>
  <c r="I83" i="5"/>
  <c r="H83" i="5"/>
  <c r="W255" i="6"/>
  <c r="F216" i="6"/>
  <c r="N216" i="6" s="1"/>
  <c r="O216" i="6" s="1"/>
  <c r="H216" i="5"/>
  <c r="J216" i="5"/>
  <c r="G216" i="6" s="1"/>
  <c r="I216" i="5"/>
  <c r="E64" i="6"/>
  <c r="G64" i="5"/>
  <c r="F60" i="6"/>
  <c r="N60" i="6" s="1"/>
  <c r="O60" i="6" s="1"/>
  <c r="J60" i="5"/>
  <c r="G60" i="6" s="1"/>
  <c r="I60" i="5"/>
  <c r="H60" i="5"/>
  <c r="H256" i="6"/>
  <c r="R256" i="6" s="1"/>
  <c r="W256" i="6"/>
  <c r="F140" i="6"/>
  <c r="N140" i="6" s="1"/>
  <c r="O140" i="6" s="1"/>
  <c r="J140" i="5"/>
  <c r="G140" i="6" s="1"/>
  <c r="I140" i="5"/>
  <c r="H140" i="5"/>
  <c r="F118" i="6"/>
  <c r="N118" i="6" s="1"/>
  <c r="O118" i="6" s="1"/>
  <c r="H118" i="5"/>
  <c r="J118" i="5"/>
  <c r="G118" i="6" s="1"/>
  <c r="I118" i="5"/>
  <c r="B58" i="6"/>
  <c r="T163" i="6"/>
  <c r="W360" i="6"/>
  <c r="H360" i="6"/>
  <c r="R360" i="6" s="1"/>
  <c r="G186" i="5"/>
  <c r="B590" i="6"/>
  <c r="F622" i="6"/>
  <c r="N622" i="6" s="1"/>
  <c r="O622" i="6" s="1"/>
  <c r="J622" i="5"/>
  <c r="G622" i="6" s="1"/>
  <c r="I622" i="5"/>
  <c r="H622" i="5"/>
  <c r="F600" i="6"/>
  <c r="N600" i="6" s="1"/>
  <c r="O600" i="6" s="1"/>
  <c r="I600" i="5"/>
  <c r="H600" i="5"/>
  <c r="J600" i="5"/>
  <c r="G600" i="6" s="1"/>
  <c r="E509" i="6"/>
  <c r="G509" i="5"/>
  <c r="F593" i="6"/>
  <c r="N593" i="6" s="1"/>
  <c r="O593" i="6" s="1"/>
  <c r="J593" i="5"/>
  <c r="G593" i="6" s="1"/>
  <c r="I593" i="5"/>
  <c r="H593" i="5"/>
  <c r="F542" i="6"/>
  <c r="N542" i="6" s="1"/>
  <c r="O542" i="6" s="1"/>
  <c r="J542" i="5"/>
  <c r="G542" i="6" s="1"/>
  <c r="I542" i="5"/>
  <c r="H542" i="5"/>
  <c r="F570" i="6"/>
  <c r="N570" i="6" s="1"/>
  <c r="O570" i="6" s="1"/>
  <c r="H518" i="6"/>
  <c r="R518" i="6" s="1"/>
  <c r="S458" i="6"/>
  <c r="F497" i="6"/>
  <c r="N497" i="6" s="1"/>
  <c r="O497" i="6" s="1"/>
  <c r="I497" i="5"/>
  <c r="J497" i="5"/>
  <c r="G497" i="6" s="1"/>
  <c r="H497" i="5"/>
  <c r="E468" i="6"/>
  <c r="G468" i="5"/>
  <c r="F401" i="6"/>
  <c r="N401" i="6" s="1"/>
  <c r="O401" i="6" s="1"/>
  <c r="I401" i="5"/>
  <c r="H401" i="5"/>
  <c r="J401" i="5"/>
  <c r="G401" i="6" s="1"/>
  <c r="E389" i="6"/>
  <c r="G389" i="5"/>
  <c r="F603" i="6"/>
  <c r="N603" i="6" s="1"/>
  <c r="O603" i="6" s="1"/>
  <c r="J603" i="5"/>
  <c r="G603" i="6" s="1"/>
  <c r="I603" i="5"/>
  <c r="H603" i="5"/>
  <c r="J492" i="5"/>
  <c r="G492" i="6" s="1"/>
  <c r="F531" i="6"/>
  <c r="N531" i="6" s="1"/>
  <c r="O531" i="6" s="1"/>
  <c r="I531" i="5"/>
  <c r="H531" i="5"/>
  <c r="J531" i="5"/>
  <c r="G531" i="6" s="1"/>
  <c r="W398" i="6"/>
  <c r="F381" i="6"/>
  <c r="N381" i="6" s="1"/>
  <c r="O381" i="6" s="1"/>
  <c r="I381" i="5"/>
  <c r="J381" i="5"/>
  <c r="G381" i="6" s="1"/>
  <c r="H381" i="5"/>
  <c r="H296" i="6"/>
  <c r="R296" i="6" s="1"/>
  <c r="W296" i="6"/>
  <c r="E348" i="6"/>
  <c r="G348" i="5"/>
  <c r="B257" i="6"/>
  <c r="R434" i="6"/>
  <c r="F386" i="6"/>
  <c r="N386" i="6" s="1"/>
  <c r="O386" i="6" s="1"/>
  <c r="J386" i="5"/>
  <c r="G386" i="6" s="1"/>
  <c r="H386" i="5"/>
  <c r="I386" i="5" s="1"/>
  <c r="T419" i="6"/>
  <c r="B407" i="6"/>
  <c r="B372" i="6"/>
  <c r="B346" i="6"/>
  <c r="B250" i="6"/>
  <c r="F354" i="6"/>
  <c r="N354" i="6" s="1"/>
  <c r="O354" i="6" s="1"/>
  <c r="J354" i="5"/>
  <c r="G354" i="6" s="1"/>
  <c r="I354" i="5"/>
  <c r="H354" i="5"/>
  <c r="H378" i="6"/>
  <c r="R378" i="6" s="1"/>
  <c r="W378" i="6"/>
  <c r="F244" i="6"/>
  <c r="N244" i="6" s="1"/>
  <c r="O244" i="6" s="1"/>
  <c r="H244" i="5"/>
  <c r="I244" i="5" s="1"/>
  <c r="J244" i="5"/>
  <c r="G244" i="6" s="1"/>
  <c r="B376" i="6"/>
  <c r="T332" i="6"/>
  <c r="H215" i="6"/>
  <c r="R215" i="6" s="1"/>
  <c r="W215" i="6"/>
  <c r="B142" i="6"/>
  <c r="F115" i="6"/>
  <c r="N115" i="6" s="1"/>
  <c r="O115" i="6" s="1"/>
  <c r="H115" i="5"/>
  <c r="J115" i="5"/>
  <c r="G115" i="6" s="1"/>
  <c r="I115" i="5"/>
  <c r="F35" i="6"/>
  <c r="N35" i="6" s="1"/>
  <c r="O35" i="6" s="1"/>
  <c r="J35" i="5"/>
  <c r="G35" i="6" s="1"/>
  <c r="I35" i="5"/>
  <c r="H35" i="5"/>
  <c r="S410" i="6"/>
  <c r="F302" i="6"/>
  <c r="N302" i="6" s="1"/>
  <c r="O302" i="6" s="1"/>
  <c r="J302" i="5"/>
  <c r="G302" i="6" s="1"/>
  <c r="I302" i="5"/>
  <c r="H302" i="5"/>
  <c r="W279" i="6"/>
  <c r="R255" i="6"/>
  <c r="F200" i="6"/>
  <c r="N200" i="6" s="1"/>
  <c r="O200" i="6" s="1"/>
  <c r="H200" i="5"/>
  <c r="J200" i="5"/>
  <c r="G200" i="6" s="1"/>
  <c r="J200" i="6" s="1"/>
  <c r="S200" i="6" s="1"/>
  <c r="I200" i="5"/>
  <c r="F129" i="6"/>
  <c r="N129" i="6" s="1"/>
  <c r="O129" i="6" s="1"/>
  <c r="J129" i="5"/>
  <c r="G129" i="6" s="1"/>
  <c r="H129" i="5"/>
  <c r="I129" i="5" s="1"/>
  <c r="H116" i="6"/>
  <c r="R116" i="6" s="1"/>
  <c r="W116" i="6"/>
  <c r="S272" i="6"/>
  <c r="J190" i="5"/>
  <c r="G190" i="6" s="1"/>
  <c r="J190" i="6" s="1"/>
  <c r="S190" i="6" s="1"/>
  <c r="H190" i="5"/>
  <c r="I190" i="5"/>
  <c r="F182" i="6"/>
  <c r="N182" i="6" s="1"/>
  <c r="O182" i="6" s="1"/>
  <c r="H182" i="5"/>
  <c r="J182" i="5"/>
  <c r="G182" i="6" s="1"/>
  <c r="I182" i="5"/>
  <c r="F153" i="6"/>
  <c r="N153" i="6" s="1"/>
  <c r="O153" i="6" s="1"/>
  <c r="I153" i="5"/>
  <c r="J153" i="5"/>
  <c r="G153" i="6" s="1"/>
  <c r="H153" i="5"/>
  <c r="F57" i="6"/>
  <c r="N57" i="6" s="1"/>
  <c r="O57" i="6" s="1"/>
  <c r="J57" i="5"/>
  <c r="G57" i="6" s="1"/>
  <c r="I57" i="5"/>
  <c r="H57" i="5"/>
  <c r="B50" i="6"/>
  <c r="F123" i="6"/>
  <c r="N123" i="6" s="1"/>
  <c r="O123" i="6" s="1"/>
  <c r="J123" i="5"/>
  <c r="G123" i="6" s="1"/>
  <c r="I123" i="5"/>
  <c r="H123" i="5"/>
  <c r="H474" i="6"/>
  <c r="R474" i="6" s="1"/>
  <c r="W474" i="6"/>
  <c r="H316" i="6"/>
  <c r="R316" i="6" s="1"/>
  <c r="W316" i="6"/>
  <c r="S236" i="6"/>
  <c r="F219" i="6"/>
  <c r="N219" i="6" s="1"/>
  <c r="O219" i="6" s="1"/>
  <c r="I219" i="5"/>
  <c r="J219" i="5"/>
  <c r="G219" i="6" s="1"/>
  <c r="H219" i="5"/>
  <c r="T141" i="6"/>
  <c r="F240" i="6"/>
  <c r="N240" i="6" s="1"/>
  <c r="O240" i="6" s="1"/>
  <c r="H240" i="5"/>
  <c r="I240" i="5"/>
  <c r="J240" i="5"/>
  <c r="G240" i="6" s="1"/>
  <c r="I102" i="6"/>
  <c r="Q102" i="6" s="1"/>
  <c r="C22" i="7"/>
  <c r="E25" i="7"/>
  <c r="H18" i="7"/>
  <c r="C25" i="7"/>
  <c r="L14" i="7"/>
  <c r="F601" i="6"/>
  <c r="N601" i="6" s="1"/>
  <c r="O601" i="6" s="1"/>
  <c r="J601" i="5"/>
  <c r="G601" i="6" s="1"/>
  <c r="I601" i="5"/>
  <c r="H601" i="5"/>
  <c r="F561" i="6"/>
  <c r="N561" i="6" s="1"/>
  <c r="O561" i="6" s="1"/>
  <c r="J561" i="5"/>
  <c r="G561" i="6" s="1"/>
  <c r="I561" i="5"/>
  <c r="H561" i="5"/>
  <c r="F516" i="6"/>
  <c r="N516" i="6" s="1"/>
  <c r="O516" i="6" s="1"/>
  <c r="J516" i="5"/>
  <c r="G516" i="6" s="1"/>
  <c r="H516" i="5"/>
  <c r="I516" i="5"/>
  <c r="F396" i="6"/>
  <c r="N396" i="6" s="1"/>
  <c r="O396" i="6" s="1"/>
  <c r="J396" i="5"/>
  <c r="G396" i="6" s="1"/>
  <c r="H396" i="5"/>
  <c r="I396" i="5"/>
  <c r="S546" i="6"/>
  <c r="S522" i="6"/>
  <c r="H481" i="6"/>
  <c r="R481" i="6" s="1"/>
  <c r="W481" i="6"/>
  <c r="T474" i="6"/>
  <c r="F442" i="6"/>
  <c r="N442" i="6" s="1"/>
  <c r="O442" i="6" s="1"/>
  <c r="H442" i="5"/>
  <c r="J442" i="5"/>
  <c r="G442" i="6" s="1"/>
  <c r="I442" i="5"/>
  <c r="G384" i="5"/>
  <c r="F534" i="6"/>
  <c r="N534" i="6" s="1"/>
  <c r="O534" i="6" s="1"/>
  <c r="J534" i="5"/>
  <c r="G534" i="6" s="1"/>
  <c r="I534" i="5"/>
  <c r="H534" i="5"/>
  <c r="G549" i="5"/>
  <c r="S498" i="6"/>
  <c r="F387" i="6"/>
  <c r="N387" i="6" s="1"/>
  <c r="O387" i="6" s="1"/>
  <c r="H387" i="5"/>
  <c r="I387" i="5" s="1"/>
  <c r="J387" i="5"/>
  <c r="G387" i="6" s="1"/>
  <c r="S512" i="6"/>
  <c r="B460" i="6"/>
  <c r="F452" i="6"/>
  <c r="F277" i="6"/>
  <c r="N277" i="6" s="1"/>
  <c r="O277" i="6" s="1"/>
  <c r="J277" i="5"/>
  <c r="G277" i="6" s="1"/>
  <c r="I277" i="5"/>
  <c r="H277" i="5"/>
  <c r="W583" i="6"/>
  <c r="S562" i="6"/>
  <c r="N604" i="6"/>
  <c r="O604" i="6" s="1"/>
  <c r="B572" i="6"/>
  <c r="T515" i="6"/>
  <c r="J481" i="6"/>
  <c r="S481" i="6" s="1"/>
  <c r="F456" i="6"/>
  <c r="N456" i="6" s="1"/>
  <c r="O456" i="6" s="1"/>
  <c r="J456" i="5"/>
  <c r="G456" i="6" s="1"/>
  <c r="I456" i="5"/>
  <c r="H456" i="5"/>
  <c r="B302" i="6"/>
  <c r="E248" i="6"/>
  <c r="G248" i="5"/>
  <c r="G444" i="5"/>
  <c r="T312" i="6"/>
  <c r="I434" i="6"/>
  <c r="Q434" i="6" s="1"/>
  <c r="S360" i="6"/>
  <c r="S419" i="6"/>
  <c r="B387" i="6"/>
  <c r="B340" i="6"/>
  <c r="B314" i="6"/>
  <c r="B297" i="6"/>
  <c r="S256" i="6"/>
  <c r="T300" i="6"/>
  <c r="I399" i="6"/>
  <c r="Q399" i="6" s="1"/>
  <c r="F414" i="6"/>
  <c r="N414" i="6" s="1"/>
  <c r="O414" i="6" s="1"/>
  <c r="H414" i="5"/>
  <c r="J414" i="5"/>
  <c r="G414" i="6" s="1"/>
  <c r="I414" i="5"/>
  <c r="F308" i="6"/>
  <c r="N308" i="6" s="1"/>
  <c r="O308" i="6" s="1"/>
  <c r="H308" i="5"/>
  <c r="J308" i="5"/>
  <c r="G308" i="6" s="1"/>
  <c r="I308" i="5"/>
  <c r="F161" i="6"/>
  <c r="N161" i="6" s="1"/>
  <c r="O161" i="6" s="1"/>
  <c r="I161" i="5"/>
  <c r="J161" i="5"/>
  <c r="G161" i="6" s="1"/>
  <c r="H161" i="5"/>
  <c r="F107" i="6"/>
  <c r="J107" i="5"/>
  <c r="G107" i="6" s="1"/>
  <c r="H107" i="5"/>
  <c r="I107" i="5" s="1"/>
  <c r="B107" i="6"/>
  <c r="T376" i="6"/>
  <c r="H283" i="6"/>
  <c r="R283" i="6" s="1"/>
  <c r="W283" i="6"/>
  <c r="H259" i="6"/>
  <c r="R259" i="6" s="1"/>
  <c r="W259" i="6"/>
  <c r="B242" i="6"/>
  <c r="S162" i="6"/>
  <c r="S155" i="6"/>
  <c r="G267" i="5"/>
  <c r="F179" i="6"/>
  <c r="N179" i="6" s="1"/>
  <c r="O179" i="6" s="1"/>
  <c r="J179" i="5"/>
  <c r="G179" i="6" s="1"/>
  <c r="I179" i="5"/>
  <c r="H179" i="5"/>
  <c r="H91" i="5"/>
  <c r="I91" i="5" s="1"/>
  <c r="F43" i="6"/>
  <c r="N43" i="6" s="1"/>
  <c r="O43" i="6" s="1"/>
  <c r="J43" i="5"/>
  <c r="G43" i="6" s="1"/>
  <c r="I43" i="5"/>
  <c r="H43" i="5"/>
  <c r="E8" i="6"/>
  <c r="G8" i="5"/>
  <c r="R279" i="6"/>
  <c r="H177" i="6"/>
  <c r="R177" i="6" s="1"/>
  <c r="W177" i="6"/>
  <c r="H142" i="6"/>
  <c r="R142" i="6" s="1"/>
  <c r="H133" i="6"/>
  <c r="R133" i="6" s="1"/>
  <c r="W133" i="6"/>
  <c r="G284" i="5"/>
  <c r="W275" i="6"/>
  <c r="S221" i="6"/>
  <c r="S204" i="6"/>
  <c r="W196" i="6"/>
  <c r="H196" i="6"/>
  <c r="R196" i="6" s="1"/>
  <c r="T181" i="6"/>
  <c r="B42" i="6"/>
  <c r="F113" i="6"/>
  <c r="N113" i="6" s="1"/>
  <c r="O113" i="6" s="1"/>
  <c r="I113" i="5"/>
  <c r="J113" i="5"/>
  <c r="G113" i="6" s="1"/>
  <c r="H113" i="5"/>
  <c r="F100" i="6"/>
  <c r="N100" i="6" s="1"/>
  <c r="O100" i="6" s="1"/>
  <c r="J100" i="5"/>
  <c r="G100" i="6" s="1"/>
  <c r="I100" i="5"/>
  <c r="H100" i="5"/>
  <c r="F268" i="6"/>
  <c r="N268" i="6" s="1"/>
  <c r="O268" i="6" s="1"/>
  <c r="H268" i="5"/>
  <c r="I268" i="5" s="1"/>
  <c r="J268" i="5"/>
  <c r="G268" i="6" s="1"/>
  <c r="I183" i="6"/>
  <c r="Q183" i="6" s="1"/>
  <c r="U183" i="6" s="1"/>
  <c r="F92" i="6"/>
  <c r="N92" i="6" s="1"/>
  <c r="O92" i="6" s="1"/>
  <c r="J92" i="5"/>
  <c r="G92" i="6" s="1"/>
  <c r="H92" i="5"/>
  <c r="I92" i="5" s="1"/>
  <c r="F52" i="6"/>
  <c r="J52" i="5"/>
  <c r="G52" i="6" s="1"/>
  <c r="H52" i="5"/>
  <c r="I52" i="5" s="1"/>
  <c r="H276" i="6"/>
  <c r="R276" i="6" s="1"/>
  <c r="W276" i="6"/>
  <c r="G109" i="5"/>
  <c r="G149" i="5"/>
  <c r="H164" i="6"/>
  <c r="R164" i="6" s="1"/>
  <c r="H16" i="7"/>
  <c r="G24" i="7"/>
  <c r="D23" i="7"/>
  <c r="D21" i="7"/>
  <c r="D19" i="7"/>
  <c r="D17" i="7"/>
  <c r="D15" i="7"/>
  <c r="L6" i="7"/>
  <c r="L8" i="7"/>
  <c r="B598" i="6"/>
  <c r="H618" i="6"/>
  <c r="R618" i="6" s="1"/>
  <c r="W618" i="6"/>
  <c r="F620" i="6"/>
  <c r="N620" i="6" s="1"/>
  <c r="O620" i="6" s="1"/>
  <c r="I620" i="5"/>
  <c r="J620" i="5"/>
  <c r="G620" i="6" s="1"/>
  <c r="H620" i="5"/>
  <c r="F537" i="6"/>
  <c r="N537" i="6" s="1"/>
  <c r="O537" i="6" s="1"/>
  <c r="J537" i="5"/>
  <c r="G537" i="6" s="1"/>
  <c r="I537" i="5"/>
  <c r="H537" i="5"/>
  <c r="S571" i="6"/>
  <c r="F513" i="6"/>
  <c r="N513" i="6" s="1"/>
  <c r="O513" i="6" s="1"/>
  <c r="I513" i="5"/>
  <c r="J513" i="5"/>
  <c r="G513" i="6" s="1"/>
  <c r="H513" i="5"/>
  <c r="S552" i="6"/>
  <c r="S523" i="6"/>
  <c r="F579" i="6"/>
  <c r="N579" i="6" s="1"/>
  <c r="O579" i="6" s="1"/>
  <c r="I579" i="5"/>
  <c r="H579" i="5"/>
  <c r="J579" i="5"/>
  <c r="G579" i="6" s="1"/>
  <c r="F576" i="6"/>
  <c r="N576" i="6" s="1"/>
  <c r="O576" i="6" s="1"/>
  <c r="H576" i="5"/>
  <c r="J576" i="5"/>
  <c r="G576" i="6" s="1"/>
  <c r="I576" i="5"/>
  <c r="S544" i="6"/>
  <c r="S538" i="6"/>
  <c r="T499" i="6"/>
  <c r="E508" i="6"/>
  <c r="G508" i="5"/>
  <c r="B580" i="6"/>
  <c r="F496" i="6"/>
  <c r="N496" i="6" s="1"/>
  <c r="O496" i="6" s="1"/>
  <c r="J496" i="5"/>
  <c r="G496" i="6" s="1"/>
  <c r="I496" i="5"/>
  <c r="H496" i="5"/>
  <c r="H480" i="6"/>
  <c r="R480" i="6" s="1"/>
  <c r="W480" i="6"/>
  <c r="T451" i="6"/>
  <c r="E327" i="6"/>
  <c r="G327" i="5"/>
  <c r="H455" i="6"/>
  <c r="R455" i="6" s="1"/>
  <c r="H400" i="6"/>
  <c r="R400" i="6" s="1"/>
  <c r="W400" i="6"/>
  <c r="T443" i="6"/>
  <c r="S403" i="6"/>
  <c r="F345" i="6"/>
  <c r="N345" i="6" s="1"/>
  <c r="O345" i="6" s="1"/>
  <c r="H345" i="5"/>
  <c r="I345" i="5" s="1"/>
  <c r="J345" i="5"/>
  <c r="B281" i="6"/>
  <c r="W415" i="6"/>
  <c r="H415" i="6"/>
  <c r="R415" i="6" s="1"/>
  <c r="S312" i="6"/>
  <c r="H282" i="6"/>
  <c r="R282" i="6" s="1"/>
  <c r="S348" i="6"/>
  <c r="F339" i="6"/>
  <c r="N339" i="6" s="1"/>
  <c r="O339" i="6" s="1"/>
  <c r="I339" i="5"/>
  <c r="H339" i="5"/>
  <c r="J339" i="5"/>
  <c r="G339" i="6" s="1"/>
  <c r="S239" i="6"/>
  <c r="H422" i="6"/>
  <c r="R422" i="6" s="1"/>
  <c r="W422" i="6"/>
  <c r="F407" i="6"/>
  <c r="J407" i="5"/>
  <c r="G407" i="6" s="1"/>
  <c r="H407" i="5"/>
  <c r="I407" i="5" s="1"/>
  <c r="T387" i="6"/>
  <c r="F363" i="6"/>
  <c r="N363" i="6" s="1"/>
  <c r="O363" i="6" s="1"/>
  <c r="I363" i="5"/>
  <c r="J363" i="5"/>
  <c r="G363" i="6" s="1"/>
  <c r="H363" i="5"/>
  <c r="G266" i="5"/>
  <c r="B248" i="6"/>
  <c r="F318" i="6"/>
  <c r="N318" i="6" s="1"/>
  <c r="O318" i="6" s="1"/>
  <c r="J318" i="5"/>
  <c r="G318" i="6" s="1"/>
  <c r="H318" i="5"/>
  <c r="I318" i="5"/>
  <c r="T276" i="6"/>
  <c r="T252" i="6"/>
  <c r="B362" i="6"/>
  <c r="F208" i="6"/>
  <c r="H208" i="5"/>
  <c r="I208" i="5" s="1"/>
  <c r="J208" i="5"/>
  <c r="B167" i="6"/>
  <c r="F146" i="6"/>
  <c r="N146" i="6" s="1"/>
  <c r="O146" i="6" s="1"/>
  <c r="J146" i="5"/>
  <c r="G146" i="6" s="1"/>
  <c r="H146" i="5"/>
  <c r="I146" i="5" s="1"/>
  <c r="W336" i="6"/>
  <c r="H336" i="6"/>
  <c r="R336" i="6" s="1"/>
  <c r="H233" i="6"/>
  <c r="R233" i="6" s="1"/>
  <c r="W233" i="6"/>
  <c r="B116" i="6"/>
  <c r="H29" i="5"/>
  <c r="I29" i="5" s="1"/>
  <c r="S247" i="6"/>
  <c r="F211" i="6"/>
  <c r="N211" i="6" s="1"/>
  <c r="O211" i="6" s="1"/>
  <c r="J211" i="5"/>
  <c r="G211" i="6" s="1"/>
  <c r="H211" i="5"/>
  <c r="I211" i="5" s="1"/>
  <c r="F155" i="6"/>
  <c r="N155" i="6" s="1"/>
  <c r="O155" i="6" s="1"/>
  <c r="J155" i="5"/>
  <c r="G155" i="6" s="1"/>
  <c r="I155" i="5"/>
  <c r="H155" i="5"/>
  <c r="F24" i="7"/>
  <c r="E24" i="7"/>
  <c r="F22" i="7"/>
  <c r="F20" i="7"/>
  <c r="F18" i="7"/>
  <c r="F16" i="7"/>
  <c r="F14" i="7"/>
  <c r="F12" i="7"/>
  <c r="F10" i="7"/>
  <c r="F7" i="7"/>
  <c r="F8" i="7"/>
  <c r="F6" i="7"/>
  <c r="E18" i="7"/>
  <c r="E20" i="7"/>
  <c r="E16" i="7"/>
  <c r="E22" i="7"/>
  <c r="I7" i="7"/>
  <c r="P4" i="6"/>
  <c r="S4" i="6" s="1"/>
  <c r="B344" i="6"/>
  <c r="B164" i="6"/>
  <c r="F114" i="6"/>
  <c r="N114" i="6" s="1"/>
  <c r="O114" i="6" s="1"/>
  <c r="J114" i="5"/>
  <c r="G114" i="6" s="1"/>
  <c r="I114" i="5"/>
  <c r="H114" i="5"/>
  <c r="F99" i="6"/>
  <c r="N99" i="6" s="1"/>
  <c r="O99" i="6" s="1"/>
  <c r="J99" i="5"/>
  <c r="G99" i="6" s="1"/>
  <c r="I99" i="5"/>
  <c r="H99" i="5"/>
  <c r="G68" i="5"/>
  <c r="G44" i="5"/>
  <c r="Q279" i="6"/>
  <c r="S139" i="6"/>
  <c r="F127" i="6"/>
  <c r="N127" i="6" s="1"/>
  <c r="O127" i="6" s="1"/>
  <c r="J127" i="5"/>
  <c r="G127" i="6" s="1"/>
  <c r="I127" i="5"/>
  <c r="H127" i="5"/>
  <c r="H39" i="6"/>
  <c r="R39" i="6" s="1"/>
  <c r="W39" i="6"/>
  <c r="R275" i="6"/>
  <c r="S254" i="6"/>
  <c r="S163" i="6"/>
  <c r="W137" i="6"/>
  <c r="S106" i="6"/>
  <c r="B98" i="6"/>
  <c r="F41" i="6"/>
  <c r="N41" i="6" s="1"/>
  <c r="O41" i="6" s="1"/>
  <c r="J41" i="5"/>
  <c r="G41" i="6" s="1"/>
  <c r="I41" i="5"/>
  <c r="H41" i="5"/>
  <c r="B34" i="6"/>
  <c r="F12" i="6"/>
  <c r="N12" i="6" s="1"/>
  <c r="O12" i="6" s="1"/>
  <c r="J12" i="5"/>
  <c r="G12" i="6" s="1"/>
  <c r="H12" i="5"/>
  <c r="I12" i="5" s="1"/>
  <c r="F278" i="6"/>
  <c r="N278" i="6" s="1"/>
  <c r="O278" i="6" s="1"/>
  <c r="J278" i="5"/>
  <c r="G278" i="6" s="1"/>
  <c r="I278" i="5"/>
  <c r="H278" i="5"/>
  <c r="S268" i="6"/>
  <c r="S238" i="6"/>
  <c r="F213" i="6"/>
  <c r="N213" i="6" s="1"/>
  <c r="O213" i="6" s="1"/>
  <c r="J213" i="5"/>
  <c r="G213" i="6" s="1"/>
  <c r="I213" i="5"/>
  <c r="H213" i="5"/>
  <c r="F203" i="6"/>
  <c r="N203" i="6" s="1"/>
  <c r="O203" i="6" s="1"/>
  <c r="I203" i="5"/>
  <c r="J203" i="5"/>
  <c r="G203" i="6" s="1"/>
  <c r="H203" i="5"/>
  <c r="S154" i="6"/>
  <c r="F51" i="6" l="1"/>
  <c r="N51" i="6" s="1"/>
  <c r="O51" i="6" s="1"/>
  <c r="J470" i="5"/>
  <c r="G470" i="6" s="1"/>
  <c r="J470" i="6" s="1"/>
  <c r="S470" i="6" s="1"/>
  <c r="J609" i="5"/>
  <c r="G609" i="6" s="1"/>
  <c r="I350" i="5"/>
  <c r="F306" i="6"/>
  <c r="N306" i="6" s="1"/>
  <c r="O306" i="6" s="1"/>
  <c r="F609" i="6"/>
  <c r="N609" i="6" s="1"/>
  <c r="O609" i="6" s="1"/>
  <c r="W501" i="6"/>
  <c r="F350" i="6"/>
  <c r="N350" i="6" s="1"/>
  <c r="O350" i="6" s="1"/>
  <c r="H263" i="6"/>
  <c r="R263" i="6" s="1"/>
  <c r="H320" i="6"/>
  <c r="R320" i="6" s="1"/>
  <c r="H51" i="5"/>
  <c r="I51" i="5" s="1"/>
  <c r="H124" i="5"/>
  <c r="I124" i="5" s="1"/>
  <c r="H409" i="5"/>
  <c r="I409" i="5"/>
  <c r="J168" i="5"/>
  <c r="G168" i="6" s="1"/>
  <c r="F168" i="6"/>
  <c r="N168" i="6" s="1"/>
  <c r="O168" i="6" s="1"/>
  <c r="W180" i="6"/>
  <c r="H218" i="6"/>
  <c r="R218" i="6" s="1"/>
  <c r="J570" i="5"/>
  <c r="G570" i="6" s="1"/>
  <c r="W570" i="6" s="1"/>
  <c r="W604" i="6"/>
  <c r="H10" i="5"/>
  <c r="I10" i="5" s="1"/>
  <c r="F371" i="6"/>
  <c r="N371" i="6" s="1"/>
  <c r="O371" i="6" s="1"/>
  <c r="H604" i="6"/>
  <c r="R604" i="6" s="1"/>
  <c r="F472" i="6"/>
  <c r="N472" i="6" s="1"/>
  <c r="O472" i="6" s="1"/>
  <c r="F10" i="6"/>
  <c r="N10" i="6" s="1"/>
  <c r="O10" i="6" s="1"/>
  <c r="J330" i="5"/>
  <c r="G330" i="6" s="1"/>
  <c r="J330" i="6" s="1"/>
  <c r="S330" i="6" s="1"/>
  <c r="H325" i="5"/>
  <c r="U102" i="6"/>
  <c r="I325" i="5"/>
  <c r="W591" i="6"/>
  <c r="J325" i="5"/>
  <c r="G325" i="6" s="1"/>
  <c r="H551" i="5"/>
  <c r="I551" i="5" s="1"/>
  <c r="W423" i="6"/>
  <c r="H598" i="6"/>
  <c r="R598" i="6" s="1"/>
  <c r="W164" i="6"/>
  <c r="H49" i="5"/>
  <c r="I49" i="5" s="1"/>
  <c r="H558" i="6"/>
  <c r="R558" i="6" s="1"/>
  <c r="F49" i="6"/>
  <c r="N49" i="6" s="1"/>
  <c r="O49" i="6" s="1"/>
  <c r="F170" i="6"/>
  <c r="N170" i="6" s="1"/>
  <c r="O170" i="6" s="1"/>
  <c r="H466" i="6"/>
  <c r="R466" i="6" s="1"/>
  <c r="W466" i="6"/>
  <c r="W193" i="6"/>
  <c r="F330" i="6"/>
  <c r="N330" i="6" s="1"/>
  <c r="O330" i="6" s="1"/>
  <c r="H169" i="5"/>
  <c r="F169" i="6"/>
  <c r="N169" i="6" s="1"/>
  <c r="O169" i="6" s="1"/>
  <c r="H175" i="6"/>
  <c r="R175" i="6" s="1"/>
  <c r="J5" i="5"/>
  <c r="G5" i="6" s="1"/>
  <c r="J169" i="5"/>
  <c r="G169" i="6" s="1"/>
  <c r="H169" i="6" s="1"/>
  <c r="R169" i="6" s="1"/>
  <c r="H567" i="5"/>
  <c r="I567" i="5" s="1"/>
  <c r="H172" i="5"/>
  <c r="I172" i="5" s="1"/>
  <c r="J227" i="5"/>
  <c r="G227" i="6" s="1"/>
  <c r="J232" i="5"/>
  <c r="G232" i="6" s="1"/>
  <c r="H232" i="6" s="1"/>
  <c r="H232" i="5"/>
  <c r="W63" i="6"/>
  <c r="H306" i="5"/>
  <c r="I306" i="5" s="1"/>
  <c r="H517" i="6"/>
  <c r="R517" i="6" s="1"/>
  <c r="J409" i="5"/>
  <c r="G409" i="6" s="1"/>
  <c r="W409" i="6" s="1"/>
  <c r="F150" i="6"/>
  <c r="N150" i="6" s="1"/>
  <c r="O150" i="6" s="1"/>
  <c r="H150" i="5"/>
  <c r="I150" i="5" s="1"/>
  <c r="H90" i="5"/>
  <c r="I90" i="5" s="1"/>
  <c r="H452" i="5"/>
  <c r="I452" i="5" s="1"/>
  <c r="H50" i="5"/>
  <c r="I50" i="5" s="1"/>
  <c r="H432" i="5"/>
  <c r="I432" i="5" s="1"/>
  <c r="I150" i="6"/>
  <c r="Q150" i="6" s="1"/>
  <c r="F206" i="6"/>
  <c r="N206" i="6" s="1"/>
  <c r="O206" i="6" s="1"/>
  <c r="H25" i="5"/>
  <c r="I25" i="5" s="1"/>
  <c r="I352" i="6"/>
  <c r="Q352" i="6" s="1"/>
  <c r="U352" i="6" s="1"/>
  <c r="J172" i="5"/>
  <c r="G172" i="6" s="1"/>
  <c r="H172" i="6" s="1"/>
  <c r="R172" i="6" s="1"/>
  <c r="I5" i="5"/>
  <c r="J309" i="5"/>
  <c r="G309" i="6" s="1"/>
  <c r="H309" i="6" s="1"/>
  <c r="R309" i="6" s="1"/>
  <c r="J250" i="5"/>
  <c r="G250" i="6" s="1"/>
  <c r="H250" i="6" s="1"/>
  <c r="R250" i="6" s="1"/>
  <c r="H192" i="5"/>
  <c r="I192" i="5" s="1"/>
  <c r="H610" i="5"/>
  <c r="I610" i="5" s="1"/>
  <c r="J567" i="5"/>
  <c r="G567" i="6" s="1"/>
  <c r="N567" i="6" s="1"/>
  <c r="O567" i="6" s="1"/>
  <c r="J432" i="5"/>
  <c r="G432" i="6" s="1"/>
  <c r="W432" i="6" s="1"/>
  <c r="F392" i="6"/>
  <c r="N392" i="6" s="1"/>
  <c r="O392" i="6" s="1"/>
  <c r="J431" i="5"/>
  <c r="G431" i="6" s="1"/>
  <c r="N431" i="6" s="1"/>
  <c r="O431" i="6" s="1"/>
  <c r="F530" i="6"/>
  <c r="N530" i="6" s="1"/>
  <c r="O530" i="6" s="1"/>
  <c r="H392" i="5"/>
  <c r="I392" i="5"/>
  <c r="J340" i="6"/>
  <c r="S340" i="6" s="1"/>
  <c r="H350" i="5"/>
  <c r="W15" i="6"/>
  <c r="J124" i="5"/>
  <c r="G124" i="6" s="1"/>
  <c r="H124" i="6" s="1"/>
  <c r="R124" i="6" s="1"/>
  <c r="H431" i="5"/>
  <c r="I431" i="5" s="1"/>
  <c r="H15" i="6"/>
  <c r="R15" i="6" s="1"/>
  <c r="J586" i="5"/>
  <c r="G586" i="6" s="1"/>
  <c r="W586" i="6" s="1"/>
  <c r="W222" i="6"/>
  <c r="H530" i="5"/>
  <c r="I530" i="5" s="1"/>
  <c r="J230" i="5"/>
  <c r="G230" i="6" s="1"/>
  <c r="W230" i="6" s="1"/>
  <c r="H230" i="5"/>
  <c r="I230" i="5" s="1"/>
  <c r="W102" i="6"/>
  <c r="H349" i="5"/>
  <c r="I349" i="5" s="1"/>
  <c r="H428" i="5"/>
  <c r="I428" i="5" s="1"/>
  <c r="F428" i="6"/>
  <c r="N428" i="6" s="1"/>
  <c r="O428" i="6" s="1"/>
  <c r="H262" i="6"/>
  <c r="R262" i="6" s="1"/>
  <c r="F104" i="6"/>
  <c r="N104" i="6" s="1"/>
  <c r="O104" i="6" s="1"/>
  <c r="U503" i="6"/>
  <c r="F370" i="6"/>
  <c r="N370" i="6" s="1"/>
  <c r="O370" i="6" s="1"/>
  <c r="J370" i="5"/>
  <c r="G370" i="6" s="1"/>
  <c r="H370" i="6" s="1"/>
  <c r="R370" i="6" s="1"/>
  <c r="W294" i="6"/>
  <c r="W382" i="6"/>
  <c r="J616" i="6"/>
  <c r="S616" i="6" s="1"/>
  <c r="W616" i="6"/>
  <c r="W614" i="6"/>
  <c r="I297" i="6"/>
  <c r="Q297" i="6" s="1"/>
  <c r="U297" i="6" s="1"/>
  <c r="H11" i="5"/>
  <c r="I11" i="5" s="1"/>
  <c r="W201" i="6"/>
  <c r="J126" i="5"/>
  <c r="G126" i="6" s="1"/>
  <c r="H126" i="6" s="1"/>
  <c r="R126" i="6" s="1"/>
  <c r="J11" i="5"/>
  <c r="G11" i="6" s="1"/>
  <c r="N11" i="6" s="1"/>
  <c r="O11" i="6" s="1"/>
  <c r="J410" i="5"/>
  <c r="G410" i="6" s="1"/>
  <c r="H410" i="6" s="1"/>
  <c r="R410" i="6" s="1"/>
  <c r="H311" i="5"/>
  <c r="I311" i="5" s="1"/>
  <c r="J612" i="5"/>
  <c r="G612" i="6" s="1"/>
  <c r="H612" i="6" s="1"/>
  <c r="R612" i="6" s="1"/>
  <c r="N292" i="6"/>
  <c r="O292" i="6" s="1"/>
  <c r="J165" i="5"/>
  <c r="G165" i="6" s="1"/>
  <c r="H165" i="6" s="1"/>
  <c r="R165" i="6" s="1"/>
  <c r="J448" i="5"/>
  <c r="G448" i="6" s="1"/>
  <c r="H448" i="6" s="1"/>
  <c r="R448" i="6" s="1"/>
  <c r="J551" i="5"/>
  <c r="G551" i="6" s="1"/>
  <c r="W551" i="6" s="1"/>
  <c r="W241" i="6"/>
  <c r="I96" i="6"/>
  <c r="Q96" i="6" s="1"/>
  <c r="U96" i="6" s="1"/>
  <c r="F165" i="6"/>
  <c r="N165" i="6" s="1"/>
  <c r="O165" i="6" s="1"/>
  <c r="I9" i="5"/>
  <c r="N305" i="6"/>
  <c r="O305" i="6" s="1"/>
  <c r="W599" i="6"/>
  <c r="H269" i="5"/>
  <c r="I269" i="5" s="1"/>
  <c r="W217" i="6"/>
  <c r="H6" i="5"/>
  <c r="I6" i="5" s="1"/>
  <c r="F289" i="6"/>
  <c r="N289" i="6" s="1"/>
  <c r="O289" i="6" s="1"/>
  <c r="H171" i="5"/>
  <c r="I171" i="5" s="1"/>
  <c r="I62" i="6"/>
  <c r="Q62" i="6" s="1"/>
  <c r="U62" i="6" s="1"/>
  <c r="W212" i="6"/>
  <c r="I472" i="5"/>
  <c r="J269" i="5"/>
  <c r="G269" i="6" s="1"/>
  <c r="H269" i="6" s="1"/>
  <c r="R269" i="6" s="1"/>
  <c r="H472" i="5"/>
  <c r="J6" i="5"/>
  <c r="G6" i="6" s="1"/>
  <c r="K6" i="6" s="1"/>
  <c r="T6" i="6" s="1"/>
  <c r="W305" i="6"/>
  <c r="J171" i="5"/>
  <c r="G171" i="6" s="1"/>
  <c r="H171" i="6" s="1"/>
  <c r="R171" i="6" s="1"/>
  <c r="J251" i="5"/>
  <c r="G251" i="6" s="1"/>
  <c r="H251" i="6" s="1"/>
  <c r="R251" i="6" s="1"/>
  <c r="F251" i="6"/>
  <c r="I191" i="6"/>
  <c r="Q191" i="6" s="1"/>
  <c r="F410" i="6"/>
  <c r="N410" i="6" s="1"/>
  <c r="O410" i="6" s="1"/>
  <c r="I119" i="6"/>
  <c r="Q119" i="6" s="1"/>
  <c r="U119" i="6" s="1"/>
  <c r="F309" i="6"/>
  <c r="H492" i="5"/>
  <c r="I492" i="5" s="1"/>
  <c r="I251" i="5"/>
  <c r="J615" i="6"/>
  <c r="S615" i="6" s="1"/>
  <c r="W231" i="6"/>
  <c r="H7" i="5"/>
  <c r="I7" i="5" s="1"/>
  <c r="F9" i="6"/>
  <c r="N9" i="6" s="1"/>
  <c r="O9" i="6" s="1"/>
  <c r="H526" i="5"/>
  <c r="I526" i="5" s="1"/>
  <c r="J112" i="5"/>
  <c r="G112" i="6" s="1"/>
  <c r="W112" i="6" s="1"/>
  <c r="H202" i="6"/>
  <c r="R202" i="6" s="1"/>
  <c r="J7" i="5"/>
  <c r="G7" i="6" s="1"/>
  <c r="N7" i="6" s="1"/>
  <c r="O7" i="6" s="1"/>
  <c r="J69" i="5"/>
  <c r="G69" i="6" s="1"/>
  <c r="N69" i="6" s="1"/>
  <c r="O69" i="6" s="1"/>
  <c r="F611" i="6"/>
  <c r="N611" i="6" s="1"/>
  <c r="O611" i="6" s="1"/>
  <c r="I231" i="6"/>
  <c r="Q231" i="6" s="1"/>
  <c r="U231" i="6" s="1"/>
  <c r="J66" i="5"/>
  <c r="G66" i="6" s="1"/>
  <c r="H66" i="6" s="1"/>
  <c r="R66" i="6" s="1"/>
  <c r="F526" i="6"/>
  <c r="N526" i="6" s="1"/>
  <c r="O526" i="6" s="1"/>
  <c r="W214" i="6"/>
  <c r="W183" i="6"/>
  <c r="H69" i="5"/>
  <c r="I69" i="5" s="1"/>
  <c r="J289" i="5"/>
  <c r="G289" i="6" s="1"/>
  <c r="H289" i="6" s="1"/>
  <c r="R289" i="6" s="1"/>
  <c r="W494" i="6"/>
  <c r="W23" i="6"/>
  <c r="H271" i="5"/>
  <c r="I271" i="5" s="1"/>
  <c r="H615" i="6"/>
  <c r="I615" i="6" s="1"/>
  <c r="Q615" i="6" s="1"/>
  <c r="W503" i="6"/>
  <c r="F391" i="6"/>
  <c r="W96" i="6"/>
  <c r="J202" i="6"/>
  <c r="S202" i="6" s="1"/>
  <c r="F525" i="6"/>
  <c r="N525" i="6" s="1"/>
  <c r="O525" i="6" s="1"/>
  <c r="H23" i="6"/>
  <c r="R23" i="6" s="1"/>
  <c r="W340" i="6"/>
  <c r="J91" i="5"/>
  <c r="G91" i="6" s="1"/>
  <c r="N91" i="6" s="1"/>
  <c r="O91" i="6" s="1"/>
  <c r="H545" i="5"/>
  <c r="I545" i="5" s="1"/>
  <c r="F67" i="6"/>
  <c r="N67" i="6" s="1"/>
  <c r="O67" i="6" s="1"/>
  <c r="F545" i="6"/>
  <c r="W545" i="6" s="1"/>
  <c r="J199" i="6"/>
  <c r="S199" i="6" s="1"/>
  <c r="H270" i="5"/>
  <c r="J390" i="5"/>
  <c r="G390" i="6" s="1"/>
  <c r="H390" i="6" s="1"/>
  <c r="R390" i="6" s="1"/>
  <c r="F29" i="6"/>
  <c r="N29" i="6" s="1"/>
  <c r="O29" i="6" s="1"/>
  <c r="H132" i="5"/>
  <c r="I132" i="5" s="1"/>
  <c r="H331" i="5"/>
  <c r="I331" i="5" s="1"/>
  <c r="F270" i="6"/>
  <c r="N270" i="6" s="1"/>
  <c r="O270" i="6" s="1"/>
  <c r="J332" i="5"/>
  <c r="G332" i="6" s="1"/>
  <c r="H332" i="6" s="1"/>
  <c r="R332" i="6" s="1"/>
  <c r="J132" i="5"/>
  <c r="G132" i="6" s="1"/>
  <c r="N132" i="6" s="1"/>
  <c r="O132" i="6" s="1"/>
  <c r="J224" i="5"/>
  <c r="G224" i="6" s="1"/>
  <c r="W224" i="6" s="1"/>
  <c r="H199" i="6"/>
  <c r="R199" i="6" s="1"/>
  <c r="J331" i="5"/>
  <c r="G331" i="6" s="1"/>
  <c r="N331" i="6" s="1"/>
  <c r="O331" i="6" s="1"/>
  <c r="H224" i="5"/>
  <c r="I224" i="5"/>
  <c r="H502" i="6"/>
  <c r="R502" i="6" s="1"/>
  <c r="I270" i="5"/>
  <c r="W282" i="6"/>
  <c r="J471" i="6"/>
  <c r="S471" i="6" s="1"/>
  <c r="H63" i="6"/>
  <c r="R63" i="6" s="1"/>
  <c r="J511" i="5"/>
  <c r="G511" i="6" s="1"/>
  <c r="W511" i="6" s="1"/>
  <c r="J324" i="5"/>
  <c r="G324" i="6" s="1"/>
  <c r="J324" i="6" s="1"/>
  <c r="S324" i="6" s="1"/>
  <c r="F252" i="6"/>
  <c r="N252" i="6" s="1"/>
  <c r="O252" i="6" s="1"/>
  <c r="H332" i="5"/>
  <c r="I332" i="5" s="1"/>
  <c r="W543" i="6"/>
  <c r="H206" i="5"/>
  <c r="I206" i="5" s="1"/>
  <c r="W223" i="6"/>
  <c r="H511" i="5"/>
  <c r="I511" i="5" s="1"/>
  <c r="H351" i="5"/>
  <c r="I351" i="5" s="1"/>
  <c r="J252" i="5"/>
  <c r="G252" i="6" s="1"/>
  <c r="J351" i="5"/>
  <c r="G351" i="6" s="1"/>
  <c r="H351" i="6" s="1"/>
  <c r="R351" i="6" s="1"/>
  <c r="N52" i="6"/>
  <c r="O52" i="6" s="1"/>
  <c r="H151" i="5"/>
  <c r="I151" i="5" s="1"/>
  <c r="I77" i="6"/>
  <c r="Q77" i="6" s="1"/>
  <c r="U77" i="6" s="1"/>
  <c r="F87" i="6"/>
  <c r="F151" i="6"/>
  <c r="N151" i="6" s="1"/>
  <c r="O151" i="6" s="1"/>
  <c r="I252" i="5"/>
  <c r="I390" i="5"/>
  <c r="H204" i="5"/>
  <c r="I204" i="5" s="1"/>
  <c r="J205" i="5"/>
  <c r="G205" i="6" s="1"/>
  <c r="H130" i="5"/>
  <c r="I130" i="5" s="1"/>
  <c r="N212" i="6"/>
  <c r="O212" i="6" s="1"/>
  <c r="F205" i="6"/>
  <c r="N205" i="6" s="1"/>
  <c r="O205" i="6" s="1"/>
  <c r="J130" i="5"/>
  <c r="G130" i="6" s="1"/>
  <c r="H130" i="6" s="1"/>
  <c r="W495" i="6"/>
  <c r="J532" i="5"/>
  <c r="G532" i="6" s="1"/>
  <c r="W532" i="6" s="1"/>
  <c r="N452" i="6"/>
  <c r="O452" i="6" s="1"/>
  <c r="F390" i="6"/>
  <c r="N390" i="6" s="1"/>
  <c r="O390" i="6" s="1"/>
  <c r="J311" i="5"/>
  <c r="G311" i="6" s="1"/>
  <c r="H311" i="6" s="1"/>
  <c r="R311" i="6" s="1"/>
  <c r="W572" i="6"/>
  <c r="H291" i="6"/>
  <c r="R291" i="6" s="1"/>
  <c r="J25" i="5"/>
  <c r="G25" i="6" s="1"/>
  <c r="W25" i="6" s="1"/>
  <c r="W300" i="6"/>
  <c r="I201" i="6"/>
  <c r="Q201" i="6" s="1"/>
  <c r="I249" i="6"/>
  <c r="Q249" i="6" s="1"/>
  <c r="H89" i="5"/>
  <c r="J201" i="6"/>
  <c r="S201" i="6" s="1"/>
  <c r="F291" i="6"/>
  <c r="N291" i="6" s="1"/>
  <c r="O291" i="6" s="1"/>
  <c r="W417" i="6"/>
  <c r="W322" i="6"/>
  <c r="W220" i="6"/>
  <c r="I89" i="5"/>
  <c r="J491" i="5"/>
  <c r="G491" i="6" s="1"/>
  <c r="N491" i="6" s="1"/>
  <c r="O491" i="6" s="1"/>
  <c r="I607" i="5"/>
  <c r="H291" i="5"/>
  <c r="I291" i="5" s="1"/>
  <c r="H165" i="5"/>
  <c r="J89" i="5"/>
  <c r="G89" i="6" s="1"/>
  <c r="W89" i="6" s="1"/>
  <c r="W450" i="6"/>
  <c r="H607" i="5"/>
  <c r="H71" i="5"/>
  <c r="I71" i="5" s="1"/>
  <c r="W119" i="6"/>
  <c r="N411" i="6"/>
  <c r="O411" i="6" s="1"/>
  <c r="N571" i="6"/>
  <c r="O571" i="6" s="1"/>
  <c r="W498" i="6"/>
  <c r="H249" i="5"/>
  <c r="N271" i="6"/>
  <c r="O271" i="6" s="1"/>
  <c r="I371" i="5"/>
  <c r="H31" i="5"/>
  <c r="I31" i="5" s="1"/>
  <c r="J191" i="6"/>
  <c r="S191" i="6" s="1"/>
  <c r="I111" i="5"/>
  <c r="W352" i="6"/>
  <c r="W518" i="6"/>
  <c r="J9" i="5"/>
  <c r="G9" i="6" s="1"/>
  <c r="J192" i="5"/>
  <c r="G192" i="6" s="1"/>
  <c r="W192" i="6" s="1"/>
  <c r="J371" i="5"/>
  <c r="G371" i="6" s="1"/>
  <c r="H371" i="6" s="1"/>
  <c r="R371" i="6" s="1"/>
  <c r="W121" i="6"/>
  <c r="I617" i="6"/>
  <c r="Q617" i="6" s="1"/>
  <c r="F191" i="6"/>
  <c r="N191" i="6" s="1"/>
  <c r="O191" i="6" s="1"/>
  <c r="W162" i="6"/>
  <c r="F111" i="6"/>
  <c r="N70" i="6"/>
  <c r="O70" i="6" s="1"/>
  <c r="N311" i="6"/>
  <c r="O311" i="6" s="1"/>
  <c r="J272" i="5"/>
  <c r="G272" i="6" s="1"/>
  <c r="N230" i="6"/>
  <c r="O230" i="6" s="1"/>
  <c r="N551" i="6"/>
  <c r="O551" i="6" s="1"/>
  <c r="U535" i="6"/>
  <c r="H310" i="5"/>
  <c r="I310" i="5" s="1"/>
  <c r="F310" i="6"/>
  <c r="N310" i="6" s="1"/>
  <c r="O310" i="6" s="1"/>
  <c r="J32" i="5"/>
  <c r="G32" i="6" s="1"/>
  <c r="H32" i="6" s="1"/>
  <c r="J31" i="5"/>
  <c r="G31" i="6" s="1"/>
  <c r="N31" i="6" s="1"/>
  <c r="O31" i="6" s="1"/>
  <c r="F250" i="6"/>
  <c r="N250" i="6" s="1"/>
  <c r="O250" i="6" s="1"/>
  <c r="I391" i="5"/>
  <c r="H191" i="5"/>
  <c r="I191" i="5" s="1"/>
  <c r="H32" i="5"/>
  <c r="I32" i="5" s="1"/>
  <c r="J310" i="5"/>
  <c r="G310" i="6" s="1"/>
  <c r="H310" i="6" s="1"/>
  <c r="R310" i="6" s="1"/>
  <c r="I581" i="6"/>
  <c r="Q581" i="6" s="1"/>
  <c r="U581" i="6" s="1"/>
  <c r="N550" i="6"/>
  <c r="O550" i="6" s="1"/>
  <c r="I250" i="5"/>
  <c r="J71" i="5"/>
  <c r="G71" i="6" s="1"/>
  <c r="J111" i="5"/>
  <c r="G111" i="6" s="1"/>
  <c r="H111" i="6" s="1"/>
  <c r="R111" i="6" s="1"/>
  <c r="W590" i="6"/>
  <c r="H272" i="5"/>
  <c r="I272" i="5" s="1"/>
  <c r="J391" i="5"/>
  <c r="G391" i="6" s="1"/>
  <c r="H391" i="6" s="1"/>
  <c r="R391" i="6" s="1"/>
  <c r="J584" i="5"/>
  <c r="G584" i="6" s="1"/>
  <c r="H584" i="6" s="1"/>
  <c r="R584" i="6" s="1"/>
  <c r="W334" i="6"/>
  <c r="F66" i="6"/>
  <c r="N66" i="6" s="1"/>
  <c r="O66" i="6" s="1"/>
  <c r="J614" i="6"/>
  <c r="S614" i="6" s="1"/>
  <c r="H366" i="5"/>
  <c r="I366" i="5" s="1"/>
  <c r="J86" i="5"/>
  <c r="G86" i="6" s="1"/>
  <c r="H86" i="6" s="1"/>
  <c r="R86" i="6" s="1"/>
  <c r="I85" i="5"/>
  <c r="J366" i="5"/>
  <c r="G366" i="6" s="1"/>
  <c r="W366" i="6" s="1"/>
  <c r="H491" i="5"/>
  <c r="I491" i="5" s="1"/>
  <c r="H324" i="5"/>
  <c r="I324" i="5" s="1"/>
  <c r="H566" i="5"/>
  <c r="I566" i="5" s="1"/>
  <c r="J607" i="5"/>
  <c r="G607" i="6" s="1"/>
  <c r="J607" i="6" s="1"/>
  <c r="S607" i="6" s="1"/>
  <c r="H412" i="5"/>
  <c r="I412" i="5" s="1"/>
  <c r="J85" i="5"/>
  <c r="G85" i="6" s="1"/>
  <c r="H85" i="6" s="1"/>
  <c r="R85" i="6" s="1"/>
  <c r="W420" i="6"/>
  <c r="I405" i="5"/>
  <c r="J566" i="5"/>
  <c r="G566" i="6" s="1"/>
  <c r="H566" i="6" s="1"/>
  <c r="R566" i="6" s="1"/>
  <c r="H72" i="5"/>
  <c r="H85" i="5"/>
  <c r="H405" i="5"/>
  <c r="H80" i="6"/>
  <c r="R80" i="6" s="1"/>
  <c r="I72" i="5"/>
  <c r="H65" i="5"/>
  <c r="I65" i="5" s="1"/>
  <c r="J412" i="5"/>
  <c r="G412" i="6" s="1"/>
  <c r="W412" i="6" s="1"/>
  <c r="H525" i="5"/>
  <c r="I525" i="5" s="1"/>
  <c r="J65" i="5"/>
  <c r="G65" i="6" s="1"/>
  <c r="J405" i="5"/>
  <c r="G405" i="6" s="1"/>
  <c r="H405" i="6" s="1"/>
  <c r="R405" i="6" s="1"/>
  <c r="W292" i="6"/>
  <c r="J608" i="5"/>
  <c r="G608" i="6" s="1"/>
  <c r="J608" i="6" s="1"/>
  <c r="S608" i="6" s="1"/>
  <c r="H532" i="5"/>
  <c r="I532" i="5" s="1"/>
  <c r="J72" i="5"/>
  <c r="G72" i="6" s="1"/>
  <c r="J490" i="5"/>
  <c r="G490" i="6" s="1"/>
  <c r="H611" i="5"/>
  <c r="I611" i="5" s="1"/>
  <c r="J67" i="5"/>
  <c r="G67" i="6" s="1"/>
  <c r="H67" i="6" s="1"/>
  <c r="R67" i="6" s="1"/>
  <c r="F490" i="6"/>
  <c r="N490" i="6" s="1"/>
  <c r="O490" i="6" s="1"/>
  <c r="H490" i="5"/>
  <c r="I490" i="5" s="1"/>
  <c r="H227" i="5"/>
  <c r="I227" i="5" s="1"/>
  <c r="F372" i="6"/>
  <c r="H372" i="5"/>
  <c r="I372" i="5" s="1"/>
  <c r="H110" i="5"/>
  <c r="I110" i="5" s="1"/>
  <c r="F110" i="6"/>
  <c r="N110" i="6" s="1"/>
  <c r="O110" i="6" s="1"/>
  <c r="J372" i="5"/>
  <c r="G372" i="6" s="1"/>
  <c r="H372" i="6" s="1"/>
  <c r="R372" i="6" s="1"/>
  <c r="F312" i="6"/>
  <c r="N312" i="6" s="1"/>
  <c r="O312" i="6" s="1"/>
  <c r="H312" i="5"/>
  <c r="J312" i="5"/>
  <c r="G312" i="6" s="1"/>
  <c r="I312" i="5"/>
  <c r="H144" i="5"/>
  <c r="H46" i="5"/>
  <c r="I46" i="5" s="1"/>
  <c r="W14" i="6"/>
  <c r="J110" i="5"/>
  <c r="G110" i="6" s="1"/>
  <c r="J144" i="5"/>
  <c r="G144" i="6" s="1"/>
  <c r="W144" i="6" s="1"/>
  <c r="F228" i="6"/>
  <c r="N228" i="6" s="1"/>
  <c r="O228" i="6" s="1"/>
  <c r="I217" i="6"/>
  <c r="Q217" i="6" s="1"/>
  <c r="U217" i="6" s="1"/>
  <c r="W77" i="6"/>
  <c r="F189" i="6"/>
  <c r="N189" i="6" s="1"/>
  <c r="O189" i="6" s="1"/>
  <c r="U398" i="6"/>
  <c r="I159" i="6"/>
  <c r="Q159" i="6" s="1"/>
  <c r="U159" i="6" s="1"/>
  <c r="H225" i="5"/>
  <c r="I225" i="5" s="1"/>
  <c r="W159" i="6"/>
  <c r="J225" i="5"/>
  <c r="G225" i="6" s="1"/>
  <c r="W225" i="6" s="1"/>
  <c r="F249" i="6"/>
  <c r="U591" i="6"/>
  <c r="J408" i="5"/>
  <c r="G408" i="6" s="1"/>
  <c r="W408" i="6" s="1"/>
  <c r="H198" i="6"/>
  <c r="R198" i="6" s="1"/>
  <c r="W158" i="6"/>
  <c r="F449" i="6"/>
  <c r="N449" i="6" s="1"/>
  <c r="O449" i="6" s="1"/>
  <c r="W239" i="6"/>
  <c r="H189" i="5"/>
  <c r="I189" i="5" s="1"/>
  <c r="F546" i="6"/>
  <c r="N546" i="6" s="1"/>
  <c r="O546" i="6" s="1"/>
  <c r="J564" i="5"/>
  <c r="G564" i="6" s="1"/>
  <c r="H564" i="6" s="1"/>
  <c r="R564" i="6" s="1"/>
  <c r="U399" i="6"/>
  <c r="H586" i="5"/>
  <c r="W580" i="6"/>
  <c r="H449" i="5"/>
  <c r="I449" i="5" s="1"/>
  <c r="H126" i="5"/>
  <c r="I126" i="5" s="1"/>
  <c r="I586" i="5"/>
  <c r="W290" i="6"/>
  <c r="W198" i="6"/>
  <c r="W103" i="6"/>
  <c r="J486" i="5"/>
  <c r="G486" i="6" s="1"/>
  <c r="W486" i="6" s="1"/>
  <c r="W596" i="6"/>
  <c r="F564" i="6"/>
  <c r="N564" i="6" s="1"/>
  <c r="O564" i="6" s="1"/>
  <c r="H486" i="5"/>
  <c r="I486" i="5" s="1"/>
  <c r="H408" i="5"/>
  <c r="I408" i="5" s="1"/>
  <c r="H546" i="5"/>
  <c r="I546" i="5" s="1"/>
  <c r="H70" i="6"/>
  <c r="W70" i="6"/>
  <c r="H40" i="6"/>
  <c r="W40" i="6"/>
  <c r="F148" i="6"/>
  <c r="N148" i="6" s="1"/>
  <c r="O148" i="6" s="1"/>
  <c r="F448" i="6"/>
  <c r="F429" i="6"/>
  <c r="N429" i="6" s="1"/>
  <c r="O429" i="6" s="1"/>
  <c r="J264" i="5"/>
  <c r="G264" i="6" s="1"/>
  <c r="W264" i="6" s="1"/>
  <c r="H264" i="5"/>
  <c r="I264" i="5" s="1"/>
  <c r="J524" i="5"/>
  <c r="G524" i="6" s="1"/>
  <c r="W524" i="6" s="1"/>
  <c r="H148" i="5"/>
  <c r="I148" i="5"/>
  <c r="J429" i="5"/>
  <c r="G429" i="6" s="1"/>
  <c r="H429" i="6" s="1"/>
  <c r="R429" i="6" s="1"/>
  <c r="F27" i="6"/>
  <c r="W27" i="6" s="1"/>
  <c r="F406" i="6"/>
  <c r="N406" i="6" s="1"/>
  <c r="O406" i="6" s="1"/>
  <c r="F427" i="6"/>
  <c r="W427" i="6" s="1"/>
  <c r="H465" i="5"/>
  <c r="I465" i="5" s="1"/>
  <c r="H135" i="6"/>
  <c r="R135" i="6" s="1"/>
  <c r="H47" i="6"/>
  <c r="R47" i="6" s="1"/>
  <c r="F388" i="6"/>
  <c r="N388" i="6" s="1"/>
  <c r="O388" i="6" s="1"/>
  <c r="F469" i="6"/>
  <c r="N469" i="6" s="1"/>
  <c r="O469" i="6" s="1"/>
  <c r="J406" i="5"/>
  <c r="G406" i="6" s="1"/>
  <c r="H406" i="6" s="1"/>
  <c r="R406" i="6" s="1"/>
  <c r="J569" i="5"/>
  <c r="G569" i="6" s="1"/>
  <c r="H587" i="5"/>
  <c r="I587" i="5" s="1"/>
  <c r="U279" i="6"/>
  <c r="F86" i="6"/>
  <c r="N86" i="6" s="1"/>
  <c r="O86" i="6" s="1"/>
  <c r="W338" i="6"/>
  <c r="W95" i="6"/>
  <c r="F569" i="6"/>
  <c r="N569" i="6" s="1"/>
  <c r="O569" i="6" s="1"/>
  <c r="F465" i="6"/>
  <c r="W465" i="6" s="1"/>
  <c r="H120" i="6"/>
  <c r="R120" i="6" s="1"/>
  <c r="H585" i="5"/>
  <c r="I585" i="5" s="1"/>
  <c r="J166" i="5"/>
  <c r="G166" i="6" s="1"/>
  <c r="H209" i="5"/>
  <c r="I209" i="5" s="1"/>
  <c r="H286" i="5"/>
  <c r="I286" i="5" s="1"/>
  <c r="J585" i="5"/>
  <c r="G585" i="6" s="1"/>
  <c r="H585" i="6" s="1"/>
  <c r="R585" i="6" s="1"/>
  <c r="H166" i="5"/>
  <c r="I166" i="5" s="1"/>
  <c r="J209" i="5"/>
  <c r="G209" i="6" s="1"/>
  <c r="W437" i="6"/>
  <c r="J286" i="5"/>
  <c r="G286" i="6" s="1"/>
  <c r="H286" i="6" s="1"/>
  <c r="R286" i="6" s="1"/>
  <c r="H79" i="6"/>
  <c r="R79" i="6" s="1"/>
  <c r="W402" i="6"/>
  <c r="I259" i="6"/>
  <c r="Q259" i="6" s="1"/>
  <c r="U259" i="6" s="1"/>
  <c r="H569" i="5"/>
  <c r="J104" i="5"/>
  <c r="G104" i="6" s="1"/>
  <c r="J87" i="5"/>
  <c r="G87" i="6" s="1"/>
  <c r="U14" i="6"/>
  <c r="I249" i="5"/>
  <c r="H37" i="6"/>
  <c r="W37" i="6"/>
  <c r="H105" i="5"/>
  <c r="I105" i="5" s="1"/>
  <c r="I144" i="5"/>
  <c r="F285" i="6"/>
  <c r="N285" i="6" s="1"/>
  <c r="O285" i="6" s="1"/>
  <c r="U583" i="6"/>
  <c r="H38" i="6"/>
  <c r="W38" i="6"/>
  <c r="W556" i="6"/>
  <c r="H229" i="5"/>
  <c r="I229" i="5" s="1"/>
  <c r="H21" i="6"/>
  <c r="W21" i="6"/>
  <c r="H228" i="5"/>
  <c r="W258" i="6"/>
  <c r="J229" i="5"/>
  <c r="G229" i="6" s="1"/>
  <c r="W229" i="6" s="1"/>
  <c r="W510" i="6"/>
  <c r="I228" i="5"/>
  <c r="H27" i="5"/>
  <c r="I27" i="5" s="1"/>
  <c r="J285" i="5"/>
  <c r="G285" i="6" s="1"/>
  <c r="J347" i="5"/>
  <c r="G347" i="6" s="1"/>
  <c r="I421" i="6"/>
  <c r="Q421" i="6" s="1"/>
  <c r="U421" i="6" s="1"/>
  <c r="W47" i="6"/>
  <c r="J53" i="6"/>
  <c r="S53" i="6" s="1"/>
  <c r="H524" i="5"/>
  <c r="I524" i="5" s="1"/>
  <c r="W613" i="6"/>
  <c r="H613" i="6"/>
  <c r="I322" i="6"/>
  <c r="Q322" i="6" s="1"/>
  <c r="U322" i="6" s="1"/>
  <c r="I618" i="6"/>
  <c r="Q618" i="6" s="1"/>
  <c r="U618" i="6" s="1"/>
  <c r="I26" i="5"/>
  <c r="J204" i="5"/>
  <c r="G204" i="6" s="1"/>
  <c r="H204" i="6" s="1"/>
  <c r="R204" i="6" s="1"/>
  <c r="F349" i="6"/>
  <c r="N349" i="6" s="1"/>
  <c r="O349" i="6" s="1"/>
  <c r="J467" i="5"/>
  <c r="G467" i="6" s="1"/>
  <c r="H467" i="6" s="1"/>
  <c r="R467" i="6" s="1"/>
  <c r="W559" i="6"/>
  <c r="J105" i="5"/>
  <c r="G105" i="6" s="1"/>
  <c r="W105" i="6" s="1"/>
  <c r="W374" i="6"/>
  <c r="F467" i="6"/>
  <c r="N467" i="6" s="1"/>
  <c r="O467" i="6" s="1"/>
  <c r="W439" i="6"/>
  <c r="W380" i="6"/>
  <c r="W617" i="6"/>
  <c r="J45" i="5"/>
  <c r="G45" i="6" s="1"/>
  <c r="J45" i="6" s="1"/>
  <c r="S45" i="6" s="1"/>
  <c r="H426" i="5"/>
  <c r="H380" i="6"/>
  <c r="R380" i="6" s="1"/>
  <c r="U559" i="6"/>
  <c r="W550" i="6"/>
  <c r="W53" i="6"/>
  <c r="W540" i="6"/>
  <c r="W457" i="6"/>
  <c r="H45" i="5"/>
  <c r="I45" i="5" s="1"/>
  <c r="I426" i="5"/>
  <c r="H445" i="5"/>
  <c r="I445" i="5" s="1"/>
  <c r="U121" i="6"/>
  <c r="J426" i="5"/>
  <c r="G426" i="6" s="1"/>
  <c r="H426" i="6" s="1"/>
  <c r="R426" i="6" s="1"/>
  <c r="W359" i="6"/>
  <c r="H424" i="5"/>
  <c r="I424" i="5" s="1"/>
  <c r="J445" i="5"/>
  <c r="G445" i="6" s="1"/>
  <c r="W445" i="6" s="1"/>
  <c r="J617" i="6"/>
  <c r="S617" i="6" s="1"/>
  <c r="I360" i="6"/>
  <c r="Q360" i="6" s="1"/>
  <c r="U360" i="6" s="1"/>
  <c r="I53" i="6"/>
  <c r="Q53" i="6" s="1"/>
  <c r="I282" i="6"/>
  <c r="Q282" i="6" s="1"/>
  <c r="U282" i="6" s="1"/>
  <c r="H507" i="5"/>
  <c r="I507" i="5" s="1"/>
  <c r="I388" i="5"/>
  <c r="U434" i="6"/>
  <c r="I193" i="6"/>
  <c r="Q193" i="6" s="1"/>
  <c r="U193" i="6" s="1"/>
  <c r="I95" i="6"/>
  <c r="Q95" i="6" s="1"/>
  <c r="U95" i="6" s="1"/>
  <c r="J587" i="5"/>
  <c r="G587" i="6" s="1"/>
  <c r="N587" i="6" s="1"/>
  <c r="O587" i="6" s="1"/>
  <c r="I314" i="6"/>
  <c r="Q314" i="6" s="1"/>
  <c r="U314" i="6" s="1"/>
  <c r="F608" i="6"/>
  <c r="H388" i="5"/>
  <c r="N533" i="6"/>
  <c r="O533" i="6" s="1"/>
  <c r="U533" i="6" s="1"/>
  <c r="W533" i="6"/>
  <c r="J507" i="5"/>
  <c r="G507" i="6" s="1"/>
  <c r="H507" i="6" s="1"/>
  <c r="R507" i="6" s="1"/>
  <c r="U255" i="6"/>
  <c r="H145" i="5"/>
  <c r="I145" i="5" s="1"/>
  <c r="J167" i="5"/>
  <c r="G167" i="6" s="1"/>
  <c r="W142" i="6"/>
  <c r="J145" i="5"/>
  <c r="G145" i="6" s="1"/>
  <c r="N145" i="6" s="1"/>
  <c r="O145" i="6" s="1"/>
  <c r="I263" i="6"/>
  <c r="Q263" i="6" s="1"/>
  <c r="U263" i="6" s="1"/>
  <c r="W160" i="6"/>
  <c r="F588" i="6"/>
  <c r="N588" i="6" s="1"/>
  <c r="O588" i="6" s="1"/>
  <c r="J588" i="5"/>
  <c r="G588" i="6" s="1"/>
  <c r="H588" i="5"/>
  <c r="I588" i="5" s="1"/>
  <c r="H469" i="5"/>
  <c r="I469" i="5" s="1"/>
  <c r="H427" i="5"/>
  <c r="I427" i="5" s="1"/>
  <c r="H167" i="5"/>
  <c r="I167" i="5" s="1"/>
  <c r="W471" i="6"/>
  <c r="F147" i="6"/>
  <c r="N147" i="6" s="1"/>
  <c r="O147" i="6" s="1"/>
  <c r="N377" i="6"/>
  <c r="O377" i="6" s="1"/>
  <c r="U377" i="6" s="1"/>
  <c r="W377" i="6"/>
  <c r="I422" i="6"/>
  <c r="Q422" i="6" s="1"/>
  <c r="U422" i="6" s="1"/>
  <c r="I604" i="6"/>
  <c r="Q604" i="6" s="1"/>
  <c r="U604" i="6" s="1"/>
  <c r="I212" i="6"/>
  <c r="Q212" i="6" s="1"/>
  <c r="H338" i="6"/>
  <c r="R338" i="6" s="1"/>
  <c r="H184" i="5"/>
  <c r="I184" i="5" s="1"/>
  <c r="F347" i="6"/>
  <c r="I292" i="6"/>
  <c r="Q292" i="6" s="1"/>
  <c r="H26" i="5"/>
  <c r="F207" i="6"/>
  <c r="N207" i="6" s="1"/>
  <c r="O207" i="6" s="1"/>
  <c r="I207" i="5"/>
  <c r="H207" i="5"/>
  <c r="J207" i="5"/>
  <c r="G207" i="6" s="1"/>
  <c r="I290" i="6"/>
  <c r="Q290" i="6" s="1"/>
  <c r="U290" i="6" s="1"/>
  <c r="I481" i="6"/>
  <c r="Q481" i="6" s="1"/>
  <c r="U481" i="6" s="1"/>
  <c r="I215" i="6"/>
  <c r="Q215" i="6" s="1"/>
  <c r="U215" i="6" s="1"/>
  <c r="I374" i="6"/>
  <c r="Q374" i="6" s="1"/>
  <c r="U374" i="6" s="1"/>
  <c r="J184" i="5"/>
  <c r="G184" i="6" s="1"/>
  <c r="H184" i="6" s="1"/>
  <c r="R184" i="6" s="1"/>
  <c r="J26" i="5"/>
  <c r="G26" i="6" s="1"/>
  <c r="H26" i="6" s="1"/>
  <c r="R26" i="6" s="1"/>
  <c r="J548" i="5"/>
  <c r="G548" i="6" s="1"/>
  <c r="F548" i="6"/>
  <c r="N548" i="6" s="1"/>
  <c r="O548" i="6" s="1"/>
  <c r="W361" i="6"/>
  <c r="H361" i="6"/>
  <c r="R361" i="6" s="1"/>
  <c r="I137" i="6"/>
  <c r="Q137" i="6" s="1"/>
  <c r="U137" i="6" s="1"/>
  <c r="J265" i="5"/>
  <c r="G265" i="6" s="1"/>
  <c r="H265" i="6" s="1"/>
  <c r="R265" i="6" s="1"/>
  <c r="I573" i="6"/>
  <c r="Q573" i="6" s="1"/>
  <c r="U573" i="6" s="1"/>
  <c r="F527" i="6"/>
  <c r="N527" i="6" s="1"/>
  <c r="O527" i="6" s="1"/>
  <c r="I527" i="5"/>
  <c r="J527" i="5"/>
  <c r="G527" i="6" s="1"/>
  <c r="H527" i="5"/>
  <c r="U117" i="6"/>
  <c r="H265" i="5"/>
  <c r="I265" i="5" s="1"/>
  <c r="I473" i="6"/>
  <c r="Q473" i="6" s="1"/>
  <c r="U473" i="6" s="1"/>
  <c r="I39" i="6"/>
  <c r="Q39" i="6" s="1"/>
  <c r="U39" i="6" s="1"/>
  <c r="I580" i="6"/>
  <c r="Q580" i="6" s="1"/>
  <c r="U580" i="6" s="1"/>
  <c r="I572" i="6"/>
  <c r="Q572" i="6" s="1"/>
  <c r="U572" i="6" s="1"/>
  <c r="I471" i="6"/>
  <c r="Q471" i="6" s="1"/>
  <c r="J424" i="5"/>
  <c r="G424" i="6" s="1"/>
  <c r="H424" i="6" s="1"/>
  <c r="R424" i="6" s="1"/>
  <c r="H147" i="5"/>
  <c r="I147" i="5" s="1"/>
  <c r="N528" i="6"/>
  <c r="O528" i="6" s="1"/>
  <c r="I548" i="5"/>
  <c r="W493" i="6"/>
  <c r="W573" i="6"/>
  <c r="H93" i="6"/>
  <c r="W93" i="6"/>
  <c r="H313" i="6"/>
  <c r="R313" i="6" s="1"/>
  <c r="W313" i="6"/>
  <c r="I162" i="6"/>
  <c r="Q162" i="6" s="1"/>
  <c r="U162" i="6" s="1"/>
  <c r="I397" i="6"/>
  <c r="Q397" i="6" s="1"/>
  <c r="U397" i="6" s="1"/>
  <c r="H143" i="6"/>
  <c r="R143" i="6" s="1"/>
  <c r="W143" i="6"/>
  <c r="H273" i="6"/>
  <c r="R273" i="6" s="1"/>
  <c r="W273" i="6"/>
  <c r="W479" i="6"/>
  <c r="H479" i="6"/>
  <c r="R479" i="6" s="1"/>
  <c r="F108" i="6"/>
  <c r="N108" i="6" s="1"/>
  <c r="O108" i="6" s="1"/>
  <c r="J108" i="5"/>
  <c r="G108" i="6" s="1"/>
  <c r="H108" i="5"/>
  <c r="I108" i="5" s="1"/>
  <c r="H597" i="6"/>
  <c r="R597" i="6" s="1"/>
  <c r="W597" i="6"/>
  <c r="H383" i="6"/>
  <c r="W383" i="6"/>
  <c r="I455" i="6"/>
  <c r="Q455" i="6" s="1"/>
  <c r="U455" i="6" s="1"/>
  <c r="I142" i="6"/>
  <c r="Q142" i="6" s="1"/>
  <c r="U142" i="6" s="1"/>
  <c r="I450" i="6"/>
  <c r="Q450" i="6" s="1"/>
  <c r="U450" i="6" s="1"/>
  <c r="I116" i="6"/>
  <c r="Q116" i="6" s="1"/>
  <c r="U116" i="6" s="1"/>
  <c r="H54" i="6"/>
  <c r="R54" i="6" s="1"/>
  <c r="J54" i="6"/>
  <c r="S54" i="6" s="1"/>
  <c r="W54" i="6"/>
  <c r="W281" i="6"/>
  <c r="H281" i="6"/>
  <c r="W557" i="6"/>
  <c r="H557" i="6"/>
  <c r="R557" i="6" s="1"/>
  <c r="H56" i="6"/>
  <c r="W56" i="6"/>
  <c r="I233" i="6"/>
  <c r="Q233" i="6" s="1"/>
  <c r="U233" i="6" s="1"/>
  <c r="I558" i="6"/>
  <c r="Q558" i="6" s="1"/>
  <c r="U558" i="6" s="1"/>
  <c r="I196" i="6"/>
  <c r="Q196" i="6" s="1"/>
  <c r="U196" i="6" s="1"/>
  <c r="I243" i="6"/>
  <c r="Q243" i="6" s="1"/>
  <c r="U243" i="6" s="1"/>
  <c r="I55" i="6"/>
  <c r="Q55" i="6" s="1"/>
  <c r="U55" i="6" s="1"/>
  <c r="I402" i="6"/>
  <c r="Q402" i="6" s="1"/>
  <c r="U402" i="6" s="1"/>
  <c r="I220" i="6"/>
  <c r="Q220" i="6" s="1"/>
  <c r="U220" i="6" s="1"/>
  <c r="I160" i="6"/>
  <c r="Q160" i="6" s="1"/>
  <c r="U160" i="6" s="1"/>
  <c r="I214" i="6"/>
  <c r="Q214" i="6" s="1"/>
  <c r="U214" i="6" s="1"/>
  <c r="I614" i="6"/>
  <c r="Q614" i="6" s="1"/>
  <c r="F484" i="6"/>
  <c r="N484" i="6" s="1"/>
  <c r="O484" i="6" s="1"/>
  <c r="J484" i="5"/>
  <c r="G484" i="6" s="1"/>
  <c r="H484" i="5"/>
  <c r="I484" i="5" s="1"/>
  <c r="I447" i="5"/>
  <c r="F447" i="6"/>
  <c r="N447" i="6" s="1"/>
  <c r="O447" i="6" s="1"/>
  <c r="H447" i="5"/>
  <c r="J447" i="5"/>
  <c r="G447" i="6" s="1"/>
  <c r="H78" i="6"/>
  <c r="R78" i="6" s="1"/>
  <c r="W78" i="6"/>
  <c r="I474" i="6"/>
  <c r="Q474" i="6" s="1"/>
  <c r="U474" i="6" s="1"/>
  <c r="H359" i="6"/>
  <c r="R359" i="6" s="1"/>
  <c r="F329" i="6"/>
  <c r="N329" i="6" s="1"/>
  <c r="O329" i="6" s="1"/>
  <c r="J329" i="5"/>
  <c r="G329" i="6" s="1"/>
  <c r="I329" i="5"/>
  <c r="H329" i="5"/>
  <c r="J369" i="5"/>
  <c r="G369" i="6" s="1"/>
  <c r="F369" i="6"/>
  <c r="N369" i="6" s="1"/>
  <c r="O369" i="6" s="1"/>
  <c r="H369" i="5"/>
  <c r="I369" i="5" s="1"/>
  <c r="H257" i="6"/>
  <c r="R257" i="6" s="1"/>
  <c r="W257" i="6"/>
  <c r="W337" i="6"/>
  <c r="H337" i="6"/>
  <c r="R337" i="6" s="1"/>
  <c r="J337" i="6"/>
  <c r="S337" i="6" s="1"/>
  <c r="W343" i="6"/>
  <c r="J343" i="6"/>
  <c r="S343" i="6" s="1"/>
  <c r="H343" i="6"/>
  <c r="H462" i="6"/>
  <c r="R462" i="6" s="1"/>
  <c r="W61" i="6"/>
  <c r="H61" i="6"/>
  <c r="R61" i="6" s="1"/>
  <c r="I164" i="6"/>
  <c r="Q164" i="6" s="1"/>
  <c r="U164" i="6" s="1"/>
  <c r="N407" i="6"/>
  <c r="O407" i="6" s="1"/>
  <c r="I177" i="6"/>
  <c r="Q177" i="6" s="1"/>
  <c r="U177" i="6" s="1"/>
  <c r="I501" i="6"/>
  <c r="Q501" i="6" s="1"/>
  <c r="U501" i="6" s="1"/>
  <c r="I239" i="6"/>
  <c r="Q239" i="6" s="1"/>
  <c r="U239" i="6" s="1"/>
  <c r="I494" i="6"/>
  <c r="Q494" i="6" s="1"/>
  <c r="U494" i="6" s="1"/>
  <c r="N124" i="6"/>
  <c r="O124" i="6" s="1"/>
  <c r="W353" i="6"/>
  <c r="H353" i="6"/>
  <c r="R353" i="6" s="1"/>
  <c r="K16" i="6"/>
  <c r="T16" i="6" s="1"/>
  <c r="H16" i="6"/>
  <c r="R16" i="6" s="1"/>
  <c r="W16" i="6"/>
  <c r="W22" i="6"/>
  <c r="H22" i="6"/>
  <c r="R22" i="6" s="1"/>
  <c r="H519" i="6"/>
  <c r="R519" i="6" s="1"/>
  <c r="J479" i="6"/>
  <c r="S479" i="6" s="1"/>
  <c r="H321" i="6"/>
  <c r="R321" i="6" s="1"/>
  <c r="W321" i="6"/>
  <c r="B34" i="7"/>
  <c r="I258" i="6"/>
  <c r="Q258" i="6" s="1"/>
  <c r="U258" i="6" s="1"/>
  <c r="W303" i="6"/>
  <c r="I550" i="6"/>
  <c r="Q550" i="6" s="1"/>
  <c r="W13" i="6"/>
  <c r="H13" i="6"/>
  <c r="H375" i="6"/>
  <c r="W375" i="6"/>
  <c r="H319" i="6"/>
  <c r="R319" i="6" s="1"/>
  <c r="W319" i="6"/>
  <c r="H30" i="6"/>
  <c r="R30" i="6" s="1"/>
  <c r="W30" i="6"/>
  <c r="I599" i="6"/>
  <c r="Q599" i="6" s="1"/>
  <c r="U599" i="6" s="1"/>
  <c r="I270" i="6"/>
  <c r="Q270" i="6" s="1"/>
  <c r="W575" i="6"/>
  <c r="I303" i="6"/>
  <c r="Q303" i="6" s="1"/>
  <c r="U303" i="6" s="1"/>
  <c r="W462" i="6"/>
  <c r="W463" i="6"/>
  <c r="H463" i="6"/>
  <c r="W431" i="6"/>
  <c r="H431" i="6"/>
  <c r="R431" i="6" s="1"/>
  <c r="W94" i="6"/>
  <c r="H94" i="6"/>
  <c r="R94" i="6" s="1"/>
  <c r="W541" i="6"/>
  <c r="H541" i="6"/>
  <c r="I575" i="6"/>
  <c r="Q575" i="6" s="1"/>
  <c r="U575" i="6" s="1"/>
  <c r="H18" i="6"/>
  <c r="R18" i="6" s="1"/>
  <c r="W18" i="6"/>
  <c r="F367" i="6"/>
  <c r="N367" i="6" s="1"/>
  <c r="O367" i="6" s="1"/>
  <c r="I367" i="5"/>
  <c r="J367" i="5"/>
  <c r="H367" i="5"/>
  <c r="H260" i="6"/>
  <c r="R260" i="6" s="1"/>
  <c r="W260" i="6"/>
  <c r="W203" i="6"/>
  <c r="H203" i="6"/>
  <c r="R203" i="6" s="1"/>
  <c r="J203" i="6"/>
  <c r="S203" i="6" s="1"/>
  <c r="W146" i="6"/>
  <c r="H146" i="6"/>
  <c r="R146" i="6" s="1"/>
  <c r="H318" i="6"/>
  <c r="R318" i="6" s="1"/>
  <c r="W318" i="6"/>
  <c r="F266" i="6"/>
  <c r="N266" i="6" s="1"/>
  <c r="O266" i="6" s="1"/>
  <c r="J266" i="5"/>
  <c r="G266" i="6" s="1"/>
  <c r="I266" i="5"/>
  <c r="H266" i="5"/>
  <c r="I415" i="6"/>
  <c r="Q415" i="6" s="1"/>
  <c r="U415" i="6" s="1"/>
  <c r="H472" i="6"/>
  <c r="R472" i="6" s="1"/>
  <c r="F8" i="6"/>
  <c r="N8" i="6" s="1"/>
  <c r="O8" i="6" s="1"/>
  <c r="H8" i="5"/>
  <c r="I8" i="5" s="1"/>
  <c r="J8" i="5"/>
  <c r="I283" i="6"/>
  <c r="Q283" i="6" s="1"/>
  <c r="U283" i="6" s="1"/>
  <c r="N107" i="6"/>
  <c r="O107" i="6" s="1"/>
  <c r="H168" i="6"/>
  <c r="R168" i="6" s="1"/>
  <c r="F549" i="6"/>
  <c r="H549" i="5"/>
  <c r="I549" i="5" s="1"/>
  <c r="J549" i="5"/>
  <c r="G549" i="6" s="1"/>
  <c r="H516" i="6"/>
  <c r="R516" i="6" s="1"/>
  <c r="W516" i="6"/>
  <c r="H57" i="6"/>
  <c r="R57" i="6" s="1"/>
  <c r="W57" i="6"/>
  <c r="H153" i="6"/>
  <c r="R153" i="6" s="1"/>
  <c r="W153" i="6"/>
  <c r="W129" i="6"/>
  <c r="H129" i="6"/>
  <c r="R129" i="6" s="1"/>
  <c r="H244" i="6"/>
  <c r="R244" i="6" s="1"/>
  <c r="W244" i="6"/>
  <c r="F509" i="6"/>
  <c r="N509" i="6" s="1"/>
  <c r="O509" i="6" s="1"/>
  <c r="J509" i="5"/>
  <c r="G509" i="6" s="1"/>
  <c r="H509" i="5"/>
  <c r="I509" i="5" s="1"/>
  <c r="I256" i="6"/>
  <c r="Q256" i="6" s="1"/>
  <c r="U256" i="6" s="1"/>
  <c r="I151" i="6"/>
  <c r="Q151" i="6" s="1"/>
  <c r="H238" i="6"/>
  <c r="R238" i="6" s="1"/>
  <c r="W238" i="6"/>
  <c r="H333" i="6"/>
  <c r="R333" i="6" s="1"/>
  <c r="W333" i="6"/>
  <c r="H475" i="6"/>
  <c r="R475" i="6" s="1"/>
  <c r="W475" i="6"/>
  <c r="H536" i="6"/>
  <c r="R536" i="6" s="1"/>
  <c r="W536" i="6"/>
  <c r="I437" i="6"/>
  <c r="Q437" i="6" s="1"/>
  <c r="U437" i="6" s="1"/>
  <c r="W582" i="6"/>
  <c r="H582" i="6"/>
  <c r="R582" i="6" s="1"/>
  <c r="F344" i="6"/>
  <c r="N344" i="6" s="1"/>
  <c r="O344" i="6" s="1"/>
  <c r="H344" i="5"/>
  <c r="I344" i="5" s="1"/>
  <c r="J344" i="5"/>
  <c r="I514" i="6"/>
  <c r="Q514" i="6" s="1"/>
  <c r="U514" i="6" s="1"/>
  <c r="H594" i="6"/>
  <c r="R594" i="6" s="1"/>
  <c r="W594" i="6"/>
  <c r="H306" i="6"/>
  <c r="R306" i="6" s="1"/>
  <c r="W306" i="6"/>
  <c r="H174" i="6"/>
  <c r="R174" i="6" s="1"/>
  <c r="W174" i="6"/>
  <c r="H42" i="6"/>
  <c r="R42" i="6" s="1"/>
  <c r="W42" i="6"/>
  <c r="H90" i="6"/>
  <c r="R90" i="6" s="1"/>
  <c r="W90" i="6"/>
  <c r="H392" i="6"/>
  <c r="R392" i="6" s="1"/>
  <c r="I417" i="6"/>
  <c r="Q417" i="6" s="1"/>
  <c r="U417" i="6" s="1"/>
  <c r="H395" i="6"/>
  <c r="R395" i="6" s="1"/>
  <c r="W395" i="6"/>
  <c r="H195" i="6"/>
  <c r="R195" i="6" s="1"/>
  <c r="W195" i="6"/>
  <c r="J195" i="6"/>
  <c r="S195" i="6" s="1"/>
  <c r="F404" i="6"/>
  <c r="N404" i="6" s="1"/>
  <c r="O404" i="6" s="1"/>
  <c r="J404" i="5"/>
  <c r="G404" i="6" s="1"/>
  <c r="H404" i="5"/>
  <c r="I404" i="5" s="1"/>
  <c r="I222" i="6"/>
  <c r="Q222" i="6" s="1"/>
  <c r="U222" i="6" s="1"/>
  <c r="H163" i="6"/>
  <c r="R163" i="6" s="1"/>
  <c r="W163" i="6"/>
  <c r="H295" i="6"/>
  <c r="R295" i="6" s="1"/>
  <c r="W295" i="6"/>
  <c r="K18" i="6"/>
  <c r="T18" i="6" s="1"/>
  <c r="H156" i="6"/>
  <c r="R156" i="6" s="1"/>
  <c r="W156" i="6"/>
  <c r="I522" i="6"/>
  <c r="Q522" i="6" s="1"/>
  <c r="U522" i="6" s="1"/>
  <c r="W568" i="6"/>
  <c r="H568" i="6"/>
  <c r="R568" i="6" s="1"/>
  <c r="I495" i="6"/>
  <c r="Q495" i="6" s="1"/>
  <c r="U495" i="6" s="1"/>
  <c r="I493" i="6"/>
  <c r="Q493" i="6" s="1"/>
  <c r="U493" i="6" s="1"/>
  <c r="H577" i="6"/>
  <c r="R577" i="6" s="1"/>
  <c r="W577" i="6"/>
  <c r="H528" i="6"/>
  <c r="R528" i="6" s="1"/>
  <c r="W528" i="6"/>
  <c r="H115" i="6"/>
  <c r="R115" i="6" s="1"/>
  <c r="W115" i="6"/>
  <c r="H342" i="6"/>
  <c r="R342" i="6" s="1"/>
  <c r="W342" i="6"/>
  <c r="J342" i="6"/>
  <c r="S342" i="6" s="1"/>
  <c r="F287" i="6"/>
  <c r="N287" i="6" s="1"/>
  <c r="O287" i="6" s="1"/>
  <c r="I287" i="5"/>
  <c r="J287" i="5"/>
  <c r="G287" i="6" s="1"/>
  <c r="H287" i="5"/>
  <c r="F88" i="6"/>
  <c r="N88" i="6" s="1"/>
  <c r="O88" i="6" s="1"/>
  <c r="H88" i="5"/>
  <c r="I88" i="5" s="1"/>
  <c r="J88" i="5"/>
  <c r="G88" i="6" s="1"/>
  <c r="W154" i="6"/>
  <c r="H154" i="6"/>
  <c r="R154" i="6" s="1"/>
  <c r="G210" i="6"/>
  <c r="F48" i="6"/>
  <c r="H48" i="5"/>
  <c r="I48" i="5" s="1"/>
  <c r="J48" i="5"/>
  <c r="G48" i="6" s="1"/>
  <c r="H155" i="6"/>
  <c r="R155" i="6" s="1"/>
  <c r="W155" i="6"/>
  <c r="H407" i="6"/>
  <c r="R407" i="6" s="1"/>
  <c r="W407" i="6"/>
  <c r="H52" i="6"/>
  <c r="R52" i="6" s="1"/>
  <c r="W52" i="6"/>
  <c r="J52" i="6"/>
  <c r="S52" i="6" s="1"/>
  <c r="F284" i="6"/>
  <c r="H284" i="5"/>
  <c r="I284" i="5" s="1"/>
  <c r="J284" i="5"/>
  <c r="I305" i="6"/>
  <c r="Q305" i="6" s="1"/>
  <c r="H414" i="6"/>
  <c r="R414" i="6" s="1"/>
  <c r="W414" i="6"/>
  <c r="H456" i="6"/>
  <c r="R456" i="6" s="1"/>
  <c r="W456" i="6"/>
  <c r="H452" i="6"/>
  <c r="R452" i="6" s="1"/>
  <c r="W452" i="6"/>
  <c r="I543" i="6"/>
  <c r="Q543" i="6" s="1"/>
  <c r="U543" i="6" s="1"/>
  <c r="H396" i="6"/>
  <c r="R396" i="6" s="1"/>
  <c r="W396" i="6"/>
  <c r="H469" i="6"/>
  <c r="R469" i="6" s="1"/>
  <c r="J469" i="6"/>
  <c r="S469" i="6" s="1"/>
  <c r="I423" i="6"/>
  <c r="Q423" i="6" s="1"/>
  <c r="U423" i="6" s="1"/>
  <c r="F348" i="6"/>
  <c r="N348" i="6" s="1"/>
  <c r="O348" i="6" s="1"/>
  <c r="H348" i="5"/>
  <c r="I348" i="5" s="1"/>
  <c r="J348" i="5"/>
  <c r="W603" i="6"/>
  <c r="H603" i="6"/>
  <c r="R603" i="6" s="1"/>
  <c r="F468" i="6"/>
  <c r="N468" i="6" s="1"/>
  <c r="O468" i="6" s="1"/>
  <c r="J468" i="5"/>
  <c r="G468" i="6" s="1"/>
  <c r="I468" i="5"/>
  <c r="H468" i="5"/>
  <c r="W622" i="6"/>
  <c r="H622" i="6"/>
  <c r="R622" i="6" s="1"/>
  <c r="H27" i="6"/>
  <c r="R27" i="6" s="1"/>
  <c r="I173" i="6"/>
  <c r="Q173" i="6" s="1"/>
  <c r="U173" i="6" s="1"/>
  <c r="H170" i="6"/>
  <c r="R170" i="6" s="1"/>
  <c r="I461" i="6"/>
  <c r="Q461" i="6" s="1"/>
  <c r="U461" i="6" s="1"/>
  <c r="H443" i="6"/>
  <c r="R443" i="6" s="1"/>
  <c r="W443" i="6"/>
  <c r="W555" i="6"/>
  <c r="H555" i="6"/>
  <c r="R555" i="6" s="1"/>
  <c r="H611" i="6"/>
  <c r="R611" i="6" s="1"/>
  <c r="J611" i="6"/>
  <c r="S611" i="6" s="1"/>
  <c r="H621" i="6"/>
  <c r="R621" i="6" s="1"/>
  <c r="W621" i="6"/>
  <c r="I616" i="6"/>
  <c r="Q616" i="6" s="1"/>
  <c r="W136" i="6"/>
  <c r="H136" i="6"/>
  <c r="R136" i="6" s="1"/>
  <c r="W19" i="6"/>
  <c r="H19" i="6"/>
  <c r="R19" i="6" s="1"/>
  <c r="K19" i="6"/>
  <c r="T19" i="6" s="1"/>
  <c r="W152" i="6"/>
  <c r="H152" i="6"/>
  <c r="R152" i="6" s="1"/>
  <c r="I299" i="6"/>
  <c r="Q299" i="6" s="1"/>
  <c r="U299" i="6" s="1"/>
  <c r="H411" i="6"/>
  <c r="R411" i="6" s="1"/>
  <c r="W411" i="6"/>
  <c r="F547" i="6"/>
  <c r="N547" i="6" s="1"/>
  <c r="O547" i="6" s="1"/>
  <c r="H547" i="5"/>
  <c r="I547" i="5" s="1"/>
  <c r="J547" i="5"/>
  <c r="W81" i="6"/>
  <c r="H81" i="6"/>
  <c r="R81" i="6" s="1"/>
  <c r="H20" i="6"/>
  <c r="R20" i="6" s="1"/>
  <c r="W20" i="6"/>
  <c r="K20" i="6"/>
  <c r="T20" i="6" s="1"/>
  <c r="W261" i="6"/>
  <c r="H261" i="6"/>
  <c r="R261" i="6" s="1"/>
  <c r="H197" i="6"/>
  <c r="R197" i="6" s="1"/>
  <c r="W197" i="6"/>
  <c r="J197" i="6"/>
  <c r="S197" i="6" s="1"/>
  <c r="H76" i="6"/>
  <c r="R76" i="6" s="1"/>
  <c r="W76" i="6"/>
  <c r="H416" i="6"/>
  <c r="R416" i="6" s="1"/>
  <c r="W416" i="6"/>
  <c r="H106" i="6"/>
  <c r="R106" i="6" s="1"/>
  <c r="W106" i="6"/>
  <c r="H376" i="6"/>
  <c r="R376" i="6" s="1"/>
  <c r="W376" i="6"/>
  <c r="H364" i="6"/>
  <c r="R364" i="6" s="1"/>
  <c r="W364" i="6"/>
  <c r="W602" i="6"/>
  <c r="H602" i="6"/>
  <c r="R602" i="6" s="1"/>
  <c r="H147" i="6"/>
  <c r="R147" i="6" s="1"/>
  <c r="N368" i="6"/>
  <c r="O368" i="6" s="1"/>
  <c r="H496" i="6"/>
  <c r="R496" i="6" s="1"/>
  <c r="W496" i="6"/>
  <c r="H534" i="6"/>
  <c r="R534" i="6" s="1"/>
  <c r="W534" i="6"/>
  <c r="F28" i="6"/>
  <c r="N28" i="6" s="1"/>
  <c r="O28" i="6" s="1"/>
  <c r="J28" i="5"/>
  <c r="G28" i="6" s="1"/>
  <c r="H28" i="5"/>
  <c r="I28" i="5" s="1"/>
  <c r="F187" i="6"/>
  <c r="J187" i="5"/>
  <c r="G187" i="6" s="1"/>
  <c r="H187" i="5"/>
  <c r="I187" i="5" s="1"/>
  <c r="H355" i="6"/>
  <c r="R355" i="6" s="1"/>
  <c r="W355" i="6"/>
  <c r="H221" i="6"/>
  <c r="R221" i="6" s="1"/>
  <c r="W221" i="6"/>
  <c r="H82" i="6"/>
  <c r="R82" i="6" s="1"/>
  <c r="W82" i="6"/>
  <c r="H157" i="6"/>
  <c r="R157" i="6" s="1"/>
  <c r="W157" i="6"/>
  <c r="H127" i="6"/>
  <c r="R127" i="6" s="1"/>
  <c r="W127" i="6"/>
  <c r="F44" i="6"/>
  <c r="J44" i="5"/>
  <c r="G44" i="6" s="1"/>
  <c r="H44" i="5"/>
  <c r="I44" i="5" s="1"/>
  <c r="H114" i="6"/>
  <c r="R114" i="6" s="1"/>
  <c r="W114" i="6"/>
  <c r="W576" i="6"/>
  <c r="H576" i="6"/>
  <c r="R576" i="6" s="1"/>
  <c r="H49" i="6"/>
  <c r="R49" i="6" s="1"/>
  <c r="F267" i="6"/>
  <c r="J267" i="5"/>
  <c r="G267" i="6" s="1"/>
  <c r="H267" i="5"/>
  <c r="I267" i="5" s="1"/>
  <c r="F444" i="6"/>
  <c r="J444" i="5"/>
  <c r="G444" i="6" s="1"/>
  <c r="H444" i="5"/>
  <c r="I444" i="5" s="1"/>
  <c r="F384" i="6"/>
  <c r="N384" i="6" s="1"/>
  <c r="O384" i="6" s="1"/>
  <c r="J384" i="5"/>
  <c r="G384" i="6" s="1"/>
  <c r="I384" i="5"/>
  <c r="H384" i="5"/>
  <c r="H601" i="6"/>
  <c r="R601" i="6" s="1"/>
  <c r="W601" i="6"/>
  <c r="H123" i="6"/>
  <c r="R123" i="6" s="1"/>
  <c r="W123" i="6"/>
  <c r="H190" i="6"/>
  <c r="R190" i="6" s="1"/>
  <c r="W190" i="6"/>
  <c r="H354" i="6"/>
  <c r="R354" i="6" s="1"/>
  <c r="W354" i="6"/>
  <c r="H525" i="6"/>
  <c r="R525" i="6" s="1"/>
  <c r="H118" i="6"/>
  <c r="R118" i="6" s="1"/>
  <c r="W118" i="6"/>
  <c r="H101" i="6"/>
  <c r="R101" i="6" s="1"/>
  <c r="W101" i="6"/>
  <c r="F425" i="6"/>
  <c r="N425" i="6" s="1"/>
  <c r="O425" i="6" s="1"/>
  <c r="J425" i="5"/>
  <c r="G425" i="6" s="1"/>
  <c r="H425" i="5"/>
  <c r="I425" i="5" s="1"/>
  <c r="H365" i="6"/>
  <c r="R365" i="6" s="1"/>
  <c r="W365" i="6"/>
  <c r="H441" i="6"/>
  <c r="R441" i="6" s="1"/>
  <c r="W441" i="6"/>
  <c r="G206" i="6"/>
  <c r="U300" i="6"/>
  <c r="H271" i="6"/>
  <c r="R271" i="6" s="1"/>
  <c r="W271" i="6"/>
  <c r="J57" i="6"/>
  <c r="S57" i="6" s="1"/>
  <c r="F385" i="6"/>
  <c r="J385" i="5"/>
  <c r="G385" i="6" s="1"/>
  <c r="H385" i="5"/>
  <c r="I385" i="5" s="1"/>
  <c r="H459" i="6"/>
  <c r="R459" i="6" s="1"/>
  <c r="W459" i="6"/>
  <c r="H563" i="6"/>
  <c r="R563" i="6" s="1"/>
  <c r="W563" i="6"/>
  <c r="J475" i="6"/>
  <c r="S475" i="6" s="1"/>
  <c r="F589" i="6"/>
  <c r="N589" i="6" s="1"/>
  <c r="O589" i="6" s="1"/>
  <c r="J589" i="5"/>
  <c r="G589" i="6" s="1"/>
  <c r="H589" i="5"/>
  <c r="I589" i="5" s="1"/>
  <c r="F565" i="6"/>
  <c r="N565" i="6" s="1"/>
  <c r="O565" i="6" s="1"/>
  <c r="J565" i="5"/>
  <c r="G565" i="6" s="1"/>
  <c r="I565" i="5"/>
  <c r="H565" i="5"/>
  <c r="H483" i="6"/>
  <c r="R483" i="6" s="1"/>
  <c r="W483" i="6"/>
  <c r="H606" i="6"/>
  <c r="R606" i="6" s="1"/>
  <c r="W606" i="6"/>
  <c r="J606" i="6"/>
  <c r="S606" i="6" s="1"/>
  <c r="H237" i="6"/>
  <c r="R237" i="6" s="1"/>
  <c r="W237" i="6"/>
  <c r="H46" i="6"/>
  <c r="R46" i="6" s="1"/>
  <c r="W46" i="6"/>
  <c r="J46" i="6"/>
  <c r="S46" i="6" s="1"/>
  <c r="H134" i="6"/>
  <c r="R134" i="6" s="1"/>
  <c r="W134" i="6"/>
  <c r="H515" i="6"/>
  <c r="R515" i="6" s="1"/>
  <c r="W515" i="6"/>
  <c r="H419" i="6"/>
  <c r="R419" i="6" s="1"/>
  <c r="W419" i="6"/>
  <c r="J483" i="6"/>
  <c r="S483" i="6" s="1"/>
  <c r="H619" i="6"/>
  <c r="R619" i="6" s="1"/>
  <c r="W619" i="6"/>
  <c r="J619" i="6"/>
  <c r="S619" i="6" s="1"/>
  <c r="H36" i="6"/>
  <c r="R36" i="6" s="1"/>
  <c r="W36" i="6"/>
  <c r="H242" i="6"/>
  <c r="R242" i="6" s="1"/>
  <c r="W242" i="6"/>
  <c r="H436" i="6"/>
  <c r="R436" i="6" s="1"/>
  <c r="W436" i="6"/>
  <c r="W358" i="6"/>
  <c r="H358" i="6"/>
  <c r="R358" i="6" s="1"/>
  <c r="H435" i="6"/>
  <c r="R435" i="6" s="1"/>
  <c r="W435" i="6"/>
  <c r="H465" i="6"/>
  <c r="R465" i="6" s="1"/>
  <c r="J465" i="6"/>
  <c r="S465" i="6" s="1"/>
  <c r="H512" i="6"/>
  <c r="R512" i="6" s="1"/>
  <c r="W512" i="6"/>
  <c r="U275" i="6"/>
  <c r="W301" i="6"/>
  <c r="H301" i="6"/>
  <c r="R301" i="6" s="1"/>
  <c r="H341" i="6"/>
  <c r="R341" i="6" s="1"/>
  <c r="W341" i="6"/>
  <c r="J341" i="6"/>
  <c r="S341" i="6" s="1"/>
  <c r="H373" i="6"/>
  <c r="R373" i="6" s="1"/>
  <c r="W373" i="6"/>
  <c r="H428" i="6"/>
  <c r="R428" i="6" s="1"/>
  <c r="W578" i="6"/>
  <c r="H578" i="6"/>
  <c r="R578" i="6" s="1"/>
  <c r="H381" i="6"/>
  <c r="R381" i="6" s="1"/>
  <c r="W381" i="6"/>
  <c r="H50" i="6"/>
  <c r="R50" i="6" s="1"/>
  <c r="W50" i="6"/>
  <c r="H623" i="6"/>
  <c r="R623" i="6" s="1"/>
  <c r="W623" i="6"/>
  <c r="J623" i="6"/>
  <c r="S623" i="6" s="1"/>
  <c r="H234" i="6"/>
  <c r="R234" i="6" s="1"/>
  <c r="W234" i="6"/>
  <c r="H41" i="6"/>
  <c r="R41" i="6" s="1"/>
  <c r="W41" i="6"/>
  <c r="H363" i="6"/>
  <c r="R363" i="6" s="1"/>
  <c r="W363" i="6"/>
  <c r="I400" i="6"/>
  <c r="Q400" i="6" s="1"/>
  <c r="U400" i="6" s="1"/>
  <c r="H388" i="6"/>
  <c r="R388" i="6" s="1"/>
  <c r="F149" i="6"/>
  <c r="J149" i="5"/>
  <c r="G149" i="6" s="1"/>
  <c r="H149" i="5"/>
  <c r="I149" i="5" s="1"/>
  <c r="I276" i="6"/>
  <c r="Q276" i="6" s="1"/>
  <c r="U276" i="6" s="1"/>
  <c r="H268" i="6"/>
  <c r="R268" i="6" s="1"/>
  <c r="W268" i="6"/>
  <c r="H100" i="6"/>
  <c r="R100" i="6" s="1"/>
  <c r="W100" i="6"/>
  <c r="I133" i="6"/>
  <c r="Q133" i="6" s="1"/>
  <c r="U133" i="6" s="1"/>
  <c r="H161" i="6"/>
  <c r="R161" i="6" s="1"/>
  <c r="W161" i="6"/>
  <c r="F248" i="6"/>
  <c r="N248" i="6" s="1"/>
  <c r="O248" i="6" s="1"/>
  <c r="H248" i="5"/>
  <c r="I248" i="5" s="1"/>
  <c r="J248" i="5"/>
  <c r="W277" i="6"/>
  <c r="H277" i="6"/>
  <c r="R277" i="6" s="1"/>
  <c r="W531" i="6"/>
  <c r="H531" i="6"/>
  <c r="R531" i="6" s="1"/>
  <c r="F389" i="6"/>
  <c r="H389" i="5"/>
  <c r="I389" i="5" s="1"/>
  <c r="J389" i="5"/>
  <c r="I518" i="6"/>
  <c r="Q518" i="6" s="1"/>
  <c r="U518" i="6" s="1"/>
  <c r="H542" i="6"/>
  <c r="R542" i="6" s="1"/>
  <c r="W542" i="6"/>
  <c r="W600" i="6"/>
  <c r="H600" i="6"/>
  <c r="R600" i="6" s="1"/>
  <c r="I158" i="6"/>
  <c r="Q158" i="6" s="1"/>
  <c r="U158" i="6" s="1"/>
  <c r="F245" i="6"/>
  <c r="N245" i="6" s="1"/>
  <c r="O245" i="6" s="1"/>
  <c r="H245" i="5"/>
  <c r="J245" i="5"/>
  <c r="I245" i="5"/>
  <c r="H403" i="6"/>
  <c r="R403" i="6" s="1"/>
  <c r="W403" i="6"/>
  <c r="I458" i="6"/>
  <c r="Q458" i="6" s="1"/>
  <c r="U458" i="6" s="1"/>
  <c r="I554" i="6"/>
  <c r="Q554" i="6" s="1"/>
  <c r="U554" i="6" s="1"/>
  <c r="H539" i="6"/>
  <c r="R539" i="6" s="1"/>
  <c r="W539" i="6"/>
  <c r="H545" i="6"/>
  <c r="R545" i="6" s="1"/>
  <c r="H610" i="6"/>
  <c r="R610" i="6" s="1"/>
  <c r="W610" i="6"/>
  <c r="W356" i="6"/>
  <c r="H356" i="6"/>
  <c r="R356" i="6" s="1"/>
  <c r="H274" i="6"/>
  <c r="R274" i="6" s="1"/>
  <c r="W274" i="6"/>
  <c r="F128" i="6"/>
  <c r="H128" i="5"/>
  <c r="I128" i="5" s="1"/>
  <c r="J128" i="5"/>
  <c r="G128" i="6" s="1"/>
  <c r="H34" i="6"/>
  <c r="R34" i="6" s="1"/>
  <c r="W34" i="6"/>
  <c r="H362" i="6"/>
  <c r="R362" i="6" s="1"/>
  <c r="W362" i="6"/>
  <c r="F485" i="6"/>
  <c r="N485" i="6" s="1"/>
  <c r="O485" i="6" s="1"/>
  <c r="J485" i="5"/>
  <c r="I485" i="5"/>
  <c r="H485" i="5"/>
  <c r="I280" i="6"/>
  <c r="Q280" i="6" s="1"/>
  <c r="U280" i="6" s="1"/>
  <c r="F24" i="6"/>
  <c r="N24" i="6" s="1"/>
  <c r="O24" i="6" s="1"/>
  <c r="H24" i="5"/>
  <c r="I24" i="5" s="1"/>
  <c r="J24" i="5"/>
  <c r="G24" i="6" s="1"/>
  <c r="I223" i="6"/>
  <c r="Q223" i="6" s="1"/>
  <c r="U223" i="6" s="1"/>
  <c r="H131" i="6"/>
  <c r="R131" i="6" s="1"/>
  <c r="W131" i="6"/>
  <c r="F125" i="6"/>
  <c r="N125" i="6" s="1"/>
  <c r="O125" i="6" s="1"/>
  <c r="J125" i="5"/>
  <c r="G125" i="6" s="1"/>
  <c r="H125" i="5"/>
  <c r="I125" i="5" s="1"/>
  <c r="J50" i="6"/>
  <c r="S50" i="6" s="1"/>
  <c r="H98" i="6"/>
  <c r="R98" i="6" s="1"/>
  <c r="W98" i="6"/>
  <c r="W393" i="6"/>
  <c r="H393" i="6"/>
  <c r="R393" i="6" s="1"/>
  <c r="I562" i="6"/>
  <c r="Q562" i="6" s="1"/>
  <c r="U562" i="6" s="1"/>
  <c r="I439" i="6"/>
  <c r="Q439" i="6" s="1"/>
  <c r="U439" i="6" s="1"/>
  <c r="H538" i="6"/>
  <c r="R538" i="6" s="1"/>
  <c r="W538" i="6"/>
  <c r="I596" i="6"/>
  <c r="Q596" i="6" s="1"/>
  <c r="U596" i="6" s="1"/>
  <c r="W51" i="6"/>
  <c r="H51" i="6"/>
  <c r="R51" i="6" s="1"/>
  <c r="J51" i="6"/>
  <c r="S51" i="6" s="1"/>
  <c r="F247" i="6"/>
  <c r="J247" i="5"/>
  <c r="H247" i="5"/>
  <c r="I247" i="5" s="1"/>
  <c r="N364" i="6"/>
  <c r="O364" i="6" s="1"/>
  <c r="H530" i="6"/>
  <c r="R530" i="6" s="1"/>
  <c r="H571" i="6"/>
  <c r="R571" i="6" s="1"/>
  <c r="W571" i="6"/>
  <c r="H544" i="6"/>
  <c r="R544" i="6" s="1"/>
  <c r="W544" i="6"/>
  <c r="F529" i="6"/>
  <c r="N529" i="6" s="1"/>
  <c r="O529" i="6" s="1"/>
  <c r="J529" i="5"/>
  <c r="G529" i="6" s="1"/>
  <c r="H529" i="5"/>
  <c r="I529" i="5" s="1"/>
  <c r="H521" i="6"/>
  <c r="R521" i="6" s="1"/>
  <c r="W521" i="6"/>
  <c r="H368" i="6"/>
  <c r="R368" i="6" s="1"/>
  <c r="W368" i="6"/>
  <c r="I241" i="6"/>
  <c r="Q241" i="6" s="1"/>
  <c r="U241" i="6" s="1"/>
  <c r="F68" i="6"/>
  <c r="N68" i="6" s="1"/>
  <c r="O68" i="6" s="1"/>
  <c r="J68" i="5"/>
  <c r="I68" i="5"/>
  <c r="H68" i="5"/>
  <c r="B32" i="7"/>
  <c r="W211" i="6"/>
  <c r="H211" i="6"/>
  <c r="R211" i="6" s="1"/>
  <c r="I336" i="6"/>
  <c r="Q336" i="6" s="1"/>
  <c r="U336" i="6" s="1"/>
  <c r="I382" i="6"/>
  <c r="Q382" i="6" s="1"/>
  <c r="U382" i="6" s="1"/>
  <c r="H339" i="6"/>
  <c r="R339" i="6" s="1"/>
  <c r="W339" i="6"/>
  <c r="J339" i="6"/>
  <c r="S339" i="6" s="1"/>
  <c r="I480" i="6"/>
  <c r="Q480" i="6" s="1"/>
  <c r="U480" i="6" s="1"/>
  <c r="F508" i="6"/>
  <c r="N508" i="6" s="1"/>
  <c r="O508" i="6" s="1"/>
  <c r="J508" i="5"/>
  <c r="H508" i="5"/>
  <c r="I508" i="5" s="1"/>
  <c r="I540" i="6"/>
  <c r="Q540" i="6" s="1"/>
  <c r="U540" i="6" s="1"/>
  <c r="H537" i="6"/>
  <c r="R537" i="6" s="1"/>
  <c r="W537" i="6"/>
  <c r="F109" i="6"/>
  <c r="N109" i="6" s="1"/>
  <c r="O109" i="6" s="1"/>
  <c r="J109" i="5"/>
  <c r="H109" i="5"/>
  <c r="I109" i="5" s="1"/>
  <c r="W43" i="6"/>
  <c r="H43" i="6"/>
  <c r="R43" i="6" s="1"/>
  <c r="I510" i="6"/>
  <c r="Q510" i="6" s="1"/>
  <c r="U510" i="6" s="1"/>
  <c r="I316" i="6"/>
  <c r="Q316" i="6" s="1"/>
  <c r="U316" i="6" s="1"/>
  <c r="W35" i="6"/>
  <c r="H35" i="6"/>
  <c r="R35" i="6" s="1"/>
  <c r="I378" i="6"/>
  <c r="Q378" i="6" s="1"/>
  <c r="U378" i="6" s="1"/>
  <c r="H492" i="6"/>
  <c r="R492" i="6" s="1"/>
  <c r="W492" i="6"/>
  <c r="H497" i="6"/>
  <c r="R497" i="6" s="1"/>
  <c r="W497" i="6"/>
  <c r="H60" i="6"/>
  <c r="R60" i="6" s="1"/>
  <c r="W60" i="6"/>
  <c r="J60" i="6"/>
  <c r="S60" i="6" s="1"/>
  <c r="I122" i="6"/>
  <c r="Q122" i="6" s="1"/>
  <c r="U122" i="6" s="1"/>
  <c r="F188" i="6"/>
  <c r="N188" i="6" s="1"/>
  <c r="O188" i="6" s="1"/>
  <c r="J188" i="5"/>
  <c r="G188" i="6" s="1"/>
  <c r="H188" i="5"/>
  <c r="I188" i="5" s="1"/>
  <c r="G10" i="6"/>
  <c r="F307" i="6"/>
  <c r="N307" i="6" s="1"/>
  <c r="O307" i="6" s="1"/>
  <c r="J307" i="5"/>
  <c r="G307" i="6" s="1"/>
  <c r="H307" i="5"/>
  <c r="I307" i="5" s="1"/>
  <c r="H449" i="6"/>
  <c r="R449" i="6" s="1"/>
  <c r="F246" i="6"/>
  <c r="N246" i="6" s="1"/>
  <c r="O246" i="6" s="1"/>
  <c r="J246" i="5"/>
  <c r="G246" i="6" s="1"/>
  <c r="H246" i="5"/>
  <c r="I246" i="5" s="1"/>
  <c r="F226" i="6"/>
  <c r="N226" i="6" s="1"/>
  <c r="O226" i="6" s="1"/>
  <c r="J226" i="5"/>
  <c r="H226" i="5"/>
  <c r="I226" i="5" s="1"/>
  <c r="I236" i="6"/>
  <c r="Q236" i="6" s="1"/>
  <c r="U236" i="6" s="1"/>
  <c r="H500" i="6"/>
  <c r="R500" i="6" s="1"/>
  <c r="W500" i="6"/>
  <c r="J622" i="6"/>
  <c r="S622" i="6" s="1"/>
  <c r="F288" i="6"/>
  <c r="H288" i="5"/>
  <c r="I288" i="5" s="1"/>
  <c r="J288" i="5"/>
  <c r="G288" i="6" s="1"/>
  <c r="H58" i="6"/>
  <c r="R58" i="6" s="1"/>
  <c r="W58" i="6"/>
  <c r="H74" i="6"/>
  <c r="R74" i="6" s="1"/>
  <c r="W74" i="6"/>
  <c r="H477" i="6"/>
  <c r="R477" i="6" s="1"/>
  <c r="W477" i="6"/>
  <c r="J477" i="6"/>
  <c r="S477" i="6" s="1"/>
  <c r="J333" i="6"/>
  <c r="S333" i="6" s="1"/>
  <c r="W97" i="6"/>
  <c r="H97" i="6"/>
  <c r="R97" i="6" s="1"/>
  <c r="W178" i="6"/>
  <c r="H178" i="6"/>
  <c r="R178" i="6" s="1"/>
  <c r="W126" i="6"/>
  <c r="H476" i="6"/>
  <c r="R476" i="6" s="1"/>
  <c r="W476" i="6"/>
  <c r="J476" i="6"/>
  <c r="S476" i="6" s="1"/>
  <c r="H409" i="6"/>
  <c r="R409" i="6" s="1"/>
  <c r="J472" i="6"/>
  <c r="S472" i="6" s="1"/>
  <c r="H107" i="6"/>
  <c r="R107" i="6" s="1"/>
  <c r="W107" i="6"/>
  <c r="W254" i="6"/>
  <c r="H254" i="6"/>
  <c r="R254" i="6" s="1"/>
  <c r="H553" i="6"/>
  <c r="R553" i="6" s="1"/>
  <c r="W553" i="6"/>
  <c r="H427" i="6"/>
  <c r="R427" i="6" s="1"/>
  <c r="H12" i="6"/>
  <c r="W12" i="6"/>
  <c r="K12" i="6"/>
  <c r="T12" i="6" s="1"/>
  <c r="I294" i="6"/>
  <c r="Q294" i="6" s="1"/>
  <c r="U294" i="6" s="1"/>
  <c r="H213" i="6"/>
  <c r="R213" i="6" s="1"/>
  <c r="W213" i="6"/>
  <c r="H278" i="6"/>
  <c r="R278" i="6" s="1"/>
  <c r="W278" i="6"/>
  <c r="W579" i="6"/>
  <c r="H579" i="6"/>
  <c r="R579" i="6" s="1"/>
  <c r="W620" i="6"/>
  <c r="H620" i="6"/>
  <c r="R620" i="6" s="1"/>
  <c r="J620" i="6"/>
  <c r="S620" i="6" s="1"/>
  <c r="H92" i="6"/>
  <c r="R92" i="6" s="1"/>
  <c r="W92" i="6"/>
  <c r="H308" i="6"/>
  <c r="R308" i="6" s="1"/>
  <c r="W308" i="6"/>
  <c r="H387" i="6"/>
  <c r="R387" i="6" s="1"/>
  <c r="W387" i="6"/>
  <c r="H442" i="6"/>
  <c r="R442" i="6" s="1"/>
  <c r="W442" i="6"/>
  <c r="I457" i="6"/>
  <c r="Q457" i="6" s="1"/>
  <c r="U457" i="6" s="1"/>
  <c r="H240" i="6"/>
  <c r="R240" i="6" s="1"/>
  <c r="W240" i="6"/>
  <c r="H182" i="6"/>
  <c r="R182" i="6" s="1"/>
  <c r="W182" i="6"/>
  <c r="H302" i="6"/>
  <c r="R302" i="6" s="1"/>
  <c r="W302" i="6"/>
  <c r="G350" i="6"/>
  <c r="H228" i="6"/>
  <c r="R228" i="6" s="1"/>
  <c r="I296" i="6"/>
  <c r="Q296" i="6" s="1"/>
  <c r="U296" i="6" s="1"/>
  <c r="W401" i="6"/>
  <c r="H401" i="6"/>
  <c r="R401" i="6" s="1"/>
  <c r="F186" i="6"/>
  <c r="N186" i="6" s="1"/>
  <c r="O186" i="6" s="1"/>
  <c r="J186" i="5"/>
  <c r="I186" i="5"/>
  <c r="H186" i="5"/>
  <c r="H216" i="6"/>
  <c r="R216" i="6" s="1"/>
  <c r="W216" i="6"/>
  <c r="H83" i="6"/>
  <c r="R83" i="6" s="1"/>
  <c r="W83" i="6"/>
  <c r="H148" i="6"/>
  <c r="R148" i="6" s="1"/>
  <c r="H504" i="6"/>
  <c r="W504" i="6"/>
  <c r="G73" i="6"/>
  <c r="I180" i="6"/>
  <c r="Q180" i="6" s="1"/>
  <c r="U180" i="6" s="1"/>
  <c r="I103" i="6"/>
  <c r="Q103" i="6" s="1"/>
  <c r="U103" i="6" s="1"/>
  <c r="H413" i="6"/>
  <c r="R413" i="6" s="1"/>
  <c r="W413" i="6"/>
  <c r="H418" i="6"/>
  <c r="R418" i="6" s="1"/>
  <c r="W418" i="6"/>
  <c r="I334" i="6"/>
  <c r="Q334" i="6" s="1"/>
  <c r="U334" i="6" s="1"/>
  <c r="H379" i="6"/>
  <c r="R379" i="6" s="1"/>
  <c r="W379" i="6"/>
  <c r="H430" i="6"/>
  <c r="R430" i="6" s="1"/>
  <c r="W430" i="6"/>
  <c r="I482" i="6"/>
  <c r="Q482" i="6" s="1"/>
  <c r="U482" i="6" s="1"/>
  <c r="H451" i="6"/>
  <c r="R451" i="6" s="1"/>
  <c r="W451" i="6"/>
  <c r="H520" i="6"/>
  <c r="R520" i="6" s="1"/>
  <c r="W520" i="6"/>
  <c r="H460" i="6"/>
  <c r="R460" i="6" s="1"/>
  <c r="W460" i="6"/>
  <c r="H138" i="6"/>
  <c r="R138" i="6" s="1"/>
  <c r="W138" i="6"/>
  <c r="I175" i="6"/>
  <c r="Q175" i="6" s="1"/>
  <c r="U175" i="6" s="1"/>
  <c r="H315" i="6"/>
  <c r="R315" i="6" s="1"/>
  <c r="W315" i="6"/>
  <c r="I453" i="6"/>
  <c r="Q453" i="6" s="1"/>
  <c r="U453" i="6" s="1"/>
  <c r="I556" i="6"/>
  <c r="Q556" i="6" s="1"/>
  <c r="U556" i="6" s="1"/>
  <c r="I498" i="6"/>
  <c r="Q498" i="6" s="1"/>
  <c r="U498" i="6" s="1"/>
  <c r="W592" i="6"/>
  <c r="H592" i="6"/>
  <c r="R592" i="6" s="1"/>
  <c r="N4" i="6"/>
  <c r="O4" i="6" s="1"/>
  <c r="J4" i="5"/>
  <c r="H4" i="5"/>
  <c r="I4" i="5" s="1"/>
  <c r="H394" i="6"/>
  <c r="R394" i="6" s="1"/>
  <c r="W394" i="6"/>
  <c r="H506" i="6"/>
  <c r="R506" i="6" s="1"/>
  <c r="W506" i="6"/>
  <c r="H454" i="6"/>
  <c r="R454" i="6" s="1"/>
  <c r="W454" i="6"/>
  <c r="F605" i="6"/>
  <c r="N605" i="6" s="1"/>
  <c r="O605" i="6" s="1"/>
  <c r="J605" i="5"/>
  <c r="G605" i="6" s="1"/>
  <c r="H605" i="5"/>
  <c r="I605" i="5" s="1"/>
  <c r="H33" i="6"/>
  <c r="R33" i="6" s="1"/>
  <c r="W33" i="6"/>
  <c r="I335" i="6"/>
  <c r="Q335" i="6" s="1"/>
  <c r="U335" i="6" s="1"/>
  <c r="W235" i="6"/>
  <c r="H235" i="6"/>
  <c r="R235" i="6" s="1"/>
  <c r="W478" i="6"/>
  <c r="H478" i="6"/>
  <c r="R478" i="6" s="1"/>
  <c r="J478" i="6"/>
  <c r="S478" i="6" s="1"/>
  <c r="W470" i="6"/>
  <c r="H470" i="6"/>
  <c r="R470" i="6" s="1"/>
  <c r="H440" i="6"/>
  <c r="R440" i="6" s="1"/>
  <c r="W440" i="6"/>
  <c r="W499" i="6"/>
  <c r="H499" i="6"/>
  <c r="R499" i="6" s="1"/>
  <c r="H189" i="6"/>
  <c r="R189" i="6" s="1"/>
  <c r="H488" i="6"/>
  <c r="R488" i="6" s="1"/>
  <c r="W488" i="6"/>
  <c r="H546" i="6"/>
  <c r="R546" i="6" s="1"/>
  <c r="H29" i="6"/>
  <c r="R29" i="6" s="1"/>
  <c r="F327" i="6"/>
  <c r="J327" i="5"/>
  <c r="G327" i="6" s="1"/>
  <c r="H327" i="5"/>
  <c r="I327" i="5" s="1"/>
  <c r="W140" i="6"/>
  <c r="H140" i="6"/>
  <c r="R140" i="6" s="1"/>
  <c r="H560" i="6"/>
  <c r="R560" i="6" s="1"/>
  <c r="W560" i="6"/>
  <c r="F505" i="6"/>
  <c r="N505" i="6" s="1"/>
  <c r="O505" i="6" s="1"/>
  <c r="J505" i="5"/>
  <c r="G505" i="6" s="1"/>
  <c r="H505" i="5"/>
  <c r="I505" i="5" s="1"/>
  <c r="F489" i="6"/>
  <c r="N489" i="6" s="1"/>
  <c r="O489" i="6" s="1"/>
  <c r="I489" i="5"/>
  <c r="J489" i="5"/>
  <c r="H489" i="5"/>
  <c r="H99" i="6"/>
  <c r="R99" i="6" s="1"/>
  <c r="W99" i="6"/>
  <c r="G208" i="6"/>
  <c r="N208" i="6" s="1"/>
  <c r="O208" i="6" s="1"/>
  <c r="G345" i="6"/>
  <c r="H513" i="6"/>
  <c r="R513" i="6" s="1"/>
  <c r="W513" i="6"/>
  <c r="W113" i="6"/>
  <c r="H113" i="6"/>
  <c r="R113" i="6" s="1"/>
  <c r="H179" i="6"/>
  <c r="R179" i="6" s="1"/>
  <c r="W179" i="6"/>
  <c r="H561" i="6"/>
  <c r="R561" i="6" s="1"/>
  <c r="W561" i="6"/>
  <c r="W219" i="6"/>
  <c r="H219" i="6"/>
  <c r="R219" i="6" s="1"/>
  <c r="H200" i="6"/>
  <c r="R200" i="6" s="1"/>
  <c r="W200" i="6"/>
  <c r="H386" i="6"/>
  <c r="R386" i="6" s="1"/>
  <c r="W386" i="6"/>
  <c r="H593" i="6"/>
  <c r="R593" i="6" s="1"/>
  <c r="W593" i="6"/>
  <c r="F64" i="6"/>
  <c r="N64" i="6" s="1"/>
  <c r="O64" i="6" s="1"/>
  <c r="I64" i="5"/>
  <c r="H64" i="5"/>
  <c r="J64" i="5"/>
  <c r="H298" i="6"/>
  <c r="R298" i="6" s="1"/>
  <c r="W298" i="6"/>
  <c r="H346" i="6"/>
  <c r="R346" i="6" s="1"/>
  <c r="W346" i="6"/>
  <c r="F304" i="6"/>
  <c r="N304" i="6" s="1"/>
  <c r="O304" i="6" s="1"/>
  <c r="H304" i="5"/>
  <c r="J304" i="5"/>
  <c r="G304" i="6" s="1"/>
  <c r="I304" i="5"/>
  <c r="H464" i="6"/>
  <c r="R464" i="6" s="1"/>
  <c r="W464" i="6"/>
  <c r="H253" i="6"/>
  <c r="R253" i="6" s="1"/>
  <c r="W253" i="6"/>
  <c r="W317" i="6"/>
  <c r="H317" i="6"/>
  <c r="R317" i="6" s="1"/>
  <c r="G349" i="6"/>
  <c r="F446" i="6"/>
  <c r="N446" i="6" s="1"/>
  <c r="O446" i="6" s="1"/>
  <c r="H446" i="5"/>
  <c r="I446" i="5" s="1"/>
  <c r="J446" i="5"/>
  <c r="G446" i="6" s="1"/>
  <c r="H552" i="6"/>
  <c r="R552" i="6" s="1"/>
  <c r="W552" i="6"/>
  <c r="H75" i="6"/>
  <c r="R75" i="6" s="1"/>
  <c r="W75" i="6"/>
  <c r="W194" i="6"/>
  <c r="H194" i="6"/>
  <c r="R194" i="6" s="1"/>
  <c r="W595" i="6"/>
  <c r="H595" i="6"/>
  <c r="R595" i="6" s="1"/>
  <c r="U181" i="6"/>
  <c r="H17" i="6"/>
  <c r="R17" i="6" s="1"/>
  <c r="W17" i="6"/>
  <c r="K17" i="6"/>
  <c r="T17" i="6" s="1"/>
  <c r="H323" i="6"/>
  <c r="R323" i="6" s="1"/>
  <c r="W323" i="6"/>
  <c r="W293" i="6"/>
  <c r="H293" i="6"/>
  <c r="R293" i="6" s="1"/>
  <c r="J464" i="6"/>
  <c r="S464" i="6" s="1"/>
  <c r="I420" i="6"/>
  <c r="Q420" i="6" s="1"/>
  <c r="U420" i="6" s="1"/>
  <c r="H438" i="6"/>
  <c r="R438" i="6" s="1"/>
  <c r="W438" i="6"/>
  <c r="H526" i="6"/>
  <c r="R526" i="6" s="1"/>
  <c r="W59" i="6"/>
  <c r="H59" i="6"/>
  <c r="R59" i="6" s="1"/>
  <c r="J59" i="6"/>
  <c r="S59" i="6" s="1"/>
  <c r="H176" i="6"/>
  <c r="R176" i="6" s="1"/>
  <c r="W176" i="6"/>
  <c r="N204" i="6"/>
  <c r="O204" i="6" s="1"/>
  <c r="W328" i="6"/>
  <c r="H328" i="6"/>
  <c r="R328" i="6" s="1"/>
  <c r="I590" i="6"/>
  <c r="Q590" i="6" s="1"/>
  <c r="U590" i="6" s="1"/>
  <c r="H574" i="6"/>
  <c r="R574" i="6" s="1"/>
  <c r="W574" i="6"/>
  <c r="G487" i="6"/>
  <c r="F84" i="6"/>
  <c r="N84" i="6" s="1"/>
  <c r="O84" i="6" s="1"/>
  <c r="J84" i="5"/>
  <c r="G84" i="6" s="1"/>
  <c r="H84" i="5"/>
  <c r="I84" i="5" s="1"/>
  <c r="H139" i="6"/>
  <c r="R139" i="6" s="1"/>
  <c r="W139" i="6"/>
  <c r="F185" i="6"/>
  <c r="N185" i="6" s="1"/>
  <c r="O185" i="6" s="1"/>
  <c r="H185" i="5"/>
  <c r="I185" i="5" s="1"/>
  <c r="J185" i="5"/>
  <c r="G185" i="6" s="1"/>
  <c r="H141" i="6"/>
  <c r="R141" i="6" s="1"/>
  <c r="W141" i="6"/>
  <c r="F326" i="6"/>
  <c r="N326" i="6" s="1"/>
  <c r="O326" i="6" s="1"/>
  <c r="J326" i="5"/>
  <c r="G326" i="6" s="1"/>
  <c r="H326" i="5"/>
  <c r="I326" i="5" s="1"/>
  <c r="I340" i="6"/>
  <c r="Q340" i="6" s="1"/>
  <c r="U340" i="6" s="1"/>
  <c r="H325" i="6"/>
  <c r="R325" i="6" s="1"/>
  <c r="W325" i="6"/>
  <c r="J325" i="6"/>
  <c r="S325" i="6" s="1"/>
  <c r="H357" i="6"/>
  <c r="R357" i="6" s="1"/>
  <c r="W357" i="6"/>
  <c r="W523" i="6"/>
  <c r="H523" i="6"/>
  <c r="R523" i="6" s="1"/>
  <c r="W609" i="6" l="1"/>
  <c r="W168" i="6"/>
  <c r="I320" i="6"/>
  <c r="Q320" i="6" s="1"/>
  <c r="U320" i="6" s="1"/>
  <c r="J609" i="6"/>
  <c r="S609" i="6" s="1"/>
  <c r="H570" i="6"/>
  <c r="R570" i="6" s="1"/>
  <c r="H609" i="6"/>
  <c r="R609" i="6" s="1"/>
  <c r="I218" i="6"/>
  <c r="Q218" i="6" s="1"/>
  <c r="U218" i="6" s="1"/>
  <c r="W49" i="6"/>
  <c r="W331" i="6"/>
  <c r="I517" i="6"/>
  <c r="Q517" i="6" s="1"/>
  <c r="U517" i="6" s="1"/>
  <c r="W169" i="6"/>
  <c r="I466" i="6"/>
  <c r="Q466" i="6" s="1"/>
  <c r="U466" i="6" s="1"/>
  <c r="W472" i="6"/>
  <c r="W330" i="6"/>
  <c r="H91" i="6"/>
  <c r="R91" i="6" s="1"/>
  <c r="I598" i="6"/>
  <c r="Q598" i="6" s="1"/>
  <c r="U598" i="6" s="1"/>
  <c r="N87" i="6"/>
  <c r="O87" i="6" s="1"/>
  <c r="W150" i="6"/>
  <c r="H330" i="6"/>
  <c r="R330" i="6" s="1"/>
  <c r="W567" i="6"/>
  <c r="U270" i="6"/>
  <c r="W170" i="6"/>
  <c r="H264" i="6"/>
  <c r="R264" i="6" s="1"/>
  <c r="W269" i="6"/>
  <c r="R615" i="6"/>
  <c r="U615" i="6" s="1"/>
  <c r="H225" i="6"/>
  <c r="R225" i="6" s="1"/>
  <c r="W232" i="6"/>
  <c r="W526" i="6"/>
  <c r="H112" i="6"/>
  <c r="R112" i="6" s="1"/>
  <c r="H445" i="6"/>
  <c r="R445" i="6" s="1"/>
  <c r="I172" i="6"/>
  <c r="Q172" i="6" s="1"/>
  <c r="U172" i="6" s="1"/>
  <c r="U150" i="6"/>
  <c r="W91" i="6"/>
  <c r="H551" i="6"/>
  <c r="R551" i="6" s="1"/>
  <c r="W392" i="6"/>
  <c r="W448" i="6"/>
  <c r="I370" i="6"/>
  <c r="Q370" i="6" s="1"/>
  <c r="H105" i="6"/>
  <c r="R105" i="6" s="1"/>
  <c r="I291" i="6"/>
  <c r="Q291" i="6" s="1"/>
  <c r="U291" i="6" s="1"/>
  <c r="J331" i="6"/>
  <c r="S331" i="6" s="1"/>
  <c r="H331" i="6"/>
  <c r="R331" i="6" s="1"/>
  <c r="U151" i="6"/>
  <c r="I262" i="6"/>
  <c r="Q262" i="6" s="1"/>
  <c r="U262" i="6" s="1"/>
  <c r="W172" i="6"/>
  <c r="H25" i="6"/>
  <c r="R25" i="6" s="1"/>
  <c r="W29" i="6"/>
  <c r="W124" i="6"/>
  <c r="W351" i="6"/>
  <c r="W410" i="6"/>
  <c r="H567" i="6"/>
  <c r="R567" i="6" s="1"/>
  <c r="H11" i="6"/>
  <c r="R11" i="6" s="1"/>
  <c r="H586" i="6"/>
  <c r="R586" i="6" s="1"/>
  <c r="W428" i="6"/>
  <c r="U616" i="6"/>
  <c r="W309" i="6"/>
  <c r="W530" i="6"/>
  <c r="I372" i="6"/>
  <c r="Q372" i="6" s="1"/>
  <c r="I410" i="6"/>
  <c r="Q410" i="6" s="1"/>
  <c r="U410" i="6" s="1"/>
  <c r="I250" i="6"/>
  <c r="Q250" i="6" s="1"/>
  <c r="U250" i="6" s="1"/>
  <c r="I15" i="6"/>
  <c r="Q15" i="6" s="1"/>
  <c r="U15" i="6" s="1"/>
  <c r="I202" i="6"/>
  <c r="Q202" i="6" s="1"/>
  <c r="U202" i="6" s="1"/>
  <c r="J612" i="6"/>
  <c r="S612" i="6" s="1"/>
  <c r="N251" i="6"/>
  <c r="O251" i="6" s="1"/>
  <c r="H132" i="6"/>
  <c r="R132" i="6" s="1"/>
  <c r="W104" i="6"/>
  <c r="H511" i="6"/>
  <c r="R511" i="6" s="1"/>
  <c r="W289" i="6"/>
  <c r="W612" i="6"/>
  <c r="I612" i="6"/>
  <c r="Q612" i="6" s="1"/>
  <c r="H230" i="6"/>
  <c r="R230" i="6" s="1"/>
  <c r="H432" i="6"/>
  <c r="R432" i="6" s="1"/>
  <c r="U471" i="6"/>
  <c r="I23" i="6"/>
  <c r="Q23" i="6" s="1"/>
  <c r="U23" i="6" s="1"/>
  <c r="I390" i="6"/>
  <c r="Q390" i="6" s="1"/>
  <c r="U390" i="6" s="1"/>
  <c r="W370" i="6"/>
  <c r="W165" i="6"/>
  <c r="U370" i="6"/>
  <c r="H366" i="6"/>
  <c r="R366" i="6" s="1"/>
  <c r="N465" i="6"/>
  <c r="O465" i="6" s="1"/>
  <c r="U550" i="6"/>
  <c r="I199" i="6"/>
  <c r="Q199" i="6" s="1"/>
  <c r="U199" i="6" s="1"/>
  <c r="W324" i="6"/>
  <c r="K11" i="6"/>
  <c r="T11" i="6" s="1"/>
  <c r="H324" i="6"/>
  <c r="R324" i="6" s="1"/>
  <c r="W151" i="6"/>
  <c r="W11" i="6"/>
  <c r="W6" i="6"/>
  <c r="N309" i="6"/>
  <c r="O309" i="6" s="1"/>
  <c r="W250" i="6"/>
  <c r="H6" i="6"/>
  <c r="R6" i="6" s="1"/>
  <c r="H412" i="6"/>
  <c r="R412" i="6" s="1"/>
  <c r="W130" i="6"/>
  <c r="W251" i="6"/>
  <c r="U292" i="6"/>
  <c r="W525" i="6"/>
  <c r="W132" i="6"/>
  <c r="U305" i="6"/>
  <c r="N511" i="6"/>
  <c r="O511" i="6" s="1"/>
  <c r="W270" i="6"/>
  <c r="W564" i="6"/>
  <c r="W390" i="6"/>
  <c r="I63" i="6"/>
  <c r="Q63" i="6" s="1"/>
  <c r="U63" i="6" s="1"/>
  <c r="U212" i="6"/>
  <c r="N612" i="6"/>
  <c r="O612" i="6" s="1"/>
  <c r="N545" i="6"/>
  <c r="O545" i="6" s="1"/>
  <c r="N351" i="6"/>
  <c r="O351" i="6" s="1"/>
  <c r="U614" i="6"/>
  <c r="W332" i="6"/>
  <c r="I502" i="6"/>
  <c r="Q502" i="6" s="1"/>
  <c r="U502" i="6" s="1"/>
  <c r="N171" i="6"/>
  <c r="O171" i="6" s="1"/>
  <c r="W171" i="6"/>
  <c r="H104" i="6"/>
  <c r="R104" i="6" s="1"/>
  <c r="W191" i="6"/>
  <c r="I332" i="6"/>
  <c r="Q332" i="6" s="1"/>
  <c r="J332" i="6"/>
  <c r="S332" i="6" s="1"/>
  <c r="W611" i="6"/>
  <c r="H224" i="6"/>
  <c r="R224" i="6" s="1"/>
  <c r="H408" i="6"/>
  <c r="R408" i="6" s="1"/>
  <c r="J192" i="6"/>
  <c r="S192" i="6" s="1"/>
  <c r="H89" i="6"/>
  <c r="R89" i="6" s="1"/>
  <c r="W252" i="6"/>
  <c r="H252" i="6"/>
  <c r="W371" i="6"/>
  <c r="W311" i="6"/>
  <c r="I391" i="6"/>
  <c r="Q391" i="6" s="1"/>
  <c r="W406" i="6"/>
  <c r="I311" i="6"/>
  <c r="Q311" i="6" s="1"/>
  <c r="U311" i="6" s="1"/>
  <c r="N372" i="6"/>
  <c r="O372" i="6" s="1"/>
  <c r="W85" i="6"/>
  <c r="H229" i="6"/>
  <c r="R229" i="6" s="1"/>
  <c r="I310" i="6"/>
  <c r="Q310" i="6" s="1"/>
  <c r="U310" i="6" s="1"/>
  <c r="W391" i="6"/>
  <c r="U201" i="6"/>
  <c r="N532" i="6"/>
  <c r="O532" i="6" s="1"/>
  <c r="U191" i="6"/>
  <c r="H532" i="6"/>
  <c r="R532" i="6" s="1"/>
  <c r="C14" i="7"/>
  <c r="H608" i="6"/>
  <c r="R608" i="6" s="1"/>
  <c r="H192" i="6"/>
  <c r="R192" i="6" s="1"/>
  <c r="I79" i="6"/>
  <c r="Q79" i="6" s="1"/>
  <c r="U79" i="6" s="1"/>
  <c r="I198" i="6"/>
  <c r="Q198" i="6" s="1"/>
  <c r="U198" i="6" s="1"/>
  <c r="W291" i="6"/>
  <c r="I111" i="6"/>
  <c r="Q111" i="6" s="1"/>
  <c r="N608" i="6"/>
  <c r="O608" i="6" s="1"/>
  <c r="N111" i="6"/>
  <c r="O111" i="6" s="1"/>
  <c r="I135" i="6"/>
  <c r="Q135" i="6" s="1"/>
  <c r="U135" i="6" s="1"/>
  <c r="W372" i="6"/>
  <c r="H144" i="6"/>
  <c r="R144" i="6" s="1"/>
  <c r="W147" i="6"/>
  <c r="I80" i="6"/>
  <c r="Q80" i="6" s="1"/>
  <c r="U80" i="6" s="1"/>
  <c r="W584" i="6"/>
  <c r="W32" i="6"/>
  <c r="W31" i="6"/>
  <c r="H31" i="6"/>
  <c r="N391" i="6"/>
  <c r="O391" i="6" s="1"/>
  <c r="C13" i="7"/>
  <c r="N225" i="6"/>
  <c r="O225" i="6" s="1"/>
  <c r="W111" i="6"/>
  <c r="W71" i="6"/>
  <c r="H71" i="6"/>
  <c r="H272" i="6"/>
  <c r="W272" i="6"/>
  <c r="N71" i="6"/>
  <c r="O71" i="6" s="1"/>
  <c r="W310" i="6"/>
  <c r="W566" i="6"/>
  <c r="C12" i="7"/>
  <c r="U617" i="6"/>
  <c r="W148" i="6"/>
  <c r="N27" i="6"/>
  <c r="O27" i="6" s="1"/>
  <c r="W67" i="6"/>
  <c r="H607" i="6"/>
  <c r="W189" i="6"/>
  <c r="W86" i="6"/>
  <c r="N507" i="6"/>
  <c r="O507" i="6" s="1"/>
  <c r="W228" i="6"/>
  <c r="I564" i="6"/>
  <c r="Q564" i="6" s="1"/>
  <c r="U564" i="6" s="1"/>
  <c r="W405" i="6"/>
  <c r="W607" i="6"/>
  <c r="H490" i="6"/>
  <c r="W490" i="6"/>
  <c r="W66" i="6"/>
  <c r="H72" i="6"/>
  <c r="W72" i="6"/>
  <c r="W145" i="6"/>
  <c r="I130" i="6"/>
  <c r="Q130" i="6" s="1"/>
  <c r="R130" i="6"/>
  <c r="H312" i="6"/>
  <c r="W312" i="6"/>
  <c r="R12" i="6"/>
  <c r="H110" i="6"/>
  <c r="W110" i="6"/>
  <c r="W285" i="6"/>
  <c r="W569" i="6"/>
  <c r="H486" i="6"/>
  <c r="I486" i="6" s="1"/>
  <c r="Q486" i="6" s="1"/>
  <c r="W608" i="6"/>
  <c r="W449" i="6"/>
  <c r="H569" i="6"/>
  <c r="R569" i="6" s="1"/>
  <c r="H524" i="6"/>
  <c r="R524" i="6" s="1"/>
  <c r="N249" i="6"/>
  <c r="O249" i="6" s="1"/>
  <c r="U249" i="6" s="1"/>
  <c r="W249" i="6"/>
  <c r="N448" i="6"/>
  <c r="O448" i="6" s="1"/>
  <c r="I47" i="6"/>
  <c r="Q47" i="6" s="1"/>
  <c r="U47" i="6" s="1"/>
  <c r="N229" i="6"/>
  <c r="O229" i="6" s="1"/>
  <c r="R40" i="6"/>
  <c r="I40" i="6"/>
  <c r="Q40" i="6" s="1"/>
  <c r="W546" i="6"/>
  <c r="W429" i="6"/>
  <c r="R70" i="6"/>
  <c r="I70" i="6"/>
  <c r="Q70" i="6" s="1"/>
  <c r="N427" i="6"/>
  <c r="O427" i="6" s="1"/>
  <c r="H285" i="6"/>
  <c r="R285" i="6" s="1"/>
  <c r="W286" i="6"/>
  <c r="W45" i="6"/>
  <c r="I338" i="6"/>
  <c r="Q338" i="6" s="1"/>
  <c r="U338" i="6" s="1"/>
  <c r="H45" i="6"/>
  <c r="R45" i="6" s="1"/>
  <c r="H145" i="6"/>
  <c r="R145" i="6" s="1"/>
  <c r="W204" i="6"/>
  <c r="U53" i="6"/>
  <c r="J184" i="6"/>
  <c r="S184" i="6" s="1"/>
  <c r="W469" i="6"/>
  <c r="I120" i="6"/>
  <c r="Q120" i="6" s="1"/>
  <c r="U120" i="6" s="1"/>
  <c r="W184" i="6"/>
  <c r="J467" i="6"/>
  <c r="S467" i="6" s="1"/>
  <c r="W467" i="6"/>
  <c r="I143" i="6"/>
  <c r="Q143" i="6" s="1"/>
  <c r="U143" i="6" s="1"/>
  <c r="W388" i="6"/>
  <c r="W585" i="6"/>
  <c r="W87" i="6"/>
  <c r="H87" i="6"/>
  <c r="R87" i="6" s="1"/>
  <c r="W166" i="6"/>
  <c r="W424" i="6"/>
  <c r="H166" i="6"/>
  <c r="R166" i="6" s="1"/>
  <c r="I357" i="6"/>
  <c r="Q357" i="6" s="1"/>
  <c r="U357" i="6" s="1"/>
  <c r="I60" i="6"/>
  <c r="Q60" i="6" s="1"/>
  <c r="U60" i="6" s="1"/>
  <c r="R37" i="6"/>
  <c r="I37" i="6"/>
  <c r="Q37" i="6" s="1"/>
  <c r="I351" i="6"/>
  <c r="Q351" i="6" s="1"/>
  <c r="I273" i="6"/>
  <c r="Q273" i="6" s="1"/>
  <c r="U273" i="6" s="1"/>
  <c r="R38" i="6"/>
  <c r="I38" i="6"/>
  <c r="Q38" i="6" s="1"/>
  <c r="I337" i="6"/>
  <c r="Q337" i="6" s="1"/>
  <c r="U337" i="6" s="1"/>
  <c r="I34" i="6"/>
  <c r="Q34" i="6" s="1"/>
  <c r="U34" i="6" s="1"/>
  <c r="R21" i="6"/>
  <c r="I21" i="6"/>
  <c r="Q21" i="6" s="1"/>
  <c r="R613" i="6"/>
  <c r="I613" i="6"/>
  <c r="Q613" i="6" s="1"/>
  <c r="W265" i="6"/>
  <c r="I289" i="6"/>
  <c r="Q289" i="6" s="1"/>
  <c r="U289" i="6" s="1"/>
  <c r="I268" i="6"/>
  <c r="Q268" i="6" s="1"/>
  <c r="U268" i="6" s="1"/>
  <c r="I603" i="6"/>
  <c r="Q603" i="6" s="1"/>
  <c r="U603" i="6" s="1"/>
  <c r="W507" i="6"/>
  <c r="I622" i="6"/>
  <c r="Q622" i="6" s="1"/>
  <c r="U622" i="6" s="1"/>
  <c r="W26" i="6"/>
  <c r="W426" i="6"/>
  <c r="I610" i="6"/>
  <c r="Q610" i="6" s="1"/>
  <c r="U610" i="6" s="1"/>
  <c r="I19" i="6"/>
  <c r="Q19" i="6" s="1"/>
  <c r="U19" i="6" s="1"/>
  <c r="I57" i="6"/>
  <c r="Q57" i="6" s="1"/>
  <c r="U57" i="6" s="1"/>
  <c r="I92" i="6"/>
  <c r="Q92" i="6" s="1"/>
  <c r="U92" i="6" s="1"/>
  <c r="I380" i="6"/>
  <c r="Q380" i="6" s="1"/>
  <c r="U380" i="6" s="1"/>
  <c r="H588" i="6"/>
  <c r="R588" i="6" s="1"/>
  <c r="W588" i="6"/>
  <c r="I523" i="6"/>
  <c r="Q523" i="6" s="1"/>
  <c r="U523" i="6" s="1"/>
  <c r="I74" i="6"/>
  <c r="Q74" i="6" s="1"/>
  <c r="U74" i="6" s="1"/>
  <c r="I545" i="6"/>
  <c r="Q545" i="6" s="1"/>
  <c r="I234" i="6"/>
  <c r="Q234" i="6" s="1"/>
  <c r="U234" i="6" s="1"/>
  <c r="I52" i="6"/>
  <c r="Q52" i="6" s="1"/>
  <c r="U52" i="6" s="1"/>
  <c r="I129" i="6"/>
  <c r="Q129" i="6" s="1"/>
  <c r="U129" i="6" s="1"/>
  <c r="N167" i="6"/>
  <c r="O167" i="6" s="1"/>
  <c r="H167" i="6"/>
  <c r="W167" i="6"/>
  <c r="I356" i="6"/>
  <c r="Q356" i="6" s="1"/>
  <c r="U356" i="6" s="1"/>
  <c r="I368" i="6"/>
  <c r="Q368" i="6" s="1"/>
  <c r="U368" i="6" s="1"/>
  <c r="I123" i="6"/>
  <c r="Q123" i="6" s="1"/>
  <c r="U123" i="6" s="1"/>
  <c r="I136" i="6"/>
  <c r="Q136" i="6" s="1"/>
  <c r="U136" i="6" s="1"/>
  <c r="I611" i="6"/>
  <c r="Q611" i="6" s="1"/>
  <c r="U611" i="6" s="1"/>
  <c r="I395" i="6"/>
  <c r="Q395" i="6" s="1"/>
  <c r="U395" i="6" s="1"/>
  <c r="I306" i="6"/>
  <c r="Q306" i="6" s="1"/>
  <c r="U306" i="6" s="1"/>
  <c r="I472" i="6"/>
  <c r="Q472" i="6" s="1"/>
  <c r="U472" i="6" s="1"/>
  <c r="I313" i="6"/>
  <c r="Q313" i="6" s="1"/>
  <c r="U313" i="6" s="1"/>
  <c r="R232" i="6"/>
  <c r="I232" i="6"/>
  <c r="Q232" i="6" s="1"/>
  <c r="R32" i="6"/>
  <c r="I32" i="6"/>
  <c r="Q32" i="6" s="1"/>
  <c r="I570" i="6"/>
  <c r="Q570" i="6" s="1"/>
  <c r="U570" i="6" s="1"/>
  <c r="I51" i="6"/>
  <c r="Q51" i="6" s="1"/>
  <c r="U51" i="6" s="1"/>
  <c r="H587" i="6"/>
  <c r="R587" i="6" s="1"/>
  <c r="I184" i="6"/>
  <c r="Q184" i="6" s="1"/>
  <c r="U184" i="6" s="1"/>
  <c r="I619" i="6"/>
  <c r="Q619" i="6" s="1"/>
  <c r="U619" i="6" s="1"/>
  <c r="I237" i="6"/>
  <c r="Q237" i="6" s="1"/>
  <c r="U237" i="6" s="1"/>
  <c r="I620" i="6"/>
  <c r="Q620" i="6" s="1"/>
  <c r="U620" i="6" s="1"/>
  <c r="I499" i="6"/>
  <c r="Q499" i="6" s="1"/>
  <c r="U499" i="6" s="1"/>
  <c r="W587" i="6"/>
  <c r="I59" i="6"/>
  <c r="Q59" i="6" s="1"/>
  <c r="U59" i="6" s="1"/>
  <c r="I497" i="6"/>
  <c r="Q497" i="6" s="1"/>
  <c r="U497" i="6" s="1"/>
  <c r="I124" i="6"/>
  <c r="Q124" i="6" s="1"/>
  <c r="U124" i="6" s="1"/>
  <c r="I50" i="6"/>
  <c r="Q50" i="6" s="1"/>
  <c r="U50" i="6" s="1"/>
  <c r="I134" i="6"/>
  <c r="Q134" i="6" s="1"/>
  <c r="U134" i="6" s="1"/>
  <c r="I568" i="6"/>
  <c r="Q568" i="6" s="1"/>
  <c r="U568" i="6" s="1"/>
  <c r="I424" i="6"/>
  <c r="Q424" i="6" s="1"/>
  <c r="U424" i="6" s="1"/>
  <c r="I577" i="6"/>
  <c r="Q577" i="6" s="1"/>
  <c r="U577" i="6" s="1"/>
  <c r="I99" i="6"/>
  <c r="Q99" i="6" s="1"/>
  <c r="U99" i="6" s="1"/>
  <c r="I496" i="6"/>
  <c r="Q496" i="6" s="1"/>
  <c r="U496" i="6" s="1"/>
  <c r="I163" i="6"/>
  <c r="Q163" i="6" s="1"/>
  <c r="U163" i="6" s="1"/>
  <c r="H207" i="6"/>
  <c r="W207" i="6"/>
  <c r="I552" i="6"/>
  <c r="Q552" i="6" s="1"/>
  <c r="U552" i="6" s="1"/>
  <c r="I576" i="6"/>
  <c r="Q576" i="6" s="1"/>
  <c r="U576" i="6" s="1"/>
  <c r="W548" i="6"/>
  <c r="H548" i="6"/>
  <c r="R548" i="6" s="1"/>
  <c r="I516" i="6"/>
  <c r="Q516" i="6" s="1"/>
  <c r="U516" i="6" s="1"/>
  <c r="I168" i="6"/>
  <c r="Q168" i="6" s="1"/>
  <c r="U168" i="6" s="1"/>
  <c r="I492" i="6"/>
  <c r="Q492" i="6" s="1"/>
  <c r="U492" i="6" s="1"/>
  <c r="I152" i="6"/>
  <c r="Q152" i="6" s="1"/>
  <c r="U152" i="6" s="1"/>
  <c r="I16" i="6"/>
  <c r="Q16" i="6" s="1"/>
  <c r="U16" i="6" s="1"/>
  <c r="I557" i="6"/>
  <c r="Q557" i="6" s="1"/>
  <c r="U557" i="6" s="1"/>
  <c r="I479" i="6"/>
  <c r="Q479" i="6" s="1"/>
  <c r="U479" i="6" s="1"/>
  <c r="W527" i="6"/>
  <c r="H527" i="6"/>
  <c r="R527" i="6" s="1"/>
  <c r="I393" i="6"/>
  <c r="Q393" i="6" s="1"/>
  <c r="U393" i="6" s="1"/>
  <c r="I515" i="6"/>
  <c r="Q515" i="6" s="1"/>
  <c r="U515" i="6" s="1"/>
  <c r="N267" i="6"/>
  <c r="O267" i="6" s="1"/>
  <c r="I197" i="6"/>
  <c r="Q197" i="6" s="1"/>
  <c r="U197" i="6" s="1"/>
  <c r="I452" i="6"/>
  <c r="Q452" i="6" s="1"/>
  <c r="U452" i="6" s="1"/>
  <c r="I392" i="6"/>
  <c r="Q392" i="6" s="1"/>
  <c r="U392" i="6" s="1"/>
  <c r="I318" i="6"/>
  <c r="Q318" i="6" s="1"/>
  <c r="U318" i="6" s="1"/>
  <c r="I30" i="6"/>
  <c r="Q30" i="6" s="1"/>
  <c r="U30" i="6" s="1"/>
  <c r="I257" i="6"/>
  <c r="Q257" i="6" s="1"/>
  <c r="U257" i="6" s="1"/>
  <c r="I597" i="6"/>
  <c r="Q597" i="6" s="1"/>
  <c r="U597" i="6" s="1"/>
  <c r="I251" i="6"/>
  <c r="Q251" i="6" s="1"/>
  <c r="I298" i="6"/>
  <c r="Q298" i="6" s="1"/>
  <c r="U298" i="6" s="1"/>
  <c r="N327" i="6"/>
  <c r="O327" i="6" s="1"/>
  <c r="I148" i="6"/>
  <c r="Q148" i="6" s="1"/>
  <c r="U148" i="6" s="1"/>
  <c r="I265" i="6"/>
  <c r="Q265" i="6" s="1"/>
  <c r="U265" i="6" s="1"/>
  <c r="I456" i="6"/>
  <c r="Q456" i="6" s="1"/>
  <c r="U456" i="6" s="1"/>
  <c r="I90" i="6"/>
  <c r="Q90" i="6" s="1"/>
  <c r="U90" i="6" s="1"/>
  <c r="I94" i="6"/>
  <c r="Q94" i="6" s="1"/>
  <c r="U94" i="6" s="1"/>
  <c r="I319" i="6"/>
  <c r="Q319" i="6" s="1"/>
  <c r="U319" i="6" s="1"/>
  <c r="I361" i="6"/>
  <c r="Q361" i="6" s="1"/>
  <c r="U361" i="6" s="1"/>
  <c r="I470" i="6"/>
  <c r="Q470" i="6" s="1"/>
  <c r="U470" i="6" s="1"/>
  <c r="I566" i="6"/>
  <c r="Q566" i="6" s="1"/>
  <c r="U566" i="6" s="1"/>
  <c r="I189" i="6"/>
  <c r="Q189" i="6" s="1"/>
  <c r="U189" i="6" s="1"/>
  <c r="I394" i="6"/>
  <c r="Q394" i="6" s="1"/>
  <c r="U394" i="6" s="1"/>
  <c r="I451" i="6"/>
  <c r="Q451" i="6" s="1"/>
  <c r="U451" i="6" s="1"/>
  <c r="I442" i="6"/>
  <c r="Q442" i="6" s="1"/>
  <c r="U442" i="6" s="1"/>
  <c r="I178" i="6"/>
  <c r="Q178" i="6" s="1"/>
  <c r="U178" i="6" s="1"/>
  <c r="I43" i="6"/>
  <c r="Q43" i="6" s="1"/>
  <c r="U43" i="6" s="1"/>
  <c r="I530" i="6"/>
  <c r="Q530" i="6" s="1"/>
  <c r="U530" i="6" s="1"/>
  <c r="I538" i="6"/>
  <c r="Q538" i="6" s="1"/>
  <c r="U538" i="6" s="1"/>
  <c r="I67" i="6"/>
  <c r="Q67" i="6" s="1"/>
  <c r="U67" i="6" s="1"/>
  <c r="I578" i="6"/>
  <c r="Q578" i="6" s="1"/>
  <c r="U578" i="6" s="1"/>
  <c r="I563" i="6"/>
  <c r="Q563" i="6" s="1"/>
  <c r="U563" i="6" s="1"/>
  <c r="I507" i="6"/>
  <c r="Q507" i="6" s="1"/>
  <c r="I26" i="6"/>
  <c r="Q26" i="6" s="1"/>
  <c r="U26" i="6" s="1"/>
  <c r="I20" i="6"/>
  <c r="Q20" i="6" s="1"/>
  <c r="U20" i="6" s="1"/>
  <c r="I155" i="6"/>
  <c r="Q155" i="6" s="1"/>
  <c r="U155" i="6" s="1"/>
  <c r="R463" i="6"/>
  <c r="I463" i="6"/>
  <c r="Q463" i="6" s="1"/>
  <c r="R13" i="6"/>
  <c r="I13" i="6"/>
  <c r="Q13" i="6" s="1"/>
  <c r="I600" i="6"/>
  <c r="Q600" i="6" s="1"/>
  <c r="U600" i="6" s="1"/>
  <c r="I601" i="6"/>
  <c r="Q601" i="6" s="1"/>
  <c r="U601" i="6" s="1"/>
  <c r="I127" i="6"/>
  <c r="Q127" i="6" s="1"/>
  <c r="U127" i="6" s="1"/>
  <c r="I602" i="6"/>
  <c r="Q602" i="6" s="1"/>
  <c r="U602" i="6" s="1"/>
  <c r="I195" i="6"/>
  <c r="Q195" i="6" s="1"/>
  <c r="U195" i="6" s="1"/>
  <c r="I536" i="6"/>
  <c r="Q536" i="6" s="1"/>
  <c r="U536" i="6" s="1"/>
  <c r="W369" i="6"/>
  <c r="H369" i="6"/>
  <c r="R369" i="6" s="1"/>
  <c r="I78" i="6"/>
  <c r="Q78" i="6" s="1"/>
  <c r="U78" i="6" s="1"/>
  <c r="R383" i="6"/>
  <c r="I383" i="6"/>
  <c r="Q383" i="6" s="1"/>
  <c r="H484" i="6"/>
  <c r="R484" i="6" s="1"/>
  <c r="W484" i="6"/>
  <c r="R281" i="6"/>
  <c r="I281" i="6"/>
  <c r="Q281" i="6" s="1"/>
  <c r="I553" i="6"/>
  <c r="Q553" i="6" s="1"/>
  <c r="U553" i="6" s="1"/>
  <c r="I465" i="6"/>
  <c r="Q465" i="6" s="1"/>
  <c r="I46" i="6"/>
  <c r="Q46" i="6" s="1"/>
  <c r="U46" i="6" s="1"/>
  <c r="I459" i="6"/>
  <c r="Q459" i="6" s="1"/>
  <c r="U459" i="6" s="1"/>
  <c r="I170" i="6"/>
  <c r="Q170" i="6" s="1"/>
  <c r="U170" i="6" s="1"/>
  <c r="I469" i="6"/>
  <c r="Q469" i="6" s="1"/>
  <c r="U469" i="6" s="1"/>
  <c r="I414" i="6"/>
  <c r="Q414" i="6" s="1"/>
  <c r="U414" i="6" s="1"/>
  <c r="I146" i="6"/>
  <c r="Q146" i="6" s="1"/>
  <c r="U146" i="6" s="1"/>
  <c r="I561" i="6"/>
  <c r="Q561" i="6" s="1"/>
  <c r="U561" i="6" s="1"/>
  <c r="I546" i="6"/>
  <c r="Q546" i="6" s="1"/>
  <c r="U546" i="6" s="1"/>
  <c r="I240" i="6"/>
  <c r="Q240" i="6" s="1"/>
  <c r="U240" i="6" s="1"/>
  <c r="I595" i="6"/>
  <c r="Q595" i="6" s="1"/>
  <c r="U595" i="6" s="1"/>
  <c r="I464" i="6"/>
  <c r="Q464" i="6" s="1"/>
  <c r="U464" i="6" s="1"/>
  <c r="I513" i="6"/>
  <c r="Q513" i="6" s="1"/>
  <c r="U513" i="6" s="1"/>
  <c r="I33" i="6"/>
  <c r="Q33" i="6" s="1"/>
  <c r="U33" i="6" s="1"/>
  <c r="I371" i="6"/>
  <c r="Q371" i="6" s="1"/>
  <c r="U371" i="6" s="1"/>
  <c r="I12" i="6"/>
  <c r="I107" i="6"/>
  <c r="Q107" i="6" s="1"/>
  <c r="U107" i="6" s="1"/>
  <c r="I131" i="6"/>
  <c r="Q131" i="6" s="1"/>
  <c r="U131" i="6" s="1"/>
  <c r="I242" i="6"/>
  <c r="Q242" i="6" s="1"/>
  <c r="U242" i="6" s="1"/>
  <c r="I101" i="6"/>
  <c r="Q101" i="6" s="1"/>
  <c r="U101" i="6" s="1"/>
  <c r="I81" i="6"/>
  <c r="Q81" i="6" s="1"/>
  <c r="U81" i="6" s="1"/>
  <c r="I621" i="6"/>
  <c r="Q621" i="6" s="1"/>
  <c r="U621" i="6" s="1"/>
  <c r="I407" i="6"/>
  <c r="Q407" i="6" s="1"/>
  <c r="U407" i="6" s="1"/>
  <c r="I342" i="6"/>
  <c r="Q342" i="6" s="1"/>
  <c r="U342" i="6" s="1"/>
  <c r="I582" i="6"/>
  <c r="Q582" i="6" s="1"/>
  <c r="U582" i="6" s="1"/>
  <c r="I475" i="6"/>
  <c r="Q475" i="6" s="1"/>
  <c r="U475" i="6" s="1"/>
  <c r="I61" i="6"/>
  <c r="Q61" i="6" s="1"/>
  <c r="U61" i="6" s="1"/>
  <c r="I519" i="6"/>
  <c r="Q519" i="6" s="1"/>
  <c r="U519" i="6" s="1"/>
  <c r="I462" i="6"/>
  <c r="Q462" i="6" s="1"/>
  <c r="U462" i="6" s="1"/>
  <c r="J329" i="6"/>
  <c r="S329" i="6" s="1"/>
  <c r="H329" i="6"/>
  <c r="W329" i="6"/>
  <c r="I54" i="6"/>
  <c r="Q54" i="6" s="1"/>
  <c r="U54" i="6" s="1"/>
  <c r="I323" i="6"/>
  <c r="Q323" i="6" s="1"/>
  <c r="U323" i="6" s="1"/>
  <c r="I346" i="6"/>
  <c r="Q346" i="6" s="1"/>
  <c r="U346" i="6" s="1"/>
  <c r="I478" i="6"/>
  <c r="Q478" i="6" s="1"/>
  <c r="U478" i="6" s="1"/>
  <c r="I387" i="6"/>
  <c r="Q387" i="6" s="1"/>
  <c r="U387" i="6" s="1"/>
  <c r="I477" i="6"/>
  <c r="Q477" i="6" s="1"/>
  <c r="U477" i="6" s="1"/>
  <c r="I574" i="6"/>
  <c r="Q574" i="6" s="1"/>
  <c r="U574" i="6" s="1"/>
  <c r="I269" i="6"/>
  <c r="Q269" i="6" s="1"/>
  <c r="U269" i="6" s="1"/>
  <c r="I200" i="6"/>
  <c r="Q200" i="6" s="1"/>
  <c r="U200" i="6" s="1"/>
  <c r="I506" i="6"/>
  <c r="Q506" i="6" s="1"/>
  <c r="U506" i="6" s="1"/>
  <c r="I401" i="6"/>
  <c r="Q401" i="6" s="1"/>
  <c r="U401" i="6" s="1"/>
  <c r="I278" i="6"/>
  <c r="Q278" i="6" s="1"/>
  <c r="U278" i="6" s="1"/>
  <c r="I211" i="6"/>
  <c r="Q211" i="6" s="1"/>
  <c r="U211" i="6" s="1"/>
  <c r="I539" i="6"/>
  <c r="Q539" i="6" s="1"/>
  <c r="U539" i="6" s="1"/>
  <c r="I623" i="6"/>
  <c r="Q623" i="6" s="1"/>
  <c r="U623" i="6" s="1"/>
  <c r="I373" i="6"/>
  <c r="Q373" i="6" s="1"/>
  <c r="U373" i="6" s="1"/>
  <c r="I512" i="6"/>
  <c r="Q512" i="6" s="1"/>
  <c r="U512" i="6" s="1"/>
  <c r="I483" i="6"/>
  <c r="Q483" i="6" s="1"/>
  <c r="U483" i="6" s="1"/>
  <c r="I354" i="6"/>
  <c r="Q354" i="6" s="1"/>
  <c r="U354" i="6" s="1"/>
  <c r="I157" i="6"/>
  <c r="Q157" i="6" s="1"/>
  <c r="U157" i="6" s="1"/>
  <c r="I534" i="6"/>
  <c r="Q534" i="6" s="1"/>
  <c r="U534" i="6" s="1"/>
  <c r="I66" i="6"/>
  <c r="Q66" i="6" s="1"/>
  <c r="U66" i="6" s="1"/>
  <c r="I295" i="6"/>
  <c r="Q295" i="6" s="1"/>
  <c r="U295" i="6" s="1"/>
  <c r="I431" i="6"/>
  <c r="Q431" i="6" s="1"/>
  <c r="U431" i="6" s="1"/>
  <c r="I22" i="6"/>
  <c r="Q22" i="6" s="1"/>
  <c r="U22" i="6" s="1"/>
  <c r="I353" i="6"/>
  <c r="Q353" i="6" s="1"/>
  <c r="U353" i="6" s="1"/>
  <c r="R343" i="6"/>
  <c r="I343" i="6"/>
  <c r="Q343" i="6" s="1"/>
  <c r="H447" i="6"/>
  <c r="R447" i="6" s="1"/>
  <c r="W447" i="6"/>
  <c r="R541" i="6"/>
  <c r="I541" i="6"/>
  <c r="Q541" i="6" s="1"/>
  <c r="R56" i="6"/>
  <c r="I56" i="6"/>
  <c r="Q56" i="6" s="1"/>
  <c r="R93" i="6"/>
  <c r="I93" i="6"/>
  <c r="Q93" i="6" s="1"/>
  <c r="I176" i="6"/>
  <c r="Q176" i="6" s="1"/>
  <c r="U176" i="6" s="1"/>
  <c r="I219" i="6"/>
  <c r="Q219" i="6" s="1"/>
  <c r="U219" i="6" s="1"/>
  <c r="R375" i="6"/>
  <c r="I375" i="6"/>
  <c r="Q375" i="6" s="1"/>
  <c r="I359" i="6"/>
  <c r="Q359" i="6" s="1"/>
  <c r="U359" i="6" s="1"/>
  <c r="W108" i="6"/>
  <c r="H108" i="6"/>
  <c r="R108" i="6" s="1"/>
  <c r="I321" i="6"/>
  <c r="Q321" i="6" s="1"/>
  <c r="U321" i="6" s="1"/>
  <c r="H384" i="6"/>
  <c r="R384" i="6" s="1"/>
  <c r="W384" i="6"/>
  <c r="H28" i="6"/>
  <c r="R28" i="6" s="1"/>
  <c r="W28" i="6"/>
  <c r="H209" i="6"/>
  <c r="I209" i="6" s="1"/>
  <c r="Q209" i="6" s="1"/>
  <c r="W209" i="6"/>
  <c r="I325" i="6"/>
  <c r="Q325" i="6" s="1"/>
  <c r="U325" i="6" s="1"/>
  <c r="H84" i="6"/>
  <c r="R84" i="6" s="1"/>
  <c r="W84" i="6"/>
  <c r="H487" i="6"/>
  <c r="I487" i="6" s="1"/>
  <c r="Q487" i="6" s="1"/>
  <c r="W487" i="6"/>
  <c r="H326" i="6"/>
  <c r="R326" i="6" s="1"/>
  <c r="W326" i="6"/>
  <c r="J326" i="6"/>
  <c r="S326" i="6" s="1"/>
  <c r="H446" i="6"/>
  <c r="W446" i="6"/>
  <c r="I440" i="6"/>
  <c r="Q440" i="6" s="1"/>
  <c r="U440" i="6" s="1"/>
  <c r="I454" i="6"/>
  <c r="Q454" i="6" s="1"/>
  <c r="U454" i="6" s="1"/>
  <c r="H347" i="6"/>
  <c r="I347" i="6" s="1"/>
  <c r="Q347" i="6" s="1"/>
  <c r="W347" i="6"/>
  <c r="I138" i="6"/>
  <c r="Q138" i="6" s="1"/>
  <c r="U138" i="6" s="1"/>
  <c r="I585" i="6"/>
  <c r="Q585" i="6" s="1"/>
  <c r="U585" i="6" s="1"/>
  <c r="I418" i="6"/>
  <c r="Q418" i="6" s="1"/>
  <c r="U418" i="6" s="1"/>
  <c r="I126" i="6"/>
  <c r="Q126" i="6" s="1"/>
  <c r="U126" i="6" s="1"/>
  <c r="W227" i="6"/>
  <c r="H227" i="6"/>
  <c r="I58" i="6"/>
  <c r="Q58" i="6" s="1"/>
  <c r="U58" i="6" s="1"/>
  <c r="N288" i="6"/>
  <c r="O288" i="6" s="1"/>
  <c r="G226" i="6"/>
  <c r="I537" i="6"/>
  <c r="Q537" i="6" s="1"/>
  <c r="U537" i="6" s="1"/>
  <c r="I339" i="6"/>
  <c r="Q339" i="6" s="1"/>
  <c r="U339" i="6" s="1"/>
  <c r="G247" i="6"/>
  <c r="N247" i="6" s="1"/>
  <c r="O247" i="6" s="1"/>
  <c r="I403" i="6"/>
  <c r="Q403" i="6" s="1"/>
  <c r="U403" i="6" s="1"/>
  <c r="I100" i="6"/>
  <c r="Q100" i="6" s="1"/>
  <c r="U100" i="6" s="1"/>
  <c r="N149" i="6"/>
  <c r="O149" i="6" s="1"/>
  <c r="I426" i="6"/>
  <c r="Q426" i="6" s="1"/>
  <c r="U426" i="6" s="1"/>
  <c r="I436" i="6"/>
  <c r="Q436" i="6" s="1"/>
  <c r="U436" i="6" s="1"/>
  <c r="I271" i="6"/>
  <c r="Q271" i="6" s="1"/>
  <c r="U271" i="6" s="1"/>
  <c r="H425" i="6"/>
  <c r="R425" i="6" s="1"/>
  <c r="W425" i="6"/>
  <c r="I118" i="6"/>
  <c r="Q118" i="6" s="1"/>
  <c r="U118" i="6" s="1"/>
  <c r="I76" i="6"/>
  <c r="Q76" i="6" s="1"/>
  <c r="U76" i="6" s="1"/>
  <c r="I443" i="6"/>
  <c r="Q443" i="6" s="1"/>
  <c r="U443" i="6" s="1"/>
  <c r="H404" i="6"/>
  <c r="R404" i="6" s="1"/>
  <c r="W404" i="6"/>
  <c r="I42" i="6"/>
  <c r="Q42" i="6" s="1"/>
  <c r="U42" i="6" s="1"/>
  <c r="I169" i="6"/>
  <c r="Q169" i="6" s="1"/>
  <c r="U169" i="6" s="1"/>
  <c r="W385" i="6"/>
  <c r="H385" i="6"/>
  <c r="R385" i="6" s="1"/>
  <c r="I328" i="6"/>
  <c r="Q328" i="6" s="1"/>
  <c r="U328" i="6" s="1"/>
  <c r="I526" i="6"/>
  <c r="Q526" i="6" s="1"/>
  <c r="U526" i="6" s="1"/>
  <c r="I293" i="6"/>
  <c r="Q293" i="6" s="1"/>
  <c r="U293" i="6" s="1"/>
  <c r="I194" i="6"/>
  <c r="Q194" i="6" s="1"/>
  <c r="U194" i="6" s="1"/>
  <c r="I165" i="6"/>
  <c r="Q165" i="6" s="1"/>
  <c r="U165" i="6" s="1"/>
  <c r="I113" i="6"/>
  <c r="Q113" i="6" s="1"/>
  <c r="U113" i="6" s="1"/>
  <c r="H345" i="6"/>
  <c r="I345" i="6" s="1"/>
  <c r="Q345" i="6" s="1"/>
  <c r="W345" i="6"/>
  <c r="I29" i="6"/>
  <c r="Q29" i="6" s="1"/>
  <c r="U29" i="6" s="1"/>
  <c r="I235" i="6"/>
  <c r="Q235" i="6" s="1"/>
  <c r="U235" i="6" s="1"/>
  <c r="I592" i="6"/>
  <c r="Q592" i="6" s="1"/>
  <c r="U592" i="6" s="1"/>
  <c r="I216" i="6"/>
  <c r="Q216" i="6" s="1"/>
  <c r="U216" i="6" s="1"/>
  <c r="I182" i="6"/>
  <c r="Q182" i="6" s="1"/>
  <c r="U182" i="6" s="1"/>
  <c r="I579" i="6"/>
  <c r="Q579" i="6" s="1"/>
  <c r="U579" i="6" s="1"/>
  <c r="I254" i="6"/>
  <c r="Q254" i="6" s="1"/>
  <c r="U254" i="6" s="1"/>
  <c r="I476" i="6"/>
  <c r="Q476" i="6" s="1"/>
  <c r="U476" i="6" s="1"/>
  <c r="I97" i="6"/>
  <c r="Q97" i="6" s="1"/>
  <c r="U97" i="6" s="1"/>
  <c r="I449" i="6"/>
  <c r="Q449" i="6" s="1"/>
  <c r="U449" i="6" s="1"/>
  <c r="G68" i="6"/>
  <c r="I544" i="6"/>
  <c r="Q544" i="6" s="1"/>
  <c r="U544" i="6" s="1"/>
  <c r="G485" i="6"/>
  <c r="I429" i="6"/>
  <c r="Q429" i="6" s="1"/>
  <c r="U429" i="6" s="1"/>
  <c r="N128" i="6"/>
  <c r="O128" i="6" s="1"/>
  <c r="G245" i="6"/>
  <c r="I542" i="6"/>
  <c r="Q542" i="6" s="1"/>
  <c r="U542" i="6" s="1"/>
  <c r="I531" i="6"/>
  <c r="Q531" i="6" s="1"/>
  <c r="U531" i="6" s="1"/>
  <c r="G248" i="6"/>
  <c r="I161" i="6"/>
  <c r="Q161" i="6" s="1"/>
  <c r="U161" i="6" s="1"/>
  <c r="I41" i="6"/>
  <c r="Q41" i="6" s="1"/>
  <c r="U41" i="6" s="1"/>
  <c r="I428" i="6"/>
  <c r="Q428" i="6" s="1"/>
  <c r="U428" i="6" s="1"/>
  <c r="I341" i="6"/>
  <c r="Q341" i="6" s="1"/>
  <c r="U341" i="6" s="1"/>
  <c r="I435" i="6"/>
  <c r="Q435" i="6" s="1"/>
  <c r="U435" i="6" s="1"/>
  <c r="I419" i="6"/>
  <c r="Q419" i="6" s="1"/>
  <c r="U419" i="6" s="1"/>
  <c r="I606" i="6"/>
  <c r="Q606" i="6" s="1"/>
  <c r="U606" i="6" s="1"/>
  <c r="I441" i="6"/>
  <c r="Q441" i="6" s="1"/>
  <c r="U441" i="6" s="1"/>
  <c r="N444" i="6"/>
  <c r="O444" i="6" s="1"/>
  <c r="H187" i="6"/>
  <c r="I187" i="6" s="1"/>
  <c r="Q187" i="6" s="1"/>
  <c r="W187" i="6"/>
  <c r="J187" i="6"/>
  <c r="S187" i="6" s="1"/>
  <c r="I364" i="6"/>
  <c r="Q364" i="6" s="1"/>
  <c r="U364" i="6" s="1"/>
  <c r="H468" i="6"/>
  <c r="R468" i="6" s="1"/>
  <c r="W468" i="6"/>
  <c r="J468" i="6"/>
  <c r="S468" i="6" s="1"/>
  <c r="I396" i="6"/>
  <c r="Q396" i="6" s="1"/>
  <c r="U396" i="6" s="1"/>
  <c r="H48" i="6"/>
  <c r="R48" i="6" s="1"/>
  <c r="W48" i="6"/>
  <c r="J48" i="6"/>
  <c r="S48" i="6" s="1"/>
  <c r="W210" i="6"/>
  <c r="H210" i="6"/>
  <c r="I115" i="6"/>
  <c r="Q115" i="6" s="1"/>
  <c r="U115" i="6" s="1"/>
  <c r="I594" i="6"/>
  <c r="Q594" i="6" s="1"/>
  <c r="U594" i="6" s="1"/>
  <c r="I333" i="6"/>
  <c r="Q333" i="6" s="1"/>
  <c r="U333" i="6" s="1"/>
  <c r="G8" i="6"/>
  <c r="I203" i="6"/>
  <c r="Q203" i="6" s="1"/>
  <c r="U203" i="6" s="1"/>
  <c r="H349" i="6"/>
  <c r="I349" i="6" s="1"/>
  <c r="Q349" i="6" s="1"/>
  <c r="W349" i="6"/>
  <c r="H444" i="6"/>
  <c r="R444" i="6" s="1"/>
  <c r="W444" i="6"/>
  <c r="N385" i="6"/>
  <c r="O385" i="6" s="1"/>
  <c r="H44" i="6"/>
  <c r="R44" i="6" s="1"/>
  <c r="W44" i="6"/>
  <c r="J44" i="6"/>
  <c r="S44" i="6" s="1"/>
  <c r="H65" i="6"/>
  <c r="R65" i="6" s="1"/>
  <c r="W65" i="6"/>
  <c r="N487" i="6"/>
  <c r="O487" i="6" s="1"/>
  <c r="I153" i="6"/>
  <c r="Q153" i="6" s="1"/>
  <c r="U153" i="6" s="1"/>
  <c r="N549" i="6"/>
  <c r="O549" i="6" s="1"/>
  <c r="H185" i="6"/>
  <c r="R185" i="6" s="1"/>
  <c r="W185" i="6"/>
  <c r="J185" i="6"/>
  <c r="S185" i="6" s="1"/>
  <c r="G348" i="6"/>
  <c r="H505" i="6"/>
  <c r="R505" i="6" s="1"/>
  <c r="W505" i="6"/>
  <c r="H9" i="6"/>
  <c r="I9" i="6" s="1"/>
  <c r="W9" i="6"/>
  <c r="K9" i="6"/>
  <c r="T9" i="6" s="1"/>
  <c r="I317" i="6"/>
  <c r="Q317" i="6" s="1"/>
  <c r="U317" i="6" s="1"/>
  <c r="I593" i="6"/>
  <c r="Q593" i="6" s="1"/>
  <c r="U593" i="6" s="1"/>
  <c r="I179" i="6"/>
  <c r="Q179" i="6" s="1"/>
  <c r="U179" i="6" s="1"/>
  <c r="H327" i="6"/>
  <c r="R327" i="6" s="1"/>
  <c r="W327" i="6"/>
  <c r="J327" i="6"/>
  <c r="S327" i="6" s="1"/>
  <c r="I488" i="6"/>
  <c r="Q488" i="6" s="1"/>
  <c r="U488" i="6" s="1"/>
  <c r="H605" i="6"/>
  <c r="I605" i="6" s="1"/>
  <c r="Q605" i="6" s="1"/>
  <c r="W605" i="6"/>
  <c r="J605" i="6"/>
  <c r="S605" i="6" s="1"/>
  <c r="I460" i="6"/>
  <c r="Q460" i="6" s="1"/>
  <c r="U460" i="6" s="1"/>
  <c r="I379" i="6"/>
  <c r="Q379" i="6" s="1"/>
  <c r="U379" i="6" s="1"/>
  <c r="I413" i="6"/>
  <c r="Q413" i="6" s="1"/>
  <c r="U413" i="6" s="1"/>
  <c r="I302" i="6"/>
  <c r="Q302" i="6" s="1"/>
  <c r="U302" i="6" s="1"/>
  <c r="I448" i="6"/>
  <c r="Q448" i="6" s="1"/>
  <c r="I409" i="6"/>
  <c r="Q409" i="6" s="1"/>
  <c r="U409" i="6" s="1"/>
  <c r="W307" i="6"/>
  <c r="H307" i="6"/>
  <c r="R307" i="6" s="1"/>
  <c r="I86" i="6"/>
  <c r="Q86" i="6" s="1"/>
  <c r="U86" i="6" s="1"/>
  <c r="G109" i="6"/>
  <c r="I521" i="6"/>
  <c r="Q521" i="6" s="1"/>
  <c r="U521" i="6" s="1"/>
  <c r="H529" i="6"/>
  <c r="R529" i="6" s="1"/>
  <c r="W529" i="6"/>
  <c r="I571" i="6"/>
  <c r="Q571" i="6" s="1"/>
  <c r="U571" i="6" s="1"/>
  <c r="I98" i="6"/>
  <c r="Q98" i="6" s="1"/>
  <c r="U98" i="6" s="1"/>
  <c r="I406" i="6"/>
  <c r="Q406" i="6" s="1"/>
  <c r="U406" i="6" s="1"/>
  <c r="I85" i="6"/>
  <c r="Q85" i="6" s="1"/>
  <c r="U85" i="6" s="1"/>
  <c r="G389" i="6"/>
  <c r="N389" i="6" s="1"/>
  <c r="O389" i="6" s="1"/>
  <c r="I381" i="6"/>
  <c r="Q381" i="6" s="1"/>
  <c r="U381" i="6" s="1"/>
  <c r="I301" i="6"/>
  <c r="Q301" i="6" s="1"/>
  <c r="U301" i="6" s="1"/>
  <c r="I467" i="6"/>
  <c r="Q467" i="6" s="1"/>
  <c r="I525" i="6"/>
  <c r="Q525" i="6" s="1"/>
  <c r="U525" i="6" s="1"/>
  <c r="N44" i="6"/>
  <c r="O44" i="6" s="1"/>
  <c r="I221" i="6"/>
  <c r="Q221" i="6" s="1"/>
  <c r="U221" i="6" s="1"/>
  <c r="N187" i="6"/>
  <c r="O187" i="6" s="1"/>
  <c r="I147" i="6"/>
  <c r="Q147" i="6" s="1"/>
  <c r="U147" i="6" s="1"/>
  <c r="I555" i="6"/>
  <c r="Q555" i="6" s="1"/>
  <c r="U555" i="6" s="1"/>
  <c r="I27" i="6"/>
  <c r="Q27" i="6" s="1"/>
  <c r="I154" i="6"/>
  <c r="Q154" i="6" s="1"/>
  <c r="U154" i="6" s="1"/>
  <c r="I528" i="6"/>
  <c r="Q528" i="6" s="1"/>
  <c r="U528" i="6" s="1"/>
  <c r="H491" i="6"/>
  <c r="W491" i="6"/>
  <c r="I174" i="6"/>
  <c r="Q174" i="6" s="1"/>
  <c r="U174" i="6" s="1"/>
  <c r="G344" i="6"/>
  <c r="N65" i="6"/>
  <c r="O65" i="6" s="1"/>
  <c r="W266" i="6"/>
  <c r="H266" i="6"/>
  <c r="R266" i="6" s="1"/>
  <c r="I260" i="6"/>
  <c r="Q260" i="6" s="1"/>
  <c r="U260" i="6" s="1"/>
  <c r="I18" i="6"/>
  <c r="Q18" i="6" s="1"/>
  <c r="U18" i="6" s="1"/>
  <c r="H188" i="6"/>
  <c r="R188" i="6" s="1"/>
  <c r="W188" i="6"/>
  <c r="J188" i="6"/>
  <c r="S188" i="6" s="1"/>
  <c r="H5" i="6"/>
  <c r="I5" i="6" s="1"/>
  <c r="W5" i="6"/>
  <c r="K5" i="6"/>
  <c r="T5" i="6" s="1"/>
  <c r="H509" i="6"/>
  <c r="R509" i="6" s="1"/>
  <c r="W509" i="6"/>
  <c r="H549" i="6"/>
  <c r="R549" i="6" s="1"/>
  <c r="W549" i="6"/>
  <c r="I141" i="6"/>
  <c r="Q141" i="6" s="1"/>
  <c r="U141" i="6" s="1"/>
  <c r="I438" i="6"/>
  <c r="Q438" i="6" s="1"/>
  <c r="U438" i="6" s="1"/>
  <c r="I286" i="6"/>
  <c r="Q286" i="6" s="1"/>
  <c r="U286" i="6" s="1"/>
  <c r="H304" i="6"/>
  <c r="R304" i="6" s="1"/>
  <c r="W304" i="6"/>
  <c r="I386" i="6"/>
  <c r="Q386" i="6" s="1"/>
  <c r="U386" i="6" s="1"/>
  <c r="G489" i="6"/>
  <c r="I315" i="6"/>
  <c r="Q315" i="6" s="1"/>
  <c r="U315" i="6" s="1"/>
  <c r="I520" i="6"/>
  <c r="Q520" i="6" s="1"/>
  <c r="U520" i="6" s="1"/>
  <c r="I504" i="6"/>
  <c r="Q504" i="6" s="1"/>
  <c r="I228" i="6"/>
  <c r="Q228" i="6" s="1"/>
  <c r="U228" i="6" s="1"/>
  <c r="I308" i="6"/>
  <c r="Q308" i="6" s="1"/>
  <c r="U308" i="6" s="1"/>
  <c r="I213" i="6"/>
  <c r="Q213" i="6" s="1"/>
  <c r="U213" i="6" s="1"/>
  <c r="I500" i="6"/>
  <c r="Q500" i="6" s="1"/>
  <c r="U500" i="6" s="1"/>
  <c r="H10" i="6"/>
  <c r="W10" i="6"/>
  <c r="K10" i="6"/>
  <c r="T10" i="6" s="1"/>
  <c r="N347" i="6"/>
  <c r="O347" i="6" s="1"/>
  <c r="I274" i="6"/>
  <c r="Q274" i="6" s="1"/>
  <c r="U274" i="6" s="1"/>
  <c r="I584" i="6"/>
  <c r="Q584" i="6" s="1"/>
  <c r="U584" i="6" s="1"/>
  <c r="I277" i="6"/>
  <c r="Q277" i="6" s="1"/>
  <c r="U277" i="6" s="1"/>
  <c r="I388" i="6"/>
  <c r="Q388" i="6" s="1"/>
  <c r="U388" i="6" s="1"/>
  <c r="I363" i="6"/>
  <c r="Q363" i="6" s="1"/>
  <c r="U363" i="6" s="1"/>
  <c r="I358" i="6"/>
  <c r="Q358" i="6" s="1"/>
  <c r="U358" i="6" s="1"/>
  <c r="I365" i="6"/>
  <c r="Q365" i="6" s="1"/>
  <c r="U365" i="6" s="1"/>
  <c r="I190" i="6"/>
  <c r="Q190" i="6" s="1"/>
  <c r="U190" i="6" s="1"/>
  <c r="I49" i="6"/>
  <c r="Q49" i="6" s="1"/>
  <c r="U49" i="6" s="1"/>
  <c r="I376" i="6"/>
  <c r="Q376" i="6" s="1"/>
  <c r="U376" i="6" s="1"/>
  <c r="I416" i="6"/>
  <c r="Q416" i="6" s="1"/>
  <c r="U416" i="6" s="1"/>
  <c r="I261" i="6"/>
  <c r="Q261" i="6" s="1"/>
  <c r="U261" i="6" s="1"/>
  <c r="G547" i="6"/>
  <c r="I411" i="6"/>
  <c r="Q411" i="6" s="1"/>
  <c r="U411" i="6" s="1"/>
  <c r="G284" i="6"/>
  <c r="N284" i="6" s="1"/>
  <c r="O284" i="6" s="1"/>
  <c r="N48" i="6"/>
  <c r="O48" i="6" s="1"/>
  <c r="I156" i="6"/>
  <c r="Q156" i="6" s="1"/>
  <c r="U156" i="6" s="1"/>
  <c r="I405" i="6"/>
  <c r="Q405" i="6" s="1"/>
  <c r="U405" i="6" s="1"/>
  <c r="I238" i="6"/>
  <c r="Q238" i="6" s="1"/>
  <c r="U238" i="6" s="1"/>
  <c r="I244" i="6"/>
  <c r="Q244" i="6" s="1"/>
  <c r="U244" i="6" s="1"/>
  <c r="I309" i="6"/>
  <c r="Q309" i="6" s="1"/>
  <c r="G64" i="6"/>
  <c r="W73" i="6"/>
  <c r="H73" i="6"/>
  <c r="G186" i="6"/>
  <c r="H288" i="6"/>
  <c r="R288" i="6" s="1"/>
  <c r="W288" i="6"/>
  <c r="H246" i="6"/>
  <c r="R246" i="6" s="1"/>
  <c r="W246" i="6"/>
  <c r="G508" i="6"/>
  <c r="H205" i="6"/>
  <c r="I205" i="6" s="1"/>
  <c r="Q205" i="6" s="1"/>
  <c r="W205" i="6"/>
  <c r="I36" i="6"/>
  <c r="Q36" i="6" s="1"/>
  <c r="U36" i="6" s="1"/>
  <c r="H589" i="6"/>
  <c r="R589" i="6" s="1"/>
  <c r="W589" i="6"/>
  <c r="I114" i="6"/>
  <c r="Q114" i="6" s="1"/>
  <c r="U114" i="6" s="1"/>
  <c r="I355" i="6"/>
  <c r="Q355" i="6" s="1"/>
  <c r="U355" i="6" s="1"/>
  <c r="I106" i="6"/>
  <c r="Q106" i="6" s="1"/>
  <c r="U106" i="6" s="1"/>
  <c r="H287" i="6"/>
  <c r="R287" i="6" s="1"/>
  <c r="W287" i="6"/>
  <c r="H24" i="6"/>
  <c r="R24" i="6" s="1"/>
  <c r="W24" i="6"/>
  <c r="H565" i="6"/>
  <c r="R565" i="6" s="1"/>
  <c r="W565" i="6"/>
  <c r="I139" i="6"/>
  <c r="Q139" i="6" s="1"/>
  <c r="U139" i="6" s="1"/>
  <c r="I17" i="6"/>
  <c r="Q17" i="6" s="1"/>
  <c r="U17" i="6" s="1"/>
  <c r="I75" i="6"/>
  <c r="Q75" i="6" s="1"/>
  <c r="U75" i="6" s="1"/>
  <c r="I253" i="6"/>
  <c r="Q253" i="6" s="1"/>
  <c r="U253" i="6" s="1"/>
  <c r="H69" i="6"/>
  <c r="I69" i="6" s="1"/>
  <c r="Q69" i="6" s="1"/>
  <c r="W69" i="6"/>
  <c r="H208" i="6"/>
  <c r="I208" i="6" s="1"/>
  <c r="Q208" i="6" s="1"/>
  <c r="W208" i="6"/>
  <c r="I560" i="6"/>
  <c r="Q560" i="6" s="1"/>
  <c r="U560" i="6" s="1"/>
  <c r="I140" i="6"/>
  <c r="Q140" i="6" s="1"/>
  <c r="U140" i="6" s="1"/>
  <c r="I204" i="6"/>
  <c r="Q204" i="6" s="1"/>
  <c r="U204" i="6" s="1"/>
  <c r="G4" i="6"/>
  <c r="I430" i="6"/>
  <c r="Q430" i="6" s="1"/>
  <c r="U430" i="6" s="1"/>
  <c r="R504" i="6"/>
  <c r="I83" i="6"/>
  <c r="Q83" i="6" s="1"/>
  <c r="U83" i="6" s="1"/>
  <c r="H350" i="6"/>
  <c r="I350" i="6" s="1"/>
  <c r="Q350" i="6" s="1"/>
  <c r="W350" i="6"/>
  <c r="I427" i="6"/>
  <c r="Q427" i="6" s="1"/>
  <c r="I35" i="6"/>
  <c r="Q35" i="6" s="1"/>
  <c r="U35" i="6" s="1"/>
  <c r="H125" i="6"/>
  <c r="R125" i="6" s="1"/>
  <c r="W125" i="6"/>
  <c r="I362" i="6"/>
  <c r="Q362" i="6" s="1"/>
  <c r="U362" i="6" s="1"/>
  <c r="H128" i="6"/>
  <c r="R128" i="6" s="1"/>
  <c r="W128" i="6"/>
  <c r="H149" i="6"/>
  <c r="R149" i="6" s="1"/>
  <c r="W149" i="6"/>
  <c r="I171" i="6"/>
  <c r="Q171" i="6" s="1"/>
  <c r="U171" i="6" s="1"/>
  <c r="H206" i="6"/>
  <c r="R206" i="6" s="1"/>
  <c r="W206" i="6"/>
  <c r="H267" i="6"/>
  <c r="R267" i="6" s="1"/>
  <c r="W267" i="6"/>
  <c r="I82" i="6"/>
  <c r="Q82" i="6" s="1"/>
  <c r="U82" i="6" s="1"/>
  <c r="H7" i="6"/>
  <c r="I7" i="6" s="1"/>
  <c r="W7" i="6"/>
  <c r="K7" i="6"/>
  <c r="T7" i="6" s="1"/>
  <c r="H88" i="6"/>
  <c r="R88" i="6" s="1"/>
  <c r="W88" i="6"/>
  <c r="G367" i="6"/>
  <c r="I609" i="6" l="1"/>
  <c r="Q609" i="6" s="1"/>
  <c r="U609" i="6" s="1"/>
  <c r="N506" i="5"/>
  <c r="I112" i="6"/>
  <c r="Q112" i="6" s="1"/>
  <c r="U112" i="6" s="1"/>
  <c r="I551" i="6"/>
  <c r="Q551" i="6" s="1"/>
  <c r="U551" i="6" s="1"/>
  <c r="U251" i="6"/>
  <c r="I331" i="6"/>
  <c r="Q331" i="6" s="1"/>
  <c r="U331" i="6" s="1"/>
  <c r="U309" i="6"/>
  <c r="I132" i="6"/>
  <c r="Q132" i="6" s="1"/>
  <c r="U132" i="6" s="1"/>
  <c r="I264" i="6"/>
  <c r="Q264" i="6" s="1"/>
  <c r="U264" i="6" s="1"/>
  <c r="I91" i="6"/>
  <c r="Q91" i="6" s="1"/>
  <c r="U91" i="6" s="1"/>
  <c r="U372" i="6"/>
  <c r="I330" i="6"/>
  <c r="Q330" i="6" s="1"/>
  <c r="U330" i="6" s="1"/>
  <c r="I11" i="6"/>
  <c r="Q11" i="6" s="1"/>
  <c r="U11" i="6" s="1"/>
  <c r="I25" i="6"/>
  <c r="Q25" i="6" s="1"/>
  <c r="U25" i="6" s="1"/>
  <c r="I586" i="6"/>
  <c r="Q586" i="6" s="1"/>
  <c r="U586" i="6" s="1"/>
  <c r="I511" i="6"/>
  <c r="Q511" i="6" s="1"/>
  <c r="U511" i="6" s="1"/>
  <c r="I567" i="6"/>
  <c r="Q567" i="6" s="1"/>
  <c r="U567" i="6" s="1"/>
  <c r="I225" i="6"/>
  <c r="Q225" i="6" s="1"/>
  <c r="U225" i="6" s="1"/>
  <c r="N46" i="5"/>
  <c r="N466" i="5"/>
  <c r="N26" i="5"/>
  <c r="I105" i="6"/>
  <c r="Q105" i="6" s="1"/>
  <c r="U105" i="6" s="1"/>
  <c r="I445" i="6"/>
  <c r="Q445" i="6" s="1"/>
  <c r="U445" i="6" s="1"/>
  <c r="N6" i="5"/>
  <c r="I366" i="6"/>
  <c r="Q366" i="6" s="1"/>
  <c r="U366" i="6" s="1"/>
  <c r="I432" i="6"/>
  <c r="Q432" i="6" s="1"/>
  <c r="U432" i="6" s="1"/>
  <c r="U612" i="6"/>
  <c r="I6" i="6"/>
  <c r="Q6" i="6" s="1"/>
  <c r="U6" i="6" s="1"/>
  <c r="I230" i="6"/>
  <c r="Q230" i="6" s="1"/>
  <c r="U230" i="6" s="1"/>
  <c r="I412" i="6"/>
  <c r="Q412" i="6" s="1"/>
  <c r="U412" i="6" s="1"/>
  <c r="N346" i="5"/>
  <c r="U465" i="6"/>
  <c r="I144" i="6"/>
  <c r="Q144" i="6" s="1"/>
  <c r="U144" i="6" s="1"/>
  <c r="I608" i="6"/>
  <c r="Q608" i="6" s="1"/>
  <c r="U608" i="6" s="1"/>
  <c r="N386" i="5"/>
  <c r="U27" i="6"/>
  <c r="I229" i="6"/>
  <c r="Q229" i="6" s="1"/>
  <c r="U229" i="6" s="1"/>
  <c r="I324" i="6"/>
  <c r="Q324" i="6" s="1"/>
  <c r="U324" i="6" s="1"/>
  <c r="I224" i="6"/>
  <c r="Q224" i="6" s="1"/>
  <c r="U224" i="6" s="1"/>
  <c r="N504" i="5"/>
  <c r="U351" i="6"/>
  <c r="U545" i="6"/>
  <c r="U391" i="6"/>
  <c r="I408" i="6"/>
  <c r="Q408" i="6" s="1"/>
  <c r="U408" i="6" s="1"/>
  <c r="U332" i="6"/>
  <c r="I569" i="6"/>
  <c r="Q569" i="6" s="1"/>
  <c r="U569" i="6" s="1"/>
  <c r="I104" i="6"/>
  <c r="Q104" i="6" s="1"/>
  <c r="U104" i="6" s="1"/>
  <c r="I89" i="6"/>
  <c r="Q89" i="6" s="1"/>
  <c r="U89" i="6" s="1"/>
  <c r="H13" i="7"/>
  <c r="E13" i="7"/>
  <c r="R252" i="6"/>
  <c r="I252" i="6"/>
  <c r="Q252" i="6" s="1"/>
  <c r="E14" i="7"/>
  <c r="I532" i="6"/>
  <c r="Q532" i="6" s="1"/>
  <c r="U532" i="6" s="1"/>
  <c r="U111" i="6"/>
  <c r="I285" i="6"/>
  <c r="Q285" i="6" s="1"/>
  <c r="U285" i="6" s="1"/>
  <c r="I192" i="6"/>
  <c r="Q192" i="6" s="1"/>
  <c r="U192" i="6" s="1"/>
  <c r="U507" i="6"/>
  <c r="U448" i="6"/>
  <c r="N566" i="5"/>
  <c r="N486" i="5"/>
  <c r="U130" i="6"/>
  <c r="H14" i="7"/>
  <c r="I272" i="6"/>
  <c r="Q272" i="6" s="1"/>
  <c r="R272" i="6"/>
  <c r="R31" i="6"/>
  <c r="I31" i="6"/>
  <c r="Q31" i="6" s="1"/>
  <c r="R71" i="6"/>
  <c r="I71" i="6"/>
  <c r="Q71" i="6" s="1"/>
  <c r="U70" i="6"/>
  <c r="U427" i="6"/>
  <c r="N606" i="5"/>
  <c r="R72" i="6"/>
  <c r="I72" i="6"/>
  <c r="Q72" i="6" s="1"/>
  <c r="N546" i="5"/>
  <c r="I145" i="6"/>
  <c r="Q145" i="6" s="1"/>
  <c r="U145" i="6" s="1"/>
  <c r="R490" i="6"/>
  <c r="I490" i="6"/>
  <c r="Q490" i="6" s="1"/>
  <c r="R607" i="6"/>
  <c r="I607" i="6"/>
  <c r="Q607" i="6" s="1"/>
  <c r="N526" i="5"/>
  <c r="N586" i="5"/>
  <c r="R486" i="6"/>
  <c r="U486" i="6" s="1"/>
  <c r="I10" i="6"/>
  <c r="E12" i="7"/>
  <c r="R312" i="6"/>
  <c r="I312" i="6"/>
  <c r="Q312" i="6" s="1"/>
  <c r="R110" i="6"/>
  <c r="I110" i="6"/>
  <c r="Q110" i="6" s="1"/>
  <c r="Q12" i="6"/>
  <c r="U12" i="6" s="1"/>
  <c r="H12" i="7"/>
  <c r="I524" i="6"/>
  <c r="Q524" i="6" s="1"/>
  <c r="U524" i="6" s="1"/>
  <c r="I45" i="6"/>
  <c r="Q45" i="6" s="1"/>
  <c r="U45" i="6" s="1"/>
  <c r="U40" i="6"/>
  <c r="U467" i="6"/>
  <c r="I87" i="6"/>
  <c r="Q87" i="6" s="1"/>
  <c r="U87" i="6" s="1"/>
  <c r="I28" i="6"/>
  <c r="Q28" i="6" s="1"/>
  <c r="U28" i="6" s="1"/>
  <c r="U37" i="6"/>
  <c r="N604" i="5"/>
  <c r="N564" i="5"/>
  <c r="N544" i="5"/>
  <c r="N584" i="5"/>
  <c r="N524" i="5"/>
  <c r="N484" i="5"/>
  <c r="U21" i="6"/>
  <c r="U232" i="6"/>
  <c r="N167" i="5"/>
  <c r="N107" i="5"/>
  <c r="N127" i="5"/>
  <c r="I166" i="6"/>
  <c r="Q166" i="6" s="1"/>
  <c r="U166" i="6" s="1"/>
  <c r="U613" i="6"/>
  <c r="U38" i="6"/>
  <c r="U56" i="6"/>
  <c r="C7" i="7"/>
  <c r="N446" i="5"/>
  <c r="I369" i="6"/>
  <c r="Q369" i="6" s="1"/>
  <c r="U369" i="6" s="1"/>
  <c r="N125" i="5"/>
  <c r="U93" i="6"/>
  <c r="I588" i="6"/>
  <c r="Q588" i="6" s="1"/>
  <c r="U588" i="6" s="1"/>
  <c r="I587" i="6"/>
  <c r="Q587" i="6" s="1"/>
  <c r="U587" i="6" s="1"/>
  <c r="N366" i="5"/>
  <c r="U541" i="6"/>
  <c r="I548" i="6"/>
  <c r="Q548" i="6" s="1"/>
  <c r="U548" i="6" s="1"/>
  <c r="U32" i="6"/>
  <c r="I48" i="6"/>
  <c r="Q48" i="6" s="1"/>
  <c r="U48" i="6" s="1"/>
  <c r="I326" i="6"/>
  <c r="Q326" i="6" s="1"/>
  <c r="U13" i="6"/>
  <c r="U375" i="6"/>
  <c r="U383" i="6"/>
  <c r="C9" i="7"/>
  <c r="R167" i="6"/>
  <c r="I167" i="6"/>
  <c r="Q167" i="6" s="1"/>
  <c r="U281" i="6"/>
  <c r="I266" i="6"/>
  <c r="Q266" i="6" s="1"/>
  <c r="U266" i="6" s="1"/>
  <c r="I327" i="6"/>
  <c r="Q327" i="6" s="1"/>
  <c r="U327" i="6" s="1"/>
  <c r="R207" i="6"/>
  <c r="I207" i="6"/>
  <c r="Q207" i="6" s="1"/>
  <c r="I468" i="6"/>
  <c r="Q468" i="6" s="1"/>
  <c r="U468" i="6" s="1"/>
  <c r="N380" i="5"/>
  <c r="I88" i="6"/>
  <c r="Q88" i="6" s="1"/>
  <c r="U88" i="6" s="1"/>
  <c r="I527" i="6"/>
  <c r="Q527" i="6" s="1"/>
  <c r="U527" i="6" s="1"/>
  <c r="U326" i="6"/>
  <c r="I509" i="6"/>
  <c r="Q509" i="6" s="1"/>
  <c r="U509" i="6" s="1"/>
  <c r="U343" i="6"/>
  <c r="I484" i="6"/>
  <c r="Q484" i="6" s="1"/>
  <c r="U484" i="6" s="1"/>
  <c r="I108" i="6"/>
  <c r="Q108" i="6" s="1"/>
  <c r="U108" i="6" s="1"/>
  <c r="I206" i="6"/>
  <c r="Q206" i="6" s="1"/>
  <c r="U206" i="6" s="1"/>
  <c r="I128" i="6"/>
  <c r="Q128" i="6" s="1"/>
  <c r="U128" i="6" s="1"/>
  <c r="I65" i="6"/>
  <c r="Q65" i="6" s="1"/>
  <c r="U65" i="6" s="1"/>
  <c r="U463" i="6"/>
  <c r="I549" i="6"/>
  <c r="Q549" i="6" s="1"/>
  <c r="U549" i="6" s="1"/>
  <c r="I44" i="6"/>
  <c r="Q44" i="6" s="1"/>
  <c r="U44" i="6" s="1"/>
  <c r="I307" i="6"/>
  <c r="Q307" i="6" s="1"/>
  <c r="U307" i="6" s="1"/>
  <c r="I84" i="6"/>
  <c r="Q84" i="6" s="1"/>
  <c r="U84" i="6" s="1"/>
  <c r="I447" i="6"/>
  <c r="Q447" i="6" s="1"/>
  <c r="U447" i="6" s="1"/>
  <c r="R329" i="6"/>
  <c r="I329" i="6"/>
  <c r="Q329" i="6" s="1"/>
  <c r="H489" i="6"/>
  <c r="W489" i="6"/>
  <c r="H389" i="6"/>
  <c r="I389" i="6" s="1"/>
  <c r="Q389" i="6" s="1"/>
  <c r="W389" i="6"/>
  <c r="C11" i="7"/>
  <c r="I505" i="6"/>
  <c r="Q505" i="6" s="1"/>
  <c r="U505" i="6" s="1"/>
  <c r="I425" i="6"/>
  <c r="Q425" i="6" s="1"/>
  <c r="U425" i="6" s="1"/>
  <c r="R227" i="6"/>
  <c r="R446" i="6"/>
  <c r="N406" i="5"/>
  <c r="N426" i="5"/>
  <c r="R491" i="6"/>
  <c r="N559" i="5"/>
  <c r="N620" i="5"/>
  <c r="N551" i="5"/>
  <c r="N523" i="5"/>
  <c r="N561" i="5"/>
  <c r="N596" i="5"/>
  <c r="N490" i="5"/>
  <c r="N613" i="5"/>
  <c r="N530" i="5"/>
  <c r="N540" i="5"/>
  <c r="N516" i="5"/>
  <c r="N517" i="5"/>
  <c r="N513" i="5"/>
  <c r="N599" i="5"/>
  <c r="N560" i="5"/>
  <c r="N614" i="5"/>
  <c r="N571" i="5"/>
  <c r="N542" i="5"/>
  <c r="N520" i="5"/>
  <c r="N562" i="5"/>
  <c r="N597" i="5"/>
  <c r="N583" i="5"/>
  <c r="N553" i="5"/>
  <c r="N603" i="5"/>
  <c r="N494" i="5"/>
  <c r="N501" i="5"/>
  <c r="N622" i="5"/>
  <c r="N536" i="5"/>
  <c r="N595" i="5"/>
  <c r="N534" i="5"/>
  <c r="N612" i="5"/>
  <c r="N493" i="5"/>
  <c r="N602" i="5"/>
  <c r="N532" i="5"/>
  <c r="N503" i="5"/>
  <c r="N594" i="5"/>
  <c r="N600" i="5"/>
  <c r="N511" i="5"/>
  <c r="N541" i="5"/>
  <c r="N615" i="5"/>
  <c r="N621" i="5"/>
  <c r="N570" i="5"/>
  <c r="N593" i="5"/>
  <c r="N578" i="5"/>
  <c r="N557" i="5"/>
  <c r="N538" i="5"/>
  <c r="N582" i="5"/>
  <c r="N497" i="5"/>
  <c r="N555" i="5"/>
  <c r="N592" i="5"/>
  <c r="N499" i="5"/>
  <c r="N598" i="5"/>
  <c r="N521" i="5"/>
  <c r="N512" i="5"/>
  <c r="N591" i="5"/>
  <c r="N510" i="5"/>
  <c r="N619" i="5"/>
  <c r="N502" i="5"/>
  <c r="N573" i="5"/>
  <c r="N556" i="5"/>
  <c r="N543" i="5"/>
  <c r="N590" i="5"/>
  <c r="N574" i="5"/>
  <c r="N537" i="5"/>
  <c r="N575" i="5"/>
  <c r="N515" i="5"/>
  <c r="N498" i="5"/>
  <c r="N518" i="5"/>
  <c r="N522" i="5"/>
  <c r="N552" i="5"/>
  <c r="N611" i="5"/>
  <c r="N618" i="5"/>
  <c r="N535" i="5"/>
  <c r="N623" i="5"/>
  <c r="N550" i="5"/>
  <c r="N580" i="5"/>
  <c r="N495" i="5"/>
  <c r="N616" i="5"/>
  <c r="N576" i="5"/>
  <c r="N496" i="5"/>
  <c r="N531" i="5"/>
  <c r="N572" i="5"/>
  <c r="N514" i="5"/>
  <c r="N581" i="5"/>
  <c r="N563" i="5"/>
  <c r="N500" i="5"/>
  <c r="N492" i="5"/>
  <c r="N533" i="5"/>
  <c r="N617" i="5"/>
  <c r="N519" i="5"/>
  <c r="N539" i="5"/>
  <c r="N577" i="5"/>
  <c r="N558" i="5"/>
  <c r="N610" i="5"/>
  <c r="N554" i="5"/>
  <c r="N601" i="5"/>
  <c r="N579" i="5"/>
  <c r="N491" i="5"/>
  <c r="N185" i="5"/>
  <c r="I125" i="6"/>
  <c r="Q125" i="6" s="1"/>
  <c r="U125" i="6" s="1"/>
  <c r="R350" i="6"/>
  <c r="U350" i="6" s="1"/>
  <c r="N400" i="5"/>
  <c r="N443" i="5"/>
  <c r="N377" i="5"/>
  <c r="N397" i="5"/>
  <c r="N474" i="5"/>
  <c r="N370" i="5"/>
  <c r="N433" i="5"/>
  <c r="N421" i="5"/>
  <c r="N482" i="5"/>
  <c r="N376" i="5"/>
  <c r="N381" i="5"/>
  <c r="N462" i="5"/>
  <c r="N453" i="5"/>
  <c r="N483" i="5"/>
  <c r="N402" i="5"/>
  <c r="N395" i="5"/>
  <c r="N357" i="5"/>
  <c r="N451" i="5"/>
  <c r="N379" i="5"/>
  <c r="N476" i="5"/>
  <c r="N422" i="5"/>
  <c r="N390" i="5"/>
  <c r="N414" i="5"/>
  <c r="N481" i="5"/>
  <c r="N378" i="5"/>
  <c r="N438" i="5"/>
  <c r="N419" i="5"/>
  <c r="N356" i="5"/>
  <c r="N441" i="5"/>
  <c r="N413" i="5"/>
  <c r="N382" i="5"/>
  <c r="N354" i="5"/>
  <c r="N396" i="5"/>
  <c r="N355" i="5"/>
  <c r="N458" i="5"/>
  <c r="N472" i="5"/>
  <c r="N360" i="5"/>
  <c r="N375" i="5"/>
  <c r="N463" i="5"/>
  <c r="N372" i="5"/>
  <c r="N455" i="5"/>
  <c r="N439" i="5"/>
  <c r="N383" i="5"/>
  <c r="N432" i="5"/>
  <c r="N450" i="5"/>
  <c r="N457" i="5"/>
  <c r="N471" i="5"/>
  <c r="N394" i="5"/>
  <c r="N420" i="5"/>
  <c r="N362" i="5"/>
  <c r="N437" i="5"/>
  <c r="N436" i="5"/>
  <c r="N351" i="5"/>
  <c r="N350" i="5"/>
  <c r="N460" i="5"/>
  <c r="N371" i="5"/>
  <c r="N473" i="5"/>
  <c r="N431" i="5"/>
  <c r="N480" i="5"/>
  <c r="N374" i="5"/>
  <c r="N417" i="5"/>
  <c r="N435" i="5"/>
  <c r="N442" i="5"/>
  <c r="N456" i="5"/>
  <c r="N459" i="5"/>
  <c r="N399" i="5"/>
  <c r="N401" i="5"/>
  <c r="N416" i="5"/>
  <c r="N363" i="5"/>
  <c r="N403" i="5"/>
  <c r="N423" i="5"/>
  <c r="N440" i="5"/>
  <c r="N479" i="5"/>
  <c r="N352" i="5"/>
  <c r="N475" i="5"/>
  <c r="N461" i="5"/>
  <c r="N410" i="5"/>
  <c r="N392" i="5"/>
  <c r="N398" i="5"/>
  <c r="N391" i="5"/>
  <c r="N359" i="5"/>
  <c r="N478" i="5"/>
  <c r="N353" i="5"/>
  <c r="N358" i="5"/>
  <c r="N412" i="5"/>
  <c r="N470" i="5"/>
  <c r="N373" i="5"/>
  <c r="N415" i="5"/>
  <c r="N430" i="5"/>
  <c r="N452" i="5"/>
  <c r="N477" i="5"/>
  <c r="N418" i="5"/>
  <c r="N393" i="5"/>
  <c r="N411" i="5"/>
  <c r="N434" i="5"/>
  <c r="N454" i="5"/>
  <c r="I287" i="6"/>
  <c r="Q287" i="6" s="1"/>
  <c r="U287" i="6" s="1"/>
  <c r="H508" i="6"/>
  <c r="W508" i="6"/>
  <c r="I288" i="6"/>
  <c r="Q288" i="6" s="1"/>
  <c r="U288" i="6" s="1"/>
  <c r="N425" i="5"/>
  <c r="H64" i="6"/>
  <c r="W64" i="6"/>
  <c r="H284" i="6"/>
  <c r="W284" i="6"/>
  <c r="N345" i="5"/>
  <c r="I188" i="6"/>
  <c r="Q188" i="6" s="1"/>
  <c r="U188" i="6" s="1"/>
  <c r="I491" i="6"/>
  <c r="Q491" i="6" s="1"/>
  <c r="H348" i="6"/>
  <c r="W348" i="6"/>
  <c r="H245" i="6"/>
  <c r="N285" i="5" s="1"/>
  <c r="W245" i="6"/>
  <c r="I227" i="6"/>
  <c r="Q227" i="6" s="1"/>
  <c r="I446" i="6"/>
  <c r="Q446" i="6" s="1"/>
  <c r="Q7" i="6"/>
  <c r="R345" i="6"/>
  <c r="U345" i="6" s="1"/>
  <c r="N405" i="5"/>
  <c r="R347" i="6"/>
  <c r="U347" i="6" s="1"/>
  <c r="R487" i="6"/>
  <c r="U487" i="6" s="1"/>
  <c r="R209" i="6"/>
  <c r="U209" i="6" s="1"/>
  <c r="N309" i="5"/>
  <c r="N289" i="5"/>
  <c r="N209" i="5"/>
  <c r="N269" i="5"/>
  <c r="N249" i="5"/>
  <c r="N229" i="5"/>
  <c r="N329" i="5"/>
  <c r="I384" i="6"/>
  <c r="Q384" i="6" s="1"/>
  <c r="U384" i="6" s="1"/>
  <c r="I149" i="6"/>
  <c r="Q149" i="6" s="1"/>
  <c r="U149" i="6" s="1"/>
  <c r="N385" i="5"/>
  <c r="N105" i="5"/>
  <c r="H4" i="6"/>
  <c r="W4" i="6"/>
  <c r="C6" i="7"/>
  <c r="K4" i="6"/>
  <c r="T4" i="6" s="1"/>
  <c r="I24" i="6"/>
  <c r="Q24" i="6" s="1"/>
  <c r="U24" i="6" s="1"/>
  <c r="I589" i="6"/>
  <c r="Q589" i="6" s="1"/>
  <c r="U589" i="6" s="1"/>
  <c r="R10" i="6"/>
  <c r="N34" i="5"/>
  <c r="N32" i="5"/>
  <c r="N37" i="5"/>
  <c r="N11" i="5"/>
  <c r="N40" i="5"/>
  <c r="N56" i="5"/>
  <c r="N51" i="5"/>
  <c r="N41" i="5"/>
  <c r="N16" i="5"/>
  <c r="N22" i="5"/>
  <c r="N52" i="5"/>
  <c r="N57" i="5"/>
  <c r="N50" i="5"/>
  <c r="N31" i="5"/>
  <c r="N12" i="5"/>
  <c r="N53" i="5"/>
  <c r="N54" i="5"/>
  <c r="N61" i="5"/>
  <c r="N39" i="5"/>
  <c r="N13" i="5"/>
  <c r="N14" i="5"/>
  <c r="N23" i="5"/>
  <c r="N63" i="5"/>
  <c r="N20" i="5"/>
  <c r="N10" i="5"/>
  <c r="N62" i="5"/>
  <c r="N21" i="5"/>
  <c r="N58" i="5"/>
  <c r="N60" i="5"/>
  <c r="N55" i="5"/>
  <c r="N36" i="5"/>
  <c r="N59" i="5"/>
  <c r="N15" i="5"/>
  <c r="N18" i="5"/>
  <c r="N35" i="5"/>
  <c r="N17" i="5"/>
  <c r="N38" i="5"/>
  <c r="N42" i="5"/>
  <c r="N30" i="5"/>
  <c r="N43" i="5"/>
  <c r="N33" i="5"/>
  <c r="N19" i="5"/>
  <c r="U504" i="6"/>
  <c r="R5" i="6"/>
  <c r="N45" i="5"/>
  <c r="N25" i="5"/>
  <c r="N5" i="5"/>
  <c r="N365" i="5"/>
  <c r="I529" i="6"/>
  <c r="Q529" i="6" s="1"/>
  <c r="U529" i="6" s="1"/>
  <c r="R9" i="6"/>
  <c r="N9" i="5"/>
  <c r="N29" i="5"/>
  <c r="N49" i="5"/>
  <c r="I444" i="6"/>
  <c r="Q444" i="6" s="1"/>
  <c r="U444" i="6" s="1"/>
  <c r="R187" i="6"/>
  <c r="U187" i="6" s="1"/>
  <c r="N67" i="5"/>
  <c r="N187" i="5"/>
  <c r="N87" i="5"/>
  <c r="H248" i="6"/>
  <c r="R248" i="6" s="1"/>
  <c r="W248" i="6"/>
  <c r="W485" i="6"/>
  <c r="H485" i="6"/>
  <c r="H226" i="6"/>
  <c r="N326" i="5" s="1"/>
  <c r="W226" i="6"/>
  <c r="I565" i="6"/>
  <c r="Q565" i="6" s="1"/>
  <c r="U565" i="6" s="1"/>
  <c r="R208" i="6"/>
  <c r="U208" i="6" s="1"/>
  <c r="N328" i="5"/>
  <c r="N445" i="5"/>
  <c r="W186" i="6"/>
  <c r="H186" i="6"/>
  <c r="J186" i="6"/>
  <c r="S186" i="6" s="1"/>
  <c r="C8" i="7"/>
  <c r="Q5" i="6"/>
  <c r="W344" i="6"/>
  <c r="H344" i="6"/>
  <c r="Q9" i="6"/>
  <c r="H8" i="6"/>
  <c r="W8" i="6"/>
  <c r="K8" i="6"/>
  <c r="T8" i="6" s="1"/>
  <c r="C10" i="7"/>
  <c r="R210" i="6"/>
  <c r="N338" i="5"/>
  <c r="N234" i="5"/>
  <c r="N233" i="5"/>
  <c r="N336" i="5"/>
  <c r="N215" i="5"/>
  <c r="N314" i="5"/>
  <c r="N310" i="5"/>
  <c r="N343" i="5"/>
  <c r="N291" i="5"/>
  <c r="N316" i="5"/>
  <c r="N277" i="5"/>
  <c r="N334" i="5"/>
  <c r="N270" i="5"/>
  <c r="N211" i="5"/>
  <c r="N333" i="5"/>
  <c r="N237" i="5"/>
  <c r="N235" i="5"/>
  <c r="N323" i="5"/>
  <c r="N322" i="5"/>
  <c r="N258" i="5"/>
  <c r="N298" i="5"/>
  <c r="N221" i="5"/>
  <c r="N236" i="5"/>
  <c r="N312" i="5"/>
  <c r="N280" i="5"/>
  <c r="N296" i="5"/>
  <c r="N257" i="5"/>
  <c r="N222" i="5"/>
  <c r="N250" i="5"/>
  <c r="N290" i="5"/>
  <c r="N293" i="5"/>
  <c r="N297" i="5"/>
  <c r="N238" i="5"/>
  <c r="N272" i="5"/>
  <c r="N282" i="5"/>
  <c r="N319" i="5"/>
  <c r="N251" i="5"/>
  <c r="N332" i="5"/>
  <c r="N340" i="5"/>
  <c r="N231" i="5"/>
  <c r="N330" i="5"/>
  <c r="N240" i="5"/>
  <c r="N301" i="5"/>
  <c r="N300" i="5"/>
  <c r="N220" i="5"/>
  <c r="N230" i="5"/>
  <c r="N263" i="5"/>
  <c r="N255" i="5"/>
  <c r="N276" i="5"/>
  <c r="N335" i="5"/>
  <c r="N339" i="5"/>
  <c r="N318" i="5"/>
  <c r="N218" i="5"/>
  <c r="N273" i="5"/>
  <c r="N299" i="5"/>
  <c r="N262" i="5"/>
  <c r="N279" i="5"/>
  <c r="N232" i="5"/>
  <c r="N320" i="5"/>
  <c r="N243" i="5"/>
  <c r="N259" i="5"/>
  <c r="N337" i="5"/>
  <c r="N315" i="5"/>
  <c r="N213" i="5"/>
  <c r="N210" i="5"/>
  <c r="N292" i="5"/>
  <c r="N342" i="5"/>
  <c r="N216" i="5"/>
  <c r="N283" i="5"/>
  <c r="N253" i="5"/>
  <c r="N261" i="5"/>
  <c r="N241" i="5"/>
  <c r="N281" i="5"/>
  <c r="N275" i="5"/>
  <c r="N254" i="5"/>
  <c r="N274" i="5"/>
  <c r="N214" i="5"/>
  <c r="N321" i="5"/>
  <c r="N317" i="5"/>
  <c r="N271" i="5"/>
  <c r="N256" i="5"/>
  <c r="N294" i="5"/>
  <c r="N219" i="5"/>
  <c r="N239" i="5"/>
  <c r="N303" i="5"/>
  <c r="N311" i="5"/>
  <c r="N295" i="5"/>
  <c r="N242" i="5"/>
  <c r="N341" i="5"/>
  <c r="N217" i="5"/>
  <c r="N223" i="5"/>
  <c r="N252" i="5"/>
  <c r="N331" i="5"/>
  <c r="N260" i="5"/>
  <c r="N313" i="5"/>
  <c r="N302" i="5"/>
  <c r="N212" i="5"/>
  <c r="N278" i="5"/>
  <c r="I404" i="6"/>
  <c r="Q404" i="6" s="1"/>
  <c r="U404" i="6" s="1"/>
  <c r="N165" i="5"/>
  <c r="H247" i="6"/>
  <c r="I247" i="6" s="1"/>
  <c r="W247" i="6"/>
  <c r="N65" i="5"/>
  <c r="W547" i="6"/>
  <c r="H547" i="6"/>
  <c r="N527" i="5" s="1"/>
  <c r="N85" i="5"/>
  <c r="I185" i="6"/>
  <c r="Q185" i="6" s="1"/>
  <c r="U185" i="6" s="1"/>
  <c r="R349" i="6"/>
  <c r="U349" i="6" s="1"/>
  <c r="I385" i="6"/>
  <c r="Q385" i="6" s="1"/>
  <c r="U385" i="6" s="1"/>
  <c r="N147" i="5"/>
  <c r="I267" i="6"/>
  <c r="Q267" i="6" s="1"/>
  <c r="U267" i="6" s="1"/>
  <c r="R73" i="6"/>
  <c r="N183" i="5"/>
  <c r="N150" i="5"/>
  <c r="N121" i="5"/>
  <c r="N98" i="5"/>
  <c r="N79" i="5"/>
  <c r="N94" i="5"/>
  <c r="N77" i="5"/>
  <c r="N160" i="5"/>
  <c r="N120" i="5"/>
  <c r="N156" i="5"/>
  <c r="N170" i="5"/>
  <c r="N197" i="5"/>
  <c r="N71" i="5"/>
  <c r="N193" i="5"/>
  <c r="N143" i="5"/>
  <c r="N202" i="5"/>
  <c r="N157" i="5"/>
  <c r="N132" i="5"/>
  <c r="N99" i="5"/>
  <c r="N171" i="5"/>
  <c r="N78" i="5"/>
  <c r="N176" i="5"/>
  <c r="N191" i="5"/>
  <c r="N139" i="5"/>
  <c r="N80" i="5"/>
  <c r="N115" i="5"/>
  <c r="N90" i="5"/>
  <c r="N75" i="5"/>
  <c r="N131" i="5"/>
  <c r="N158" i="5"/>
  <c r="N177" i="5"/>
  <c r="N154" i="5"/>
  <c r="N200" i="5"/>
  <c r="N91" i="5"/>
  <c r="N117" i="5"/>
  <c r="N159" i="5"/>
  <c r="N113" i="5"/>
  <c r="N163" i="5"/>
  <c r="N96" i="5"/>
  <c r="N178" i="5"/>
  <c r="N93" i="5"/>
  <c r="N140" i="5"/>
  <c r="N173" i="5"/>
  <c r="N190" i="5"/>
  <c r="N81" i="5"/>
  <c r="N74" i="5"/>
  <c r="N152" i="5"/>
  <c r="N92" i="5"/>
  <c r="N70" i="5"/>
  <c r="N199" i="5"/>
  <c r="N116" i="5"/>
  <c r="N110" i="5"/>
  <c r="N122" i="5"/>
  <c r="N123" i="5"/>
  <c r="N137" i="5"/>
  <c r="N155" i="5"/>
  <c r="N175" i="5"/>
  <c r="N97" i="5"/>
  <c r="N180" i="5"/>
  <c r="N111" i="5"/>
  <c r="N198" i="5"/>
  <c r="N182" i="5"/>
  <c r="N130" i="5"/>
  <c r="N119" i="5"/>
  <c r="N195" i="5"/>
  <c r="N179" i="5"/>
  <c r="N174" i="5"/>
  <c r="N161" i="5"/>
  <c r="N192" i="5"/>
  <c r="N82" i="5"/>
  <c r="N101" i="5"/>
  <c r="N201" i="5"/>
  <c r="N181" i="5"/>
  <c r="N142" i="5"/>
  <c r="N172" i="5"/>
  <c r="N103" i="5"/>
  <c r="N151" i="5"/>
  <c r="N133" i="5"/>
  <c r="N76" i="5"/>
  <c r="N134" i="5"/>
  <c r="N136" i="5"/>
  <c r="N196" i="5"/>
  <c r="N138" i="5"/>
  <c r="N153" i="5"/>
  <c r="N162" i="5"/>
  <c r="N194" i="5"/>
  <c r="N135" i="5"/>
  <c r="N141" i="5"/>
  <c r="N112" i="5"/>
  <c r="N72" i="5"/>
  <c r="N95" i="5"/>
  <c r="N203" i="5"/>
  <c r="N73" i="5"/>
  <c r="N114" i="5"/>
  <c r="N118" i="5"/>
  <c r="N83" i="5"/>
  <c r="N100" i="5"/>
  <c r="N102" i="5"/>
  <c r="H367" i="6"/>
  <c r="N467" i="5" s="1"/>
  <c r="W367" i="6"/>
  <c r="R7" i="6"/>
  <c r="N7" i="5"/>
  <c r="N47" i="5"/>
  <c r="N27" i="5"/>
  <c r="R69" i="6"/>
  <c r="U69" i="6" s="1"/>
  <c r="R205" i="6"/>
  <c r="U205" i="6" s="1"/>
  <c r="I246" i="6"/>
  <c r="Q246" i="6" s="1"/>
  <c r="U246" i="6" s="1"/>
  <c r="I73" i="6"/>
  <c r="Q73" i="6" s="1"/>
  <c r="I304" i="6"/>
  <c r="Q304" i="6" s="1"/>
  <c r="U304" i="6" s="1"/>
  <c r="H109" i="6"/>
  <c r="R109" i="6" s="1"/>
  <c r="W109" i="6"/>
  <c r="R605" i="6"/>
  <c r="U605" i="6" s="1"/>
  <c r="N361" i="5"/>
  <c r="I210" i="6"/>
  <c r="Q210" i="6" s="1"/>
  <c r="N145" i="5"/>
  <c r="H68" i="6"/>
  <c r="I68" i="6" s="1"/>
  <c r="Q68" i="6" s="1"/>
  <c r="W68" i="6"/>
  <c r="N465" i="5"/>
  <c r="N265" i="5" l="1"/>
  <c r="U227" i="6"/>
  <c r="U607" i="6"/>
  <c r="U312" i="6"/>
  <c r="U252" i="6"/>
  <c r="N245" i="5"/>
  <c r="D14" i="7"/>
  <c r="U72" i="6"/>
  <c r="U73" i="6"/>
  <c r="U272" i="6"/>
  <c r="U446" i="6"/>
  <c r="U31" i="6"/>
  <c r="H9" i="7"/>
  <c r="U71" i="6"/>
  <c r="U110" i="6"/>
  <c r="D13" i="7"/>
  <c r="U490" i="6"/>
  <c r="N389" i="5"/>
  <c r="Q10" i="6"/>
  <c r="U10" i="6" s="1"/>
  <c r="D12" i="7"/>
  <c r="U210" i="6"/>
  <c r="I4" i="6"/>
  <c r="Q4" i="6" s="1"/>
  <c r="U4" i="6" s="1"/>
  <c r="N4" i="5"/>
  <c r="I248" i="6"/>
  <c r="Q248" i="6" s="1"/>
  <c r="U248" i="6" s="1"/>
  <c r="U5" i="6"/>
  <c r="H11" i="7"/>
  <c r="U207" i="6"/>
  <c r="U9" i="6"/>
  <c r="H8" i="7"/>
  <c r="U167" i="6"/>
  <c r="N469" i="5"/>
  <c r="N349" i="5"/>
  <c r="U329" i="6"/>
  <c r="N409" i="5"/>
  <c r="N369" i="5"/>
  <c r="N449" i="5"/>
  <c r="E9" i="7"/>
  <c r="I367" i="6"/>
  <c r="Q367" i="6" s="1"/>
  <c r="I547" i="6"/>
  <c r="Q547" i="6" s="1"/>
  <c r="N248" i="5"/>
  <c r="N69" i="5"/>
  <c r="I226" i="6"/>
  <c r="Q226" i="6" s="1"/>
  <c r="N206" i="5"/>
  <c r="H7" i="7"/>
  <c r="N306" i="5"/>
  <c r="H6" i="7"/>
  <c r="Q247" i="6"/>
  <c r="R344" i="6"/>
  <c r="N384" i="5"/>
  <c r="N404" i="5"/>
  <c r="N444" i="5"/>
  <c r="N464" i="5"/>
  <c r="N344" i="5"/>
  <c r="N364" i="5"/>
  <c r="N424" i="5"/>
  <c r="R186" i="6"/>
  <c r="N146" i="5"/>
  <c r="N166" i="5"/>
  <c r="N66" i="5"/>
  <c r="N106" i="5"/>
  <c r="E8" i="7"/>
  <c r="N186" i="5"/>
  <c r="N86" i="5"/>
  <c r="R485" i="6"/>
  <c r="N605" i="5"/>
  <c r="N585" i="5"/>
  <c r="N545" i="5"/>
  <c r="N485" i="5"/>
  <c r="N525" i="5"/>
  <c r="N505" i="5"/>
  <c r="N565" i="5"/>
  <c r="R284" i="6"/>
  <c r="N244" i="5"/>
  <c r="N204" i="5"/>
  <c r="N264" i="5"/>
  <c r="N224" i="5"/>
  <c r="N284" i="5"/>
  <c r="N324" i="5"/>
  <c r="R508" i="6"/>
  <c r="N568" i="5"/>
  <c r="N548" i="5"/>
  <c r="N588" i="5"/>
  <c r="N528" i="5"/>
  <c r="N488" i="5"/>
  <c r="N508" i="5"/>
  <c r="N608" i="5"/>
  <c r="I109" i="6"/>
  <c r="N89" i="5"/>
  <c r="R547" i="6"/>
  <c r="N487" i="5"/>
  <c r="H10" i="7"/>
  <c r="I344" i="6"/>
  <c r="Q344" i="6" s="1"/>
  <c r="I186" i="6"/>
  <c r="I485" i="6"/>
  <c r="Q485" i="6" s="1"/>
  <c r="R4" i="6"/>
  <c r="E6" i="7"/>
  <c r="N44" i="5"/>
  <c r="N24" i="5"/>
  <c r="N567" i="5"/>
  <c r="U7" i="6"/>
  <c r="I284" i="6"/>
  <c r="Q284" i="6" s="1"/>
  <c r="I508" i="6"/>
  <c r="Q508" i="6" s="1"/>
  <c r="N304" i="5"/>
  <c r="R489" i="6"/>
  <c r="N509" i="5"/>
  <c r="N489" i="5"/>
  <c r="N549" i="5"/>
  <c r="N569" i="5"/>
  <c r="N589" i="5"/>
  <c r="N609" i="5"/>
  <c r="N529" i="5"/>
  <c r="N149" i="5"/>
  <c r="R8" i="6"/>
  <c r="E10" i="7"/>
  <c r="N48" i="5"/>
  <c r="N8" i="5"/>
  <c r="N28" i="5"/>
  <c r="N547" i="5"/>
  <c r="R348" i="6"/>
  <c r="N448" i="5"/>
  <c r="N408" i="5"/>
  <c r="N428" i="5"/>
  <c r="N388" i="5"/>
  <c r="N468" i="5"/>
  <c r="N348" i="5"/>
  <c r="N368" i="5"/>
  <c r="I489" i="6"/>
  <c r="Q489" i="6" s="1"/>
  <c r="R247" i="6"/>
  <c r="N287" i="5"/>
  <c r="N207" i="5"/>
  <c r="N327" i="5"/>
  <c r="N247" i="5"/>
  <c r="N227" i="5"/>
  <c r="N267" i="5"/>
  <c r="N129" i="5"/>
  <c r="I8" i="6"/>
  <c r="N126" i="5"/>
  <c r="N507" i="5"/>
  <c r="I348" i="6"/>
  <c r="Q348" i="6" s="1"/>
  <c r="R64" i="6"/>
  <c r="N124" i="5"/>
  <c r="N84" i="5"/>
  <c r="N144" i="5"/>
  <c r="N64" i="5"/>
  <c r="N184" i="5"/>
  <c r="N164" i="5"/>
  <c r="N104" i="5"/>
  <c r="N305" i="5"/>
  <c r="N189" i="5"/>
  <c r="R367" i="6"/>
  <c r="U367" i="6" s="1"/>
  <c r="N427" i="5"/>
  <c r="N407" i="5"/>
  <c r="N387" i="5"/>
  <c r="N447" i="5"/>
  <c r="N607" i="5"/>
  <c r="U491" i="6"/>
  <c r="I64" i="6"/>
  <c r="Q64" i="6" s="1"/>
  <c r="E7" i="7"/>
  <c r="N208" i="5"/>
  <c r="N307" i="5"/>
  <c r="N169" i="5"/>
  <c r="N308" i="5"/>
  <c r="R226" i="6"/>
  <c r="U226" i="6" s="1"/>
  <c r="N226" i="5"/>
  <c r="N286" i="5"/>
  <c r="N246" i="5"/>
  <c r="E11" i="7"/>
  <c r="N367" i="5"/>
  <c r="N228" i="5"/>
  <c r="R245" i="6"/>
  <c r="N205" i="5"/>
  <c r="N325" i="5"/>
  <c r="N225" i="5"/>
  <c r="R389" i="6"/>
  <c r="U389" i="6" s="1"/>
  <c r="N429" i="5"/>
  <c r="R68" i="6"/>
  <c r="U68" i="6" s="1"/>
  <c r="N168" i="5"/>
  <c r="N68" i="5"/>
  <c r="N108" i="5"/>
  <c r="N88" i="5"/>
  <c r="N188" i="5"/>
  <c r="N148" i="5"/>
  <c r="N128" i="5"/>
  <c r="N109" i="5"/>
  <c r="N268" i="5"/>
  <c r="N587" i="5"/>
  <c r="N347" i="5"/>
  <c r="I245" i="6"/>
  <c r="Q245" i="6" s="1"/>
  <c r="N266" i="5"/>
  <c r="N288" i="5"/>
  <c r="G13" i="7" l="1"/>
  <c r="G14" i="7"/>
  <c r="J14" i="7"/>
  <c r="J13" i="7"/>
  <c r="U508" i="6"/>
  <c r="G12" i="7"/>
  <c r="J12" i="7"/>
  <c r="B33" i="7"/>
  <c r="U547" i="6"/>
  <c r="D9" i="7"/>
  <c r="U489" i="6"/>
  <c r="U64" i="6"/>
  <c r="U348" i="6"/>
  <c r="U284" i="6"/>
  <c r="U485" i="6"/>
  <c r="U344" i="6"/>
  <c r="D7" i="7"/>
  <c r="Q8" i="6"/>
  <c r="U8" i="6" s="1"/>
  <c r="D10" i="7"/>
  <c r="U245" i="6"/>
  <c r="B31" i="7"/>
  <c r="D6" i="7"/>
  <c r="Q109" i="6"/>
  <c r="U109" i="6" s="1"/>
  <c r="D11" i="7"/>
  <c r="G6" i="7"/>
  <c r="J6" i="7"/>
  <c r="Q186" i="6"/>
  <c r="U186" i="6" s="1"/>
  <c r="D8" i="7"/>
  <c r="U247" i="6"/>
  <c r="G9" i="7" l="1"/>
  <c r="J9" i="7"/>
  <c r="G11" i="7"/>
  <c r="J11" i="7"/>
  <c r="G7" i="7"/>
  <c r="J7" i="7"/>
  <c r="G8" i="7"/>
  <c r="J8" i="7"/>
  <c r="G10" i="7"/>
  <c r="J10" i="7"/>
  <c r="B35" i="7" l="1"/>
  <c r="B30" i="7"/>
</calcChain>
</file>

<file path=xl/sharedStrings.xml><?xml version="1.0" encoding="utf-8"?>
<sst xmlns="http://schemas.openxmlformats.org/spreadsheetml/2006/main" count="1529" uniqueCount="187">
  <si>
    <t>South Africa Shift Roster &amp; Claims Tool</t>
  </si>
  <si>
    <t>Purpose</t>
  </si>
  <si>
    <t>Auto-roster 8-hour shifts, capture claims, calculate overtime/standby, and flag BCEA compliance risks.</t>
  </si>
  <si>
    <t>Key Assumption / Control</t>
  </si>
  <si>
    <t>Value</t>
  </si>
  <si>
    <t>Notes</t>
  </si>
  <si>
    <t>Workbook Features</t>
  </si>
  <si>
    <t>Roster Start Date</t>
  </si>
  <si>
    <t>Change this to the first roster day.</t>
  </si>
  <si>
    <t>1. Automated 8-hour shift rotation from Rotation_Pattern and Employees sheets.</t>
  </si>
  <si>
    <t>Roster Days</t>
  </si>
  <si>
    <t>Auto_Roster currently supports up to 31 days.</t>
  </si>
  <si>
    <t>2. Compliance checks: &gt;45 ordinary hrs/wk, &gt;10 overtime hrs/wk, short daily rest, meal break flag, approval required.</t>
  </si>
  <si>
    <t>Standard Shift Hours</t>
  </si>
  <si>
    <t>User-requested 8-hour rotation per person per day.</t>
  </si>
  <si>
    <t>3. Payroll-ready claim calculations for normal, overtime, Sunday/holiday, standby and night allowance inputs.</t>
  </si>
  <si>
    <t>Weekly Ordinary Hours Limit</t>
  </si>
  <si>
    <t>BCEA ordinary hours limit.</t>
  </si>
  <si>
    <t>4. Dashboard with employee totals and charts.</t>
  </si>
  <si>
    <t>Weekly Overtime Limit</t>
  </si>
  <si>
    <t>BCEA overtime limit.</t>
  </si>
  <si>
    <t>Boost: claim status workflow, public holiday register, weekly exceptions list and data-validation controls.</t>
  </si>
  <si>
    <t>Daily Rest Minimum Hours</t>
  </si>
  <si>
    <t>BCEA minimum rest between shifts.</t>
  </si>
  <si>
    <t>Weekly Rest Minimum Hours</t>
  </si>
  <si>
    <t>BCEA weekly rest guidance.</t>
  </si>
  <si>
    <t>Overtime Multiplier</t>
  </si>
  <si>
    <t>Default BCEA overtime pay multiplier; confirm contract/sector rules.</t>
  </si>
  <si>
    <t>Sunday Multiplier</t>
  </si>
  <si>
    <t>Default Sunday pay input; adjust to company policy / contract.</t>
  </si>
  <si>
    <t>Public Holiday Multiplier</t>
  </si>
  <si>
    <t>Default public holiday input; adjust to company policy / contract.</t>
  </si>
  <si>
    <t>Standby Allowance Per Day</t>
  </si>
  <si>
    <t>Input amount for standby claim per standby day.</t>
  </si>
  <si>
    <t>Night Shift Allowance Per Hour</t>
  </si>
  <si>
    <t>Optional allowance; set per company policy.</t>
  </si>
  <si>
    <t>Default Hourly Rate</t>
  </si>
  <si>
    <t>Fallback if employee-specific rate is blank.</t>
  </si>
  <si>
    <t>Approval Required Above Hours</t>
  </si>
  <si>
    <t>Claims over this daily number are flagged for approval.</t>
  </si>
  <si>
    <t>Employee Master</t>
  </si>
  <si>
    <t>Employee ID</t>
  </si>
  <si>
    <t>Employee Name</t>
  </si>
  <si>
    <t>Team</t>
  </si>
  <si>
    <t>Role</t>
  </si>
  <si>
    <t>Hourly Rate</t>
  </si>
  <si>
    <t>Eligible for OT?</t>
  </si>
  <si>
    <t>Eligible for Standby?</t>
  </si>
  <si>
    <t>Active?</t>
  </si>
  <si>
    <t>E001</t>
  </si>
  <si>
    <t>A</t>
  </si>
  <si>
    <t>Operator</t>
  </si>
  <si>
    <t>Y</t>
  </si>
  <si>
    <t>E002</t>
  </si>
  <si>
    <t>B</t>
  </si>
  <si>
    <t>E003</t>
  </si>
  <si>
    <t>C</t>
  </si>
  <si>
    <t>E004</t>
  </si>
  <si>
    <t>D</t>
  </si>
  <si>
    <t>E005</t>
  </si>
  <si>
    <t>E006</t>
  </si>
  <si>
    <t>Rotation Pattern Logic</t>
  </si>
  <si>
    <t>Cycle Day</t>
  </si>
  <si>
    <t>Team A</t>
  </si>
  <si>
    <t>Team B</t>
  </si>
  <si>
    <t>Team C</t>
  </si>
  <si>
    <t>Team D</t>
  </si>
  <si>
    <t>Shift Start</t>
  </si>
  <si>
    <t>Shift End</t>
  </si>
  <si>
    <t>Day</t>
  </si>
  <si>
    <t>Off</t>
  </si>
  <si>
    <t>Evening</t>
  </si>
  <si>
    <t>Night</t>
  </si>
  <si>
    <t>06:00</t>
  </si>
  <si>
    <t>14:00</t>
  </si>
  <si>
    <t>8-hour block</t>
  </si>
  <si>
    <t>22:00</t>
  </si>
  <si>
    <t>Crosses midnight</t>
  </si>
  <si>
    <t>Rest day</t>
  </si>
  <si>
    <t>How it works</t>
  </si>
  <si>
    <t>Auto_Roster calculates cycle day using MOD(Date - Start Date, 4) + 1, then maps each employee team to this pattern. Update this sheet if your rotation differs.</t>
  </si>
  <si>
    <t>Public Holiday Register</t>
  </si>
  <si>
    <t>Date</t>
  </si>
  <si>
    <t>Holiday Name</t>
  </si>
  <si>
    <t>Source / Notes</t>
  </si>
  <si>
    <t>Add / Adjust</t>
  </si>
  <si>
    <t>New Year's Day</t>
  </si>
  <si>
    <t>South Africa public holiday</t>
  </si>
  <si>
    <t>Input</t>
  </si>
  <si>
    <t>Human Rights Day</t>
  </si>
  <si>
    <t>Good Friday</t>
  </si>
  <si>
    <t>Family Day</t>
  </si>
  <si>
    <t>Freedom Day</t>
  </si>
  <si>
    <t>Workers' Day</t>
  </si>
  <si>
    <t>Youth Day</t>
  </si>
  <si>
    <t>National Women's Day</t>
  </si>
  <si>
    <t>Public holiday observed</t>
  </si>
  <si>
    <t>Because 9 Aug falls on Sunday</t>
  </si>
  <si>
    <t>Heritage Day</t>
  </si>
  <si>
    <t>Day of Reconciliation</t>
  </si>
  <si>
    <t>Christmas Day</t>
  </si>
  <si>
    <t>Day of Goodwill</t>
  </si>
  <si>
    <t>Automated 8-Hour Shift Roster</t>
  </si>
  <si>
    <t>Week Start</t>
  </si>
  <si>
    <t>Auto Shift</t>
  </si>
  <si>
    <t>Shift Hours</t>
  </si>
  <si>
    <t>Standby?</t>
  </si>
  <si>
    <t>Public Holiday?</t>
  </si>
  <si>
    <t>Sunday?</t>
  </si>
  <si>
    <t>Compliance Flags</t>
  </si>
  <si>
    <t>Approval Status</t>
  </si>
  <si>
    <t>N</t>
  </si>
  <si>
    <t>Pending</t>
  </si>
  <si>
    <t>Shift Hours Claim Sheet</t>
  </si>
  <si>
    <t>Claim Date</t>
  </si>
  <si>
    <t>Shift Type</t>
  </si>
  <si>
    <t>Claimed Hours</t>
  </si>
  <si>
    <t>Overtime Hours</t>
  </si>
  <si>
    <t>Normal Hours</t>
  </si>
  <si>
    <t>Sunday Hours</t>
  </si>
  <si>
    <t>Public Holiday Hours</t>
  </si>
  <si>
    <t>Standby Amount</t>
  </si>
  <si>
    <t>Night Hours</t>
  </si>
  <si>
    <t>Night Allowance</t>
  </si>
  <si>
    <t>Normal Pay</t>
  </si>
  <si>
    <t>Overtime Pay</t>
  </si>
  <si>
    <t>Sunday Pay</t>
  </si>
  <si>
    <t>Public Holiday Pay</t>
  </si>
  <si>
    <t>Total Claim</t>
  </si>
  <si>
    <t>Manager Notes</t>
  </si>
  <si>
    <t>Management Dashboard</t>
  </si>
  <si>
    <t>Period Start</t>
  </si>
  <si>
    <t>Period End</t>
  </si>
  <si>
    <t>Total Hours</t>
  </si>
  <si>
    <t>Standby Days</t>
  </si>
  <si>
    <t>Approved Claim</t>
  </si>
  <si>
    <t>Pending Claim</t>
  </si>
  <si>
    <t>Rejected Claim</t>
  </si>
  <si>
    <t>Paid Claim</t>
  </si>
  <si>
    <t>KPI</t>
  </si>
  <si>
    <t>Total Claim Cost</t>
  </si>
  <si>
    <t>Total Overtime Hours</t>
  </si>
  <si>
    <t>Total Standby Days</t>
  </si>
  <si>
    <t>Compliance Exceptions</t>
  </si>
  <si>
    <t>Approved Claims</t>
  </si>
  <si>
    <t>Pending Claims</t>
  </si>
  <si>
    <t>South Africa Compliance Guide</t>
  </si>
  <si>
    <t>Area</t>
  </si>
  <si>
    <t>Rule / Control Used</t>
  </si>
  <si>
    <t>Workbook Implementation</t>
  </si>
  <si>
    <t>Source</t>
  </si>
  <si>
    <t>Ordinary hours</t>
  </si>
  <si>
    <t>BCEA ordinary hours are capped at 45 hours per week for covered employees.</t>
  </si>
  <si>
    <t>Auto_Roster flags weekly ordinary hours above Settings!B9.</t>
  </si>
  <si>
    <t>https://www.labour.gov.za/DocumentCenter/Acts/Basic%20Conditions%20of%20Employment/Act%20-%20Basic%20Conditions%20of%20Employment.pdf</t>
  </si>
  <si>
    <t>Overtime</t>
  </si>
  <si>
    <t>Overtime generally requires agreement, is capped at 10 hours per week, and is paid at 1.5x unless time off arrangements apply.</t>
  </si>
  <si>
    <t>Claims calculates OT above standard shift hours and flags weekly OT above Settings!B10.</t>
  </si>
  <si>
    <t>https://www.gov.za/sites/default/files/gcis_document/201409/a75-97.pdf</t>
  </si>
  <si>
    <t>Meal interval</t>
  </si>
  <si>
    <t>A meal interval is required after five continuous hours, generally one continuous hour unless valid agreement reduces it.</t>
  </si>
  <si>
    <t>Auto_Roster flags shifts above five hours as meal interval required.</t>
  </si>
  <si>
    <t>Daily / weekly rest</t>
  </si>
  <si>
    <t>At least 12 consecutive hours daily rest and 36 consecutive hours weekly rest, subject to allowed agreements/exceptions.</t>
  </si>
  <si>
    <t>Auto_Roster flags short rest after night shift and provides weekly rest guidance.</t>
  </si>
  <si>
    <t>Sunday / public holiday</t>
  </si>
  <si>
    <t>Sunday and public-holiday pay can have special rates depending on ordinary work patterns and agreement.</t>
  </si>
  <si>
    <t>Settings includes adjustable Sunday/Public Holiday multipliers.</t>
  </si>
  <si>
    <t>Night work</t>
  </si>
  <si>
    <t>Night work requires consideration of allowance/reduced hours and transport/health and safety conditions.</t>
  </si>
  <si>
    <t>Claims captures night hours and optional night-shift allowance.</t>
  </si>
  <si>
    <t>Disclaimer</t>
  </si>
  <si>
    <t>This tool supports compliance administration but is not legal advice; check sectoral determinations, bargaining council agreements, contracts and company policies.</t>
  </si>
  <si>
    <t>All thresholds and multipliers are editable in Settings.</t>
  </si>
  <si>
    <t>Official BCEA / Department of Employment and Labour sources</t>
  </si>
  <si>
    <t>Musiwa Khavalani</t>
  </si>
  <si>
    <t>Mpho  Nembemhia</t>
  </si>
  <si>
    <t>Dimpho Makhafola</t>
  </si>
  <si>
    <t>Bashii Fall</t>
  </si>
  <si>
    <t>Lesego Aphane</t>
  </si>
  <si>
    <t>Nhalnahla</t>
  </si>
  <si>
    <t>E007</t>
  </si>
  <si>
    <t>E008</t>
  </si>
  <si>
    <t>E009</t>
  </si>
  <si>
    <t>Joe</t>
  </si>
  <si>
    <t>Tim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</si>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</sst>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\x"/>
    <numFmt numFmtId="166" formatCode="\R\ #,##0.00"/>
    <numFmt numFmtId="167" formatCode="\R\ #,##0.00;[Red]\(\R\ #,##0.00\);\-"/>
    <numFmt numFmtId="168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666666"/>
      <name val="Calibri"/>
    </font>
    <font>
      <sz val="11"/>
      <color rgb="FF000000"/>
      <name val="Calibri"/>
    </font>
    <font>
      <sz val="11"/>
      <color rgb="FF008000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00A6A6"/>
      </patternFill>
    </fill>
    <fill>
      <patternFill patternType="solid">
        <fgColor rgb="FFF4B183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166" fontId="3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5" borderId="0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center" wrapText="1"/>
    </xf>
    <xf numFmtId="20" fontId="0" fillId="0" borderId="2" xfId="0" applyNumberFormat="1" applyBorder="1" applyAlignment="1">
      <alignment vertical="center" wrapText="1"/>
    </xf>
    <xf numFmtId="168" fontId="0" fillId="0" borderId="2" xfId="0" applyNumberFormat="1" applyBorder="1" applyAlignment="1">
      <alignment vertical="center" wrapText="1"/>
    </xf>
    <xf numFmtId="167" fontId="0" fillId="0" borderId="2" xfId="0" applyNumberFormat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7E6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Hours by Employee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Summary_Dashboard!$C$5</c:f>
              <c:strCache>
                <c:ptCount val="1"/>
                <c:pt idx="0">
                  <c:v>Total 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Summary_Dashboard!$B$6:$B$25</c:f>
              <c:strCache>
                <c:ptCount val="20"/>
                <c:pt idx="0">
                  <c:v>Musiwa Khavalani</c:v>
                </c:pt>
                <c:pt idx="1">
                  <c:v>Mpho  Nembemhia</c:v>
                </c:pt>
                <c:pt idx="2">
                  <c:v>Dimpho Makhafola</c:v>
                </c:pt>
                <c:pt idx="3">
                  <c:v>Bashii Fall</c:v>
                </c:pt>
                <c:pt idx="4">
                  <c:v>Lesego Aphane</c:v>
                </c:pt>
                <c:pt idx="5">
                  <c:v>Nhalnahla</c:v>
                </c:pt>
                <c:pt idx="6">
                  <c:v>Joe</c:v>
                </c:pt>
                <c:pt idx="7">
                  <c:v>Tim</c:v>
                </c:pt>
                <c:pt idx="8">
                  <c:v>Frank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strCache>
            </c:strRef>
          </c:cat>
          <c:val>
            <c:numRef>
              <c:f>Summary_Dashboard!$C$6:$C$25</c:f>
              <c:numCache>
                <c:formatCode>0.0</c:formatCode>
                <c:ptCount val="20"/>
                <c:pt idx="0">
                  <c:v>#N/A</c:v>
                </c:pt>
                <c:pt idx="1">
                  <c:v>184</c:v>
                </c:pt>
                <c:pt idx="2">
                  <c:v>184</c:v>
                </c:pt>
                <c:pt idx="3">
                  <c:v>184</c:v>
                </c:pt>
                <c:pt idx="4">
                  <c:v>192</c:v>
                </c:pt>
                <c:pt idx="5">
                  <c:v>184</c:v>
                </c:pt>
                <c:pt idx="6">
                  <c:v>184</c:v>
                </c:pt>
                <c:pt idx="7">
                  <c:v>184</c:v>
                </c:pt>
                <c:pt idx="8">
                  <c:v>192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8-4BB3-9F49-B5F9200AE494}"/>
            </c:ext>
          </c:extLst>
        </c:ser>
        <c:ser>
          <c:idx val="1"/>
          <c:order val="1"/>
          <c:tx>
            <c:strRef>
              <c:f>Summary_Dashboard!$D$5</c:f>
              <c:strCache>
                <c:ptCount val="1"/>
                <c:pt idx="0">
                  <c:v>Normal 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Summary_Dashboard!$B$6:$B$25</c:f>
              <c:strCache>
                <c:ptCount val="20"/>
                <c:pt idx="0">
                  <c:v>Musiwa Khavalani</c:v>
                </c:pt>
                <c:pt idx="1">
                  <c:v>Mpho  Nembemhia</c:v>
                </c:pt>
                <c:pt idx="2">
                  <c:v>Dimpho Makhafola</c:v>
                </c:pt>
                <c:pt idx="3">
                  <c:v>Bashii Fall</c:v>
                </c:pt>
                <c:pt idx="4">
                  <c:v>Lesego Aphane</c:v>
                </c:pt>
                <c:pt idx="5">
                  <c:v>Nhalnahla</c:v>
                </c:pt>
                <c:pt idx="6">
                  <c:v>Joe</c:v>
                </c:pt>
                <c:pt idx="7">
                  <c:v>Tim</c:v>
                </c:pt>
                <c:pt idx="8">
                  <c:v>Frank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strCache>
            </c:strRef>
          </c:cat>
          <c:val>
            <c:numRef>
              <c:f>Summary_Dashboard!$D$6:$D$25</c:f>
              <c:numCache>
                <c:formatCode>0.0</c:formatCode>
                <c:ptCount val="20"/>
                <c:pt idx="0">
                  <c:v>#N/A</c:v>
                </c:pt>
                <c:pt idx="1">
                  <c:v>184</c:v>
                </c:pt>
                <c:pt idx="2">
                  <c:v>184</c:v>
                </c:pt>
                <c:pt idx="3">
                  <c:v>184</c:v>
                </c:pt>
                <c:pt idx="4">
                  <c:v>192</c:v>
                </c:pt>
                <c:pt idx="5">
                  <c:v>184</c:v>
                </c:pt>
                <c:pt idx="6">
                  <c:v>184</c:v>
                </c:pt>
                <c:pt idx="7">
                  <c:v>184</c:v>
                </c:pt>
                <c:pt idx="8">
                  <c:v>192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8-4BB3-9F49-B5F9200AE494}"/>
            </c:ext>
          </c:extLst>
        </c:ser>
        <c:ser>
          <c:idx val="2"/>
          <c:order val="2"/>
          <c:tx>
            <c:strRef>
              <c:f>Summary_Dashboard!$E$5</c:f>
              <c:strCache>
                <c:ptCount val="1"/>
                <c:pt idx="0">
                  <c:v>Overtime 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Summary_Dashboard!$B$6:$B$25</c:f>
              <c:strCache>
                <c:ptCount val="20"/>
                <c:pt idx="0">
                  <c:v>Musiwa Khavalani</c:v>
                </c:pt>
                <c:pt idx="1">
                  <c:v>Mpho  Nembemhia</c:v>
                </c:pt>
                <c:pt idx="2">
                  <c:v>Dimpho Makhafola</c:v>
                </c:pt>
                <c:pt idx="3">
                  <c:v>Bashii Fall</c:v>
                </c:pt>
                <c:pt idx="4">
                  <c:v>Lesego Aphane</c:v>
                </c:pt>
                <c:pt idx="5">
                  <c:v>Nhalnahla</c:v>
                </c:pt>
                <c:pt idx="6">
                  <c:v>Joe</c:v>
                </c:pt>
                <c:pt idx="7">
                  <c:v>Tim</c:v>
                </c:pt>
                <c:pt idx="8">
                  <c:v>Frank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strCache>
            </c:strRef>
          </c:cat>
          <c:val>
            <c:numRef>
              <c:f>Summary_Dashboard!$E$6:$E$25</c:f>
              <c:numCache>
                <c:formatCode>0.0</c:formatCode>
                <c:ptCount val="20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8-4BB3-9F49-B5F9200AE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Employee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Hours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Claim Status Value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Summary_Dashboard!$A$34:$A$35</c:f>
              <c:strCache>
                <c:ptCount val="2"/>
                <c:pt idx="0">
                  <c:v>Approved Claims</c:v>
                </c:pt>
                <c:pt idx="1">
                  <c:v>Pending Claims</c:v>
                </c:pt>
              </c:strCache>
            </c:strRef>
          </c:cat>
          <c:val>
            <c:numRef>
              <c:f>Summary_Dashboard!$B$34:$B$35</c:f>
              <c:numCache>
                <c:formatCode>\R\ #\ ##0.00;[Red]\(\R\ #\ ##0.00\);\-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0-4A06-AC89-F4E197ABC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28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28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pane ySplit="3" topLeftCell="A15" activePane="bottomLeft" state="frozen"/>
      <selection pane="bottomLeft" activeCell="E16" sqref="E16"/>
    </sheetView>
  </sheetViews>
  <sheetFormatPr defaultRowHeight="14.5" x14ac:dyDescent="0.35"/>
  <cols>
    <col min="1" max="1" width="28" customWidth="1"/>
    <col min="2" max="2" width="17" bestFit="1" customWidth="1"/>
    <col min="3" max="3" width="55" customWidth="1"/>
    <col min="4" max="4" width="4" customWidth="1"/>
    <col min="5" max="5" width="80" customWidth="1"/>
    <col min="6" max="8" width="12" customWidth="1"/>
  </cols>
  <sheetData>
    <row r="1" spans="1:8" x14ac:dyDescent="0.35">
      <c r="A1" s="20" t="s">
        <v>0</v>
      </c>
      <c r="B1" s="21"/>
      <c r="C1" s="21"/>
      <c r="D1" s="21"/>
      <c r="E1" s="21"/>
      <c r="F1" s="21"/>
      <c r="G1" s="21"/>
      <c r="H1" s="2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87" x14ac:dyDescent="0.35">
      <c r="A3" s="2" t="s">
        <v>1</v>
      </c>
      <c r="B3" s="2" t="s">
        <v>2</v>
      </c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3" t="s">
        <v>3</v>
      </c>
      <c r="B5" s="3" t="s">
        <v>4</v>
      </c>
      <c r="C5" s="3" t="s">
        <v>5</v>
      </c>
      <c r="D5" s="1"/>
      <c r="E5" s="4" t="s">
        <v>6</v>
      </c>
      <c r="F5" s="1"/>
      <c r="G5" s="1"/>
      <c r="H5" s="1"/>
    </row>
    <row r="6" spans="1:8" x14ac:dyDescent="0.35">
      <c r="A6" s="5" t="s">
        <v>7</v>
      </c>
      <c r="B6" s="6">
        <v>46143</v>
      </c>
      <c r="C6" s="2" t="s">
        <v>8</v>
      </c>
      <c r="D6" s="1"/>
      <c r="E6" s="2" t="s">
        <v>9</v>
      </c>
      <c r="F6" s="1"/>
      <c r="G6" s="1"/>
      <c r="H6" s="1"/>
    </row>
    <row r="7" spans="1:8" ht="29" x14ac:dyDescent="0.35">
      <c r="A7" s="5" t="s">
        <v>10</v>
      </c>
      <c r="B7" s="7">
        <v>31</v>
      </c>
      <c r="C7" s="2" t="s">
        <v>11</v>
      </c>
      <c r="D7" s="1"/>
      <c r="E7" s="2" t="s">
        <v>12</v>
      </c>
      <c r="F7" s="1"/>
      <c r="G7" s="1"/>
      <c r="H7" s="1"/>
    </row>
    <row r="8" spans="1:8" ht="29" x14ac:dyDescent="0.35">
      <c r="A8" s="5" t="s">
        <v>13</v>
      </c>
      <c r="B8" s="8">
        <v>8</v>
      </c>
      <c r="C8" s="2" t="s">
        <v>14</v>
      </c>
      <c r="D8" s="1"/>
      <c r="E8" s="2" t="s">
        <v>15</v>
      </c>
      <c r="F8" s="1"/>
      <c r="G8" s="1"/>
      <c r="H8" s="1"/>
    </row>
    <row r="9" spans="1:8" x14ac:dyDescent="0.35">
      <c r="A9" s="5" t="s">
        <v>16</v>
      </c>
      <c r="B9" s="8">
        <v>45</v>
      </c>
      <c r="C9" s="2" t="s">
        <v>17</v>
      </c>
      <c r="D9" s="1"/>
      <c r="E9" s="2" t="s">
        <v>18</v>
      </c>
      <c r="F9" s="1"/>
      <c r="G9" s="1"/>
      <c r="H9" s="1"/>
    </row>
    <row r="10" spans="1:8" ht="29" x14ac:dyDescent="0.35">
      <c r="A10" s="5" t="s">
        <v>19</v>
      </c>
      <c r="B10" s="8">
        <v>10</v>
      </c>
      <c r="C10" s="2" t="s">
        <v>20</v>
      </c>
      <c r="D10" s="1"/>
      <c r="E10" s="2" t="s">
        <v>21</v>
      </c>
      <c r="F10" s="1"/>
      <c r="G10" s="1"/>
      <c r="H10" s="1"/>
    </row>
    <row r="11" spans="1:8" x14ac:dyDescent="0.35">
      <c r="A11" s="5" t="s">
        <v>22</v>
      </c>
      <c r="B11" s="8">
        <v>12</v>
      </c>
      <c r="C11" s="2" t="s">
        <v>23</v>
      </c>
      <c r="D11" s="1"/>
      <c r="E11" s="1"/>
      <c r="F11" s="1"/>
      <c r="G11" s="1"/>
      <c r="H11" s="1"/>
    </row>
    <row r="12" spans="1:8" x14ac:dyDescent="0.35">
      <c r="A12" s="5" t="s">
        <v>24</v>
      </c>
      <c r="B12" s="8">
        <v>36</v>
      </c>
      <c r="C12" s="2" t="s">
        <v>25</v>
      </c>
      <c r="D12" s="1"/>
      <c r="E12" s="1"/>
      <c r="F12" s="1"/>
      <c r="G12" s="1"/>
      <c r="H12" s="1"/>
    </row>
    <row r="13" spans="1:8" ht="29" x14ac:dyDescent="0.35">
      <c r="A13" s="5" t="s">
        <v>26</v>
      </c>
      <c r="B13" s="9">
        <v>1.5</v>
      </c>
      <c r="C13" s="2" t="s">
        <v>27</v>
      </c>
      <c r="D13" s="1"/>
      <c r="E13" s="1"/>
      <c r="F13" s="1"/>
      <c r="G13" s="1"/>
      <c r="H13" s="1"/>
    </row>
    <row r="14" spans="1:8" x14ac:dyDescent="0.35">
      <c r="A14" s="5" t="s">
        <v>28</v>
      </c>
      <c r="B14" s="9">
        <v>2</v>
      </c>
      <c r="C14" s="2" t="s">
        <v>29</v>
      </c>
      <c r="D14" s="1"/>
      <c r="E14" s="1"/>
      <c r="F14" s="1"/>
      <c r="G14" s="1"/>
      <c r="H14" s="1"/>
    </row>
    <row r="15" spans="1:8" ht="29" x14ac:dyDescent="0.35">
      <c r="A15" s="5" t="s">
        <v>30</v>
      </c>
      <c r="B15" s="9">
        <v>2</v>
      </c>
      <c r="C15" s="2" t="s">
        <v>31</v>
      </c>
      <c r="D15" s="1"/>
      <c r="E15" s="1"/>
      <c r="F15" s="1"/>
      <c r="G15" s="1"/>
      <c r="H15" s="1"/>
    </row>
    <row r="16" spans="1:8" x14ac:dyDescent="0.35">
      <c r="A16" s="5" t="s">
        <v>32</v>
      </c>
      <c r="B16" s="10">
        <v>250</v>
      </c>
      <c r="C16" s="2" t="s">
        <v>33</v>
      </c>
      <c r="D16" s="1"/>
      <c r="E16" s="1"/>
      <c r="F16" s="1"/>
      <c r="G16" s="1"/>
      <c r="H16" s="1"/>
    </row>
    <row r="17" spans="1:8" x14ac:dyDescent="0.35">
      <c r="A17" s="5" t="s">
        <v>34</v>
      </c>
      <c r="B17" s="10">
        <v>0</v>
      </c>
      <c r="C17" s="2" t="s">
        <v>35</v>
      </c>
      <c r="D17" s="1"/>
      <c r="E17" s="1"/>
      <c r="F17" s="1"/>
      <c r="G17" s="1"/>
      <c r="H17" s="1"/>
    </row>
    <row r="18" spans="1:8" x14ac:dyDescent="0.35">
      <c r="A18" s="5" t="s">
        <v>36</v>
      </c>
      <c r="B18" s="10">
        <v>100</v>
      </c>
      <c r="C18" s="2" t="s">
        <v>37</v>
      </c>
      <c r="D18" s="1"/>
      <c r="E18" s="1"/>
      <c r="F18" s="1"/>
      <c r="G18" s="1"/>
      <c r="H18" s="1"/>
    </row>
    <row r="19" spans="1:8" x14ac:dyDescent="0.35">
      <c r="A19" s="5" t="s">
        <v>38</v>
      </c>
      <c r="B19" s="7">
        <v>8</v>
      </c>
      <c r="C19" s="2" t="s">
        <v>39</v>
      </c>
      <c r="D19" s="1"/>
      <c r="E19" s="1"/>
      <c r="F19" s="1"/>
      <c r="G19" s="1"/>
      <c r="H19" s="1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"/>
  <sheetViews>
    <sheetView showGridLines="0" workbookViewId="0">
      <pane ySplit="3" topLeftCell="A4" activePane="bottomLeft" state="frozen"/>
      <selection pane="bottomLeft" activeCell="F9" sqref="F9"/>
    </sheetView>
  </sheetViews>
  <sheetFormatPr defaultRowHeight="14.5" x14ac:dyDescent="0.35"/>
  <cols>
    <col min="1" max="1" width="14" customWidth="1"/>
    <col min="2" max="2" width="25" customWidth="1"/>
    <col min="3" max="3" width="12" customWidth="1"/>
    <col min="4" max="4" width="18" customWidth="1"/>
    <col min="5" max="5" width="14" customWidth="1"/>
    <col min="6" max="6" width="18" customWidth="1"/>
    <col min="7" max="7" width="20" customWidth="1"/>
    <col min="8" max="8" width="12" customWidth="1"/>
    <col min="9" max="9" width="35" customWidth="1"/>
  </cols>
  <sheetData>
    <row r="1" spans="1:9" x14ac:dyDescent="0.35">
      <c r="A1" s="20" t="s">
        <v>40</v>
      </c>
      <c r="B1" s="21"/>
      <c r="C1" s="21"/>
      <c r="D1" s="21"/>
      <c r="E1" s="21"/>
      <c r="F1" s="21"/>
      <c r="G1" s="21"/>
      <c r="H1" s="21"/>
      <c r="I1" s="2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x14ac:dyDescent="0.35">
      <c r="A3" s="11" t="s">
        <v>41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11" t="s">
        <v>5</v>
      </c>
    </row>
    <row r="4" spans="1:9" x14ac:dyDescent="0.35">
      <c r="A4" s="7" t="s">
        <v>49</v>
      </c>
      <c r="B4" s="7" t="s">
        <v>175</v>
      </c>
      <c r="C4" s="7"/>
      <c r="D4" s="7" t="s">
        <v>51</v>
      </c>
      <c r="E4" s="10">
        <v>100</v>
      </c>
      <c r="F4" s="7" t="s">
        <v>52</v>
      </c>
      <c r="G4" s="7" t="s">
        <v>52</v>
      </c>
      <c r="H4" s="7" t="s">
        <v>52</v>
      </c>
      <c r="I4" s="2"/>
    </row>
    <row r="5" spans="1:9" x14ac:dyDescent="0.35">
      <c r="A5" s="7" t="s">
        <v>53</v>
      </c>
      <c r="B5" s="7" t="s">
        <v>176</v>
      </c>
      <c r="C5" s="7" t="s">
        <v>54</v>
      </c>
      <c r="D5" s="7" t="s">
        <v>51</v>
      </c>
      <c r="E5" s="10">
        <v>100</v>
      </c>
      <c r="F5" s="7" t="s">
        <v>52</v>
      </c>
      <c r="G5" s="7" t="s">
        <v>52</v>
      </c>
      <c r="H5" s="7" t="s">
        <v>52</v>
      </c>
      <c r="I5" s="2"/>
    </row>
    <row r="6" spans="1:9" x14ac:dyDescent="0.35">
      <c r="A6" s="7" t="s">
        <v>55</v>
      </c>
      <c r="B6" s="7" t="s">
        <v>177</v>
      </c>
      <c r="C6" s="7" t="s">
        <v>56</v>
      </c>
      <c r="D6" s="7" t="s">
        <v>51</v>
      </c>
      <c r="E6" s="10">
        <v>100</v>
      </c>
      <c r="F6" s="7" t="s">
        <v>52</v>
      </c>
      <c r="G6" s="7" t="s">
        <v>52</v>
      </c>
      <c r="H6" s="7" t="s">
        <v>52</v>
      </c>
      <c r="I6" s="2"/>
    </row>
    <row r="7" spans="1:9" x14ac:dyDescent="0.35">
      <c r="A7" s="7" t="s">
        <v>57</v>
      </c>
      <c r="B7" s="7" t="s">
        <v>178</v>
      </c>
      <c r="C7" s="7" t="s">
        <v>58</v>
      </c>
      <c r="D7" s="7" t="s">
        <v>51</v>
      </c>
      <c r="E7" s="10">
        <v>100</v>
      </c>
      <c r="F7" s="7" t="s">
        <v>52</v>
      </c>
      <c r="G7" s="7" t="s">
        <v>52</v>
      </c>
      <c r="H7" s="7" t="s">
        <v>52</v>
      </c>
      <c r="I7" s="2"/>
    </row>
    <row r="8" spans="1:9" x14ac:dyDescent="0.35">
      <c r="A8" s="7" t="s">
        <v>59</v>
      </c>
      <c r="B8" s="7" t="s">
        <v>179</v>
      </c>
      <c r="C8" s="7" t="s">
        <v>50</v>
      </c>
      <c r="D8" s="7" t="s">
        <v>51</v>
      </c>
      <c r="E8" s="10">
        <v>100</v>
      </c>
      <c r="F8" s="7" t="s">
        <v>52</v>
      </c>
      <c r="G8" s="7" t="s">
        <v>52</v>
      </c>
      <c r="H8" s="7" t="s">
        <v>52</v>
      </c>
      <c r="I8" s="2"/>
    </row>
    <row r="9" spans="1:9" x14ac:dyDescent="0.35">
      <c r="A9" s="7" t="s">
        <v>60</v>
      </c>
      <c r="B9" s="7" t="s">
        <v>180</v>
      </c>
      <c r="C9" s="7" t="s">
        <v>54</v>
      </c>
      <c r="D9" s="7" t="s">
        <v>51</v>
      </c>
      <c r="E9" s="10">
        <v>100</v>
      </c>
      <c r="F9" s="7" t="s">
        <v>52</v>
      </c>
      <c r="G9" s="7" t="s">
        <v>52</v>
      </c>
      <c r="H9" s="7" t="s">
        <v>52</v>
      </c>
      <c r="I9" s="2"/>
    </row>
    <row r="10" spans="1:9" x14ac:dyDescent="0.35">
      <c r="A10" s="7" t="s">
        <v>181</v>
      </c>
      <c r="B10" s="12" t="s">
        <v>184</v>
      </c>
      <c r="C10" s="7" t="s">
        <v>56</v>
      </c>
      <c r="D10" s="7" t="s">
        <v>51</v>
      </c>
      <c r="E10" s="10">
        <v>100</v>
      </c>
      <c r="F10" s="12"/>
      <c r="G10" s="7" t="s">
        <v>52</v>
      </c>
      <c r="H10" s="7" t="s">
        <v>52</v>
      </c>
      <c r="I10" s="1"/>
    </row>
    <row r="11" spans="1:9" x14ac:dyDescent="0.35">
      <c r="A11" s="7" t="s">
        <v>182</v>
      </c>
      <c r="B11" s="12" t="s">
        <v>185</v>
      </c>
      <c r="C11" s="7" t="s">
        <v>58</v>
      </c>
      <c r="D11" s="7" t="s">
        <v>51</v>
      </c>
      <c r="E11" s="10">
        <v>100</v>
      </c>
      <c r="F11" s="12"/>
      <c r="G11" s="7" t="s">
        <v>52</v>
      </c>
      <c r="H11" s="7" t="s">
        <v>52</v>
      </c>
      <c r="I11" s="1"/>
    </row>
    <row r="12" spans="1:9" x14ac:dyDescent="0.35">
      <c r="A12" s="7" t="s">
        <v>183</v>
      </c>
      <c r="B12" s="12" t="s">
        <v>186</v>
      </c>
      <c r="C12" s="12" t="s">
        <v>50</v>
      </c>
      <c r="D12" s="7" t="s">
        <v>51</v>
      </c>
      <c r="E12" s="10">
        <v>100</v>
      </c>
      <c r="F12" s="12"/>
      <c r="G12" s="7" t="s">
        <v>52</v>
      </c>
      <c r="H12" s="7" t="s">
        <v>52</v>
      </c>
      <c r="I12" s="1"/>
    </row>
    <row r="13" spans="1:9" x14ac:dyDescent="0.35">
      <c r="A13" s="12"/>
      <c r="B13" s="12"/>
      <c r="C13" s="12"/>
      <c r="D13" s="12"/>
      <c r="E13" s="13"/>
      <c r="F13" s="12"/>
      <c r="G13" s="12"/>
      <c r="H13" s="12"/>
      <c r="I13" s="1"/>
    </row>
    <row r="14" spans="1:9" x14ac:dyDescent="0.35">
      <c r="A14" s="12"/>
      <c r="B14" s="12"/>
      <c r="C14" s="12"/>
      <c r="D14" s="12"/>
      <c r="E14" s="13"/>
      <c r="F14" s="12"/>
      <c r="G14" s="12"/>
      <c r="H14" s="12"/>
      <c r="I14" s="1"/>
    </row>
    <row r="15" spans="1:9" x14ac:dyDescent="0.35">
      <c r="A15" s="12"/>
      <c r="B15" s="12"/>
      <c r="C15" s="12"/>
      <c r="D15" s="12"/>
      <c r="E15" s="13"/>
      <c r="F15" s="12"/>
      <c r="G15" s="12"/>
      <c r="H15" s="12"/>
      <c r="I15" s="1"/>
    </row>
    <row r="16" spans="1:9" x14ac:dyDescent="0.35">
      <c r="A16" s="12"/>
      <c r="B16" s="12"/>
      <c r="C16" s="12"/>
      <c r="D16" s="12"/>
      <c r="E16" s="13"/>
      <c r="F16" s="12"/>
      <c r="G16" s="12"/>
      <c r="H16" s="12"/>
      <c r="I16" s="1"/>
    </row>
    <row r="17" spans="1:9" x14ac:dyDescent="0.35">
      <c r="A17" s="12"/>
      <c r="B17" s="12"/>
      <c r="C17" s="12"/>
      <c r="D17" s="12"/>
      <c r="E17" s="13"/>
      <c r="F17" s="12"/>
      <c r="G17" s="12"/>
      <c r="H17" s="12"/>
      <c r="I17" s="1"/>
    </row>
    <row r="18" spans="1:9" x14ac:dyDescent="0.35">
      <c r="A18" s="12"/>
      <c r="B18" s="12"/>
      <c r="C18" s="12"/>
      <c r="D18" s="12"/>
      <c r="E18" s="13"/>
      <c r="F18" s="12"/>
      <c r="G18" s="12"/>
      <c r="H18" s="12"/>
      <c r="I18" s="1"/>
    </row>
    <row r="19" spans="1:9" x14ac:dyDescent="0.35">
      <c r="A19" s="12"/>
      <c r="B19" s="12"/>
      <c r="C19" s="12"/>
      <c r="D19" s="12"/>
      <c r="E19" s="13"/>
      <c r="F19" s="12"/>
      <c r="G19" s="12"/>
      <c r="H19" s="12"/>
      <c r="I19" s="1"/>
    </row>
    <row r="20" spans="1:9" x14ac:dyDescent="0.35">
      <c r="A20" s="12"/>
      <c r="B20" s="12"/>
      <c r="C20" s="12"/>
      <c r="D20" s="12"/>
      <c r="E20" s="13"/>
      <c r="F20" s="12"/>
      <c r="G20" s="12"/>
      <c r="H20" s="12"/>
      <c r="I20" s="1"/>
    </row>
    <row r="21" spans="1:9" x14ac:dyDescent="0.35">
      <c r="A21" s="12"/>
      <c r="B21" s="12"/>
      <c r="C21" s="12"/>
      <c r="D21" s="12"/>
      <c r="E21" s="13"/>
      <c r="F21" s="12"/>
      <c r="G21" s="12"/>
      <c r="H21" s="12"/>
      <c r="I21" s="1"/>
    </row>
    <row r="22" spans="1:9" x14ac:dyDescent="0.35">
      <c r="A22" s="12"/>
      <c r="B22" s="12"/>
      <c r="C22" s="12"/>
      <c r="D22" s="12"/>
      <c r="E22" s="13"/>
      <c r="F22" s="12"/>
      <c r="G22" s="12"/>
      <c r="H22" s="12"/>
      <c r="I22" s="1"/>
    </row>
    <row r="23" spans="1:9" x14ac:dyDescent="0.35">
      <c r="A23" s="12"/>
      <c r="B23" s="12"/>
      <c r="C23" s="12"/>
      <c r="D23" s="12"/>
      <c r="E23" s="13"/>
      <c r="F23" s="12"/>
      <c r="G23" s="12"/>
      <c r="H23" s="12"/>
      <c r="I23" s="1"/>
    </row>
    <row r="24" spans="1:9" x14ac:dyDescent="0.35">
      <c r="A24" s="12"/>
      <c r="B24" s="12"/>
      <c r="C24" s="12"/>
      <c r="D24" s="12"/>
      <c r="E24" s="13"/>
      <c r="F24" s="12"/>
      <c r="G24" s="12"/>
      <c r="H24" s="12"/>
      <c r="I24" s="1"/>
    </row>
    <row r="25" spans="1:9" x14ac:dyDescent="0.35">
      <c r="A25" s="12"/>
      <c r="B25" s="12"/>
      <c r="C25" s="12"/>
      <c r="D25" s="12"/>
      <c r="E25" s="13"/>
      <c r="F25" s="12"/>
      <c r="G25" s="12"/>
      <c r="H25" s="12"/>
      <c r="I25" s="1"/>
    </row>
    <row r="26" spans="1:9" x14ac:dyDescent="0.35">
      <c r="A26" s="12"/>
      <c r="B26" s="12"/>
      <c r="C26" s="12"/>
      <c r="D26" s="12"/>
      <c r="E26" s="13"/>
      <c r="F26" s="12"/>
      <c r="G26" s="12"/>
      <c r="H26" s="12"/>
      <c r="I26" s="1"/>
    </row>
    <row r="27" spans="1:9" x14ac:dyDescent="0.35">
      <c r="A27" s="12"/>
      <c r="B27" s="12"/>
      <c r="C27" s="12"/>
      <c r="D27" s="12"/>
      <c r="E27" s="13"/>
      <c r="F27" s="12"/>
      <c r="G27" s="12"/>
      <c r="H27" s="12"/>
      <c r="I27" s="1"/>
    </row>
    <row r="28" spans="1:9" x14ac:dyDescent="0.35">
      <c r="A28" s="12"/>
      <c r="B28" s="12"/>
      <c r="C28" s="12"/>
      <c r="D28" s="12"/>
      <c r="E28" s="13"/>
      <c r="F28" s="12"/>
      <c r="G28" s="12"/>
      <c r="H28" s="12"/>
      <c r="I28" s="1"/>
    </row>
    <row r="29" spans="1:9" x14ac:dyDescent="0.35">
      <c r="A29" s="12"/>
      <c r="B29" s="12"/>
      <c r="C29" s="12"/>
      <c r="D29" s="12"/>
      <c r="E29" s="13"/>
      <c r="F29" s="12"/>
      <c r="G29" s="12"/>
      <c r="H29" s="12"/>
      <c r="I29" s="1"/>
    </row>
    <row r="30" spans="1:9" x14ac:dyDescent="0.35">
      <c r="A30" s="12"/>
      <c r="B30" s="12"/>
      <c r="C30" s="12"/>
      <c r="D30" s="12"/>
      <c r="E30" s="13"/>
      <c r="F30" s="12"/>
      <c r="G30" s="12"/>
      <c r="H30" s="12"/>
      <c r="I30" s="1"/>
    </row>
    <row r="31" spans="1:9" x14ac:dyDescent="0.35">
      <c r="A31" s="12"/>
      <c r="B31" s="12"/>
      <c r="C31" s="12"/>
      <c r="D31" s="12"/>
      <c r="E31" s="13"/>
      <c r="F31" s="12"/>
      <c r="G31" s="12"/>
      <c r="H31" s="12"/>
      <c r="I31" s="1"/>
    </row>
    <row r="32" spans="1:9" x14ac:dyDescent="0.35">
      <c r="A32" s="12"/>
      <c r="B32" s="12"/>
      <c r="C32" s="12"/>
      <c r="D32" s="12"/>
      <c r="E32" s="13"/>
      <c r="F32" s="12"/>
      <c r="G32" s="12"/>
      <c r="H32" s="12"/>
      <c r="I32" s="1"/>
    </row>
    <row r="33" spans="1:9" x14ac:dyDescent="0.35">
      <c r="A33" s="12"/>
      <c r="B33" s="12"/>
      <c r="C33" s="12"/>
      <c r="D33" s="12"/>
      <c r="E33" s="13"/>
      <c r="F33" s="12"/>
      <c r="G33" s="12"/>
      <c r="H33" s="12"/>
      <c r="I33" s="1"/>
    </row>
    <row r="34" spans="1:9" x14ac:dyDescent="0.35">
      <c r="A34" s="12"/>
      <c r="B34" s="12"/>
      <c r="C34" s="12"/>
      <c r="D34" s="12"/>
      <c r="E34" s="13"/>
      <c r="F34" s="12"/>
      <c r="G34" s="12"/>
      <c r="H34" s="12"/>
      <c r="I34" s="1"/>
    </row>
    <row r="35" spans="1:9" x14ac:dyDescent="0.35">
      <c r="A35" s="12"/>
      <c r="B35" s="12"/>
      <c r="C35" s="12"/>
      <c r="D35" s="12"/>
      <c r="E35" s="13"/>
      <c r="F35" s="12"/>
      <c r="G35" s="12"/>
      <c r="H35" s="12"/>
      <c r="I35" s="1"/>
    </row>
    <row r="36" spans="1:9" x14ac:dyDescent="0.35">
      <c r="A36" s="12"/>
      <c r="B36" s="12"/>
      <c r="C36" s="12"/>
      <c r="D36" s="12"/>
      <c r="E36" s="13"/>
      <c r="F36" s="12"/>
      <c r="G36" s="12"/>
      <c r="H36" s="12"/>
      <c r="I36" s="1"/>
    </row>
    <row r="37" spans="1:9" x14ac:dyDescent="0.35">
      <c r="A37" s="12"/>
      <c r="B37" s="12"/>
      <c r="C37" s="12"/>
      <c r="D37" s="12"/>
      <c r="E37" s="13"/>
      <c r="F37" s="12"/>
      <c r="G37" s="12"/>
      <c r="H37" s="12"/>
      <c r="I37" s="1"/>
    </row>
    <row r="38" spans="1:9" x14ac:dyDescent="0.35">
      <c r="A38" s="12"/>
      <c r="B38" s="12"/>
      <c r="C38" s="12"/>
      <c r="D38" s="12"/>
      <c r="E38" s="13"/>
      <c r="F38" s="12"/>
      <c r="G38" s="12"/>
      <c r="H38" s="12"/>
      <c r="I38" s="1"/>
    </row>
    <row r="39" spans="1:9" x14ac:dyDescent="0.35">
      <c r="A39" s="12"/>
      <c r="B39" s="12"/>
      <c r="C39" s="12"/>
      <c r="D39" s="12"/>
      <c r="E39" s="13"/>
      <c r="F39" s="12"/>
      <c r="G39" s="12"/>
      <c r="H39" s="12"/>
      <c r="I39" s="1"/>
    </row>
    <row r="40" spans="1:9" x14ac:dyDescent="0.35">
      <c r="A40" s="12"/>
      <c r="B40" s="12"/>
      <c r="C40" s="12"/>
      <c r="D40" s="12"/>
      <c r="E40" s="13"/>
      <c r="F40" s="12"/>
      <c r="G40" s="12"/>
      <c r="H40" s="12"/>
      <c r="I40" s="1"/>
    </row>
    <row r="41" spans="1:9" x14ac:dyDescent="0.35">
      <c r="A41" s="12"/>
      <c r="B41" s="12"/>
      <c r="C41" s="12"/>
      <c r="D41" s="12"/>
      <c r="E41" s="13"/>
      <c r="F41" s="12"/>
      <c r="G41" s="12"/>
      <c r="H41" s="12"/>
      <c r="I41" s="1"/>
    </row>
    <row r="42" spans="1:9" x14ac:dyDescent="0.35">
      <c r="A42" s="12"/>
      <c r="B42" s="12"/>
      <c r="C42" s="12"/>
      <c r="D42" s="12"/>
      <c r="E42" s="13"/>
      <c r="F42" s="12"/>
      <c r="G42" s="12"/>
      <c r="H42" s="12"/>
      <c r="I42" s="1"/>
    </row>
    <row r="43" spans="1:9" x14ac:dyDescent="0.35">
      <c r="A43" s="12"/>
      <c r="B43" s="12"/>
      <c r="C43" s="12"/>
      <c r="D43" s="12"/>
      <c r="E43" s="13"/>
      <c r="F43" s="12"/>
      <c r="G43" s="12"/>
      <c r="H43" s="12"/>
      <c r="I43" s="1"/>
    </row>
    <row r="44" spans="1:9" x14ac:dyDescent="0.35">
      <c r="A44" s="12"/>
      <c r="B44" s="12"/>
      <c r="C44" s="12"/>
      <c r="D44" s="12"/>
      <c r="E44" s="13"/>
      <c r="F44" s="12"/>
      <c r="G44" s="12"/>
      <c r="H44" s="12"/>
      <c r="I44" s="1"/>
    </row>
    <row r="45" spans="1:9" x14ac:dyDescent="0.35">
      <c r="A45" s="12"/>
      <c r="B45" s="12"/>
      <c r="C45" s="12"/>
      <c r="D45" s="12"/>
      <c r="E45" s="13"/>
      <c r="F45" s="12"/>
      <c r="G45" s="12"/>
      <c r="H45" s="12"/>
      <c r="I45" s="1"/>
    </row>
    <row r="46" spans="1:9" x14ac:dyDescent="0.35">
      <c r="A46" s="12"/>
      <c r="B46" s="12"/>
      <c r="C46" s="12"/>
      <c r="D46" s="12"/>
      <c r="E46" s="13"/>
      <c r="F46" s="12"/>
      <c r="G46" s="12"/>
      <c r="H46" s="12"/>
      <c r="I46" s="1"/>
    </row>
    <row r="47" spans="1:9" x14ac:dyDescent="0.35">
      <c r="A47" s="12"/>
      <c r="B47" s="12"/>
      <c r="C47" s="12"/>
      <c r="D47" s="12"/>
      <c r="E47" s="13"/>
      <c r="F47" s="12"/>
      <c r="G47" s="12"/>
      <c r="H47" s="12"/>
      <c r="I47" s="1"/>
    </row>
    <row r="48" spans="1:9" x14ac:dyDescent="0.35">
      <c r="A48" s="12"/>
      <c r="B48" s="12"/>
      <c r="C48" s="12"/>
      <c r="D48" s="12"/>
      <c r="E48" s="13"/>
      <c r="F48" s="12"/>
      <c r="G48" s="12"/>
      <c r="H48" s="12"/>
      <c r="I48" s="1"/>
    </row>
    <row r="49" spans="1:9" x14ac:dyDescent="0.35">
      <c r="A49" s="12"/>
      <c r="B49" s="12"/>
      <c r="C49" s="12"/>
      <c r="D49" s="12"/>
      <c r="E49" s="13"/>
      <c r="F49" s="12"/>
      <c r="G49" s="12"/>
      <c r="H49" s="12"/>
      <c r="I49" s="1"/>
    </row>
    <row r="50" spans="1:9" x14ac:dyDescent="0.35">
      <c r="A50" s="12"/>
      <c r="B50" s="12"/>
      <c r="C50" s="12"/>
      <c r="D50" s="12"/>
      <c r="E50" s="13"/>
      <c r="F50" s="12"/>
      <c r="G50" s="12"/>
      <c r="H50" s="12"/>
      <c r="I50" s="1"/>
    </row>
    <row r="51" spans="1:9" x14ac:dyDescent="0.35">
      <c r="A51" s="12"/>
      <c r="B51" s="12"/>
      <c r="C51" s="12"/>
      <c r="D51" s="12"/>
      <c r="E51" s="13"/>
      <c r="F51" s="12"/>
      <c r="G51" s="12"/>
      <c r="H51" s="12"/>
      <c r="I51" s="1"/>
    </row>
    <row r="52" spans="1:9" x14ac:dyDescent="0.35">
      <c r="A52" s="12"/>
      <c r="B52" s="12"/>
      <c r="C52" s="12"/>
      <c r="D52" s="12"/>
      <c r="E52" s="13"/>
      <c r="F52" s="12"/>
      <c r="G52" s="12"/>
      <c r="H52" s="12"/>
      <c r="I52" s="1"/>
    </row>
    <row r="53" spans="1:9" x14ac:dyDescent="0.35">
      <c r="A53" s="12"/>
      <c r="B53" s="12"/>
      <c r="C53" s="12"/>
      <c r="D53" s="12"/>
      <c r="E53" s="13"/>
      <c r="F53" s="12"/>
      <c r="G53" s="12"/>
      <c r="H53" s="12"/>
      <c r="I53" s="1"/>
    </row>
    <row r="54" spans="1:9" x14ac:dyDescent="0.35">
      <c r="A54" s="12"/>
      <c r="B54" s="12"/>
      <c r="C54" s="12"/>
      <c r="D54" s="12"/>
      <c r="E54" s="13"/>
      <c r="F54" s="12"/>
      <c r="G54" s="12"/>
      <c r="H54" s="12"/>
      <c r="I54" s="1"/>
    </row>
    <row r="55" spans="1:9" x14ac:dyDescent="0.35">
      <c r="A55" s="12"/>
      <c r="B55" s="12"/>
      <c r="C55" s="12"/>
      <c r="D55" s="12"/>
      <c r="E55" s="13"/>
      <c r="F55" s="12"/>
      <c r="G55" s="12"/>
      <c r="H55" s="12"/>
      <c r="I55" s="1"/>
    </row>
    <row r="56" spans="1:9" x14ac:dyDescent="0.35">
      <c r="A56" s="12"/>
      <c r="B56" s="12"/>
      <c r="C56" s="12"/>
      <c r="D56" s="12"/>
      <c r="E56" s="13"/>
      <c r="F56" s="12"/>
      <c r="G56" s="12"/>
      <c r="H56" s="12"/>
      <c r="I56" s="1"/>
    </row>
    <row r="57" spans="1:9" x14ac:dyDescent="0.35">
      <c r="A57" s="12"/>
      <c r="B57" s="12"/>
      <c r="C57" s="12"/>
      <c r="D57" s="12"/>
      <c r="E57" s="13"/>
      <c r="F57" s="12"/>
      <c r="G57" s="12"/>
      <c r="H57" s="12"/>
      <c r="I57" s="1"/>
    </row>
    <row r="58" spans="1:9" x14ac:dyDescent="0.35">
      <c r="A58" s="12"/>
      <c r="B58" s="12"/>
      <c r="C58" s="12"/>
      <c r="D58" s="12"/>
      <c r="E58" s="13"/>
      <c r="F58" s="12"/>
      <c r="G58" s="12"/>
      <c r="H58" s="12"/>
      <c r="I58" s="1"/>
    </row>
    <row r="59" spans="1:9" x14ac:dyDescent="0.35">
      <c r="A59" s="12"/>
      <c r="B59" s="12"/>
      <c r="C59" s="12"/>
      <c r="D59" s="12"/>
      <c r="E59" s="13"/>
      <c r="F59" s="12"/>
      <c r="G59" s="12"/>
      <c r="H59" s="12"/>
      <c r="I59" s="1"/>
    </row>
    <row r="60" spans="1:9" x14ac:dyDescent="0.35">
      <c r="A60" s="12"/>
      <c r="B60" s="12"/>
      <c r="C60" s="12"/>
      <c r="D60" s="12"/>
      <c r="E60" s="13"/>
      <c r="F60" s="12"/>
      <c r="G60" s="12"/>
      <c r="H60" s="12"/>
      <c r="I60" s="1"/>
    </row>
    <row r="61" spans="1:9" x14ac:dyDescent="0.35">
      <c r="A61" s="12"/>
      <c r="B61" s="12"/>
      <c r="C61" s="12"/>
      <c r="D61" s="12"/>
      <c r="E61" s="13"/>
      <c r="F61" s="12"/>
      <c r="G61" s="12"/>
      <c r="H61" s="12"/>
      <c r="I61" s="1"/>
    </row>
    <row r="62" spans="1:9" x14ac:dyDescent="0.35">
      <c r="A62" s="12"/>
      <c r="B62" s="12"/>
      <c r="C62" s="12"/>
      <c r="D62" s="12"/>
      <c r="E62" s="13"/>
      <c r="F62" s="12"/>
      <c r="G62" s="12"/>
      <c r="H62" s="12"/>
      <c r="I62" s="1"/>
    </row>
    <row r="63" spans="1:9" x14ac:dyDescent="0.35">
      <c r="A63" s="12"/>
      <c r="B63" s="12"/>
      <c r="C63" s="12"/>
      <c r="D63" s="12"/>
      <c r="E63" s="13"/>
      <c r="F63" s="12"/>
      <c r="G63" s="12"/>
      <c r="H63" s="12"/>
      <c r="I63" s="1"/>
    </row>
    <row r="64" spans="1:9" x14ac:dyDescent="0.35">
      <c r="A64" s="12"/>
      <c r="B64" s="12"/>
      <c r="C64" s="12"/>
      <c r="D64" s="12"/>
      <c r="E64" s="13"/>
      <c r="F64" s="12"/>
      <c r="G64" s="12"/>
      <c r="H64" s="12"/>
      <c r="I64" s="1"/>
    </row>
    <row r="65" spans="1:9" x14ac:dyDescent="0.35">
      <c r="A65" s="12"/>
      <c r="B65" s="12"/>
      <c r="C65" s="12"/>
      <c r="D65" s="12"/>
      <c r="E65" s="13"/>
      <c r="F65" s="12"/>
      <c r="G65" s="12"/>
      <c r="H65" s="12"/>
      <c r="I65" s="1"/>
    </row>
    <row r="66" spans="1:9" x14ac:dyDescent="0.35">
      <c r="A66" s="12"/>
      <c r="B66" s="12"/>
      <c r="C66" s="12"/>
      <c r="D66" s="12"/>
      <c r="E66" s="13"/>
      <c r="F66" s="12"/>
      <c r="G66" s="12"/>
      <c r="H66" s="12"/>
      <c r="I66" s="1"/>
    </row>
    <row r="67" spans="1:9" x14ac:dyDescent="0.35">
      <c r="A67" s="12"/>
      <c r="B67" s="12"/>
      <c r="C67" s="12"/>
      <c r="D67" s="12"/>
      <c r="E67" s="13"/>
      <c r="F67" s="12"/>
      <c r="G67" s="12"/>
      <c r="H67" s="12"/>
      <c r="I67" s="1"/>
    </row>
    <row r="68" spans="1:9" x14ac:dyDescent="0.35">
      <c r="A68" s="12"/>
      <c r="B68" s="12"/>
      <c r="C68" s="12"/>
      <c r="D68" s="12"/>
      <c r="E68" s="13"/>
      <c r="F68" s="12"/>
      <c r="G68" s="12"/>
      <c r="H68" s="12"/>
      <c r="I68" s="1"/>
    </row>
    <row r="69" spans="1:9" x14ac:dyDescent="0.35">
      <c r="A69" s="12"/>
      <c r="B69" s="12"/>
      <c r="C69" s="12"/>
      <c r="D69" s="12"/>
      <c r="E69" s="13"/>
      <c r="F69" s="12"/>
      <c r="G69" s="12"/>
      <c r="H69" s="12"/>
      <c r="I69" s="1"/>
    </row>
    <row r="70" spans="1:9" x14ac:dyDescent="0.35">
      <c r="A70" s="12"/>
      <c r="B70" s="12"/>
      <c r="C70" s="12"/>
      <c r="D70" s="12"/>
      <c r="E70" s="13"/>
      <c r="F70" s="12"/>
      <c r="G70" s="12"/>
      <c r="H70" s="12"/>
      <c r="I70" s="1"/>
    </row>
    <row r="71" spans="1:9" x14ac:dyDescent="0.35">
      <c r="A71" s="12"/>
      <c r="B71" s="12"/>
      <c r="C71" s="12"/>
      <c r="D71" s="12"/>
      <c r="E71" s="13"/>
      <c r="F71" s="12"/>
      <c r="G71" s="12"/>
      <c r="H71" s="12"/>
      <c r="I71" s="1"/>
    </row>
    <row r="72" spans="1:9" x14ac:dyDescent="0.35">
      <c r="A72" s="12"/>
      <c r="B72" s="12"/>
      <c r="C72" s="12"/>
      <c r="D72" s="12"/>
      <c r="E72" s="13"/>
      <c r="F72" s="12"/>
      <c r="G72" s="12"/>
      <c r="H72" s="12"/>
      <c r="I72" s="1"/>
    </row>
    <row r="73" spans="1:9" x14ac:dyDescent="0.35">
      <c r="A73" s="12"/>
      <c r="B73" s="12"/>
      <c r="C73" s="12"/>
      <c r="D73" s="12"/>
      <c r="E73" s="13"/>
      <c r="F73" s="12"/>
      <c r="G73" s="12"/>
      <c r="H73" s="12"/>
      <c r="I73" s="1"/>
    </row>
    <row r="74" spans="1:9" x14ac:dyDescent="0.35">
      <c r="A74" s="12"/>
      <c r="B74" s="12"/>
      <c r="C74" s="12"/>
      <c r="D74" s="12"/>
      <c r="E74" s="13"/>
      <c r="F74" s="12"/>
      <c r="G74" s="12"/>
      <c r="H74" s="12"/>
      <c r="I74" s="1"/>
    </row>
    <row r="75" spans="1:9" x14ac:dyDescent="0.35">
      <c r="A75" s="12"/>
      <c r="B75" s="12"/>
      <c r="C75" s="12"/>
      <c r="D75" s="12"/>
      <c r="E75" s="13"/>
      <c r="F75" s="12"/>
      <c r="G75" s="12"/>
      <c r="H75" s="12"/>
      <c r="I75" s="1"/>
    </row>
    <row r="76" spans="1:9" x14ac:dyDescent="0.35">
      <c r="A76" s="12"/>
      <c r="B76" s="12"/>
      <c r="C76" s="12"/>
      <c r="D76" s="12"/>
      <c r="E76" s="13"/>
      <c r="F76" s="12"/>
      <c r="G76" s="12"/>
      <c r="H76" s="12"/>
      <c r="I76" s="1"/>
    </row>
    <row r="77" spans="1:9" x14ac:dyDescent="0.35">
      <c r="A77" s="12"/>
      <c r="B77" s="12"/>
      <c r="C77" s="12"/>
      <c r="D77" s="12"/>
      <c r="E77" s="13"/>
      <c r="F77" s="12"/>
      <c r="G77" s="12"/>
      <c r="H77" s="12"/>
      <c r="I77" s="1"/>
    </row>
    <row r="78" spans="1:9" x14ac:dyDescent="0.35">
      <c r="A78" s="12"/>
      <c r="B78" s="12"/>
      <c r="C78" s="12"/>
      <c r="D78" s="12"/>
      <c r="E78" s="13"/>
      <c r="F78" s="12"/>
      <c r="G78" s="12"/>
      <c r="H78" s="12"/>
      <c r="I78" s="1"/>
    </row>
    <row r="79" spans="1:9" x14ac:dyDescent="0.35">
      <c r="A79" s="12"/>
      <c r="B79" s="12"/>
      <c r="C79" s="12"/>
      <c r="D79" s="12"/>
      <c r="E79" s="13"/>
      <c r="F79" s="12"/>
      <c r="G79" s="12"/>
      <c r="H79" s="12"/>
      <c r="I79" s="1"/>
    </row>
    <row r="80" spans="1:9" x14ac:dyDescent="0.35">
      <c r="A80" s="12"/>
      <c r="B80" s="12"/>
      <c r="C80" s="12"/>
      <c r="D80" s="12"/>
      <c r="E80" s="13"/>
      <c r="F80" s="12"/>
      <c r="G80" s="12"/>
      <c r="H80" s="12"/>
      <c r="I80" s="1"/>
    </row>
    <row r="81" spans="1:9" x14ac:dyDescent="0.35">
      <c r="A81" s="12"/>
      <c r="B81" s="12"/>
      <c r="C81" s="12"/>
      <c r="D81" s="12"/>
      <c r="E81" s="13"/>
      <c r="F81" s="12"/>
      <c r="G81" s="12"/>
      <c r="H81" s="12"/>
      <c r="I81" s="1"/>
    </row>
    <row r="82" spans="1:9" x14ac:dyDescent="0.35">
      <c r="A82" s="12"/>
      <c r="B82" s="12"/>
      <c r="C82" s="12"/>
      <c r="D82" s="12"/>
      <c r="E82" s="13"/>
      <c r="F82" s="12"/>
      <c r="G82" s="12"/>
      <c r="H82" s="12"/>
      <c r="I82" s="1"/>
    </row>
    <row r="83" spans="1:9" x14ac:dyDescent="0.35">
      <c r="A83" s="12"/>
      <c r="B83" s="12"/>
      <c r="C83" s="12"/>
      <c r="D83" s="12"/>
      <c r="E83" s="13"/>
      <c r="F83" s="12"/>
      <c r="G83" s="12"/>
      <c r="H83" s="12"/>
      <c r="I83" s="1"/>
    </row>
    <row r="84" spans="1:9" x14ac:dyDescent="0.35">
      <c r="A84" s="12"/>
      <c r="B84" s="12"/>
      <c r="C84" s="12"/>
      <c r="D84" s="12"/>
      <c r="E84" s="13"/>
      <c r="F84" s="12"/>
      <c r="G84" s="12"/>
      <c r="H84" s="12"/>
      <c r="I84" s="1"/>
    </row>
    <row r="85" spans="1:9" x14ac:dyDescent="0.35">
      <c r="A85" s="12"/>
      <c r="B85" s="12"/>
      <c r="C85" s="12"/>
      <c r="D85" s="12"/>
      <c r="E85" s="13"/>
      <c r="F85" s="12"/>
      <c r="G85" s="12"/>
      <c r="H85" s="12"/>
      <c r="I85" s="1"/>
    </row>
    <row r="86" spans="1:9" x14ac:dyDescent="0.35">
      <c r="A86" s="12"/>
      <c r="B86" s="12"/>
      <c r="C86" s="12"/>
      <c r="D86" s="12"/>
      <c r="E86" s="13"/>
      <c r="F86" s="12"/>
      <c r="G86" s="12"/>
      <c r="H86" s="12"/>
      <c r="I86" s="1"/>
    </row>
    <row r="87" spans="1:9" x14ac:dyDescent="0.35">
      <c r="A87" s="12"/>
      <c r="B87" s="12"/>
      <c r="C87" s="12"/>
      <c r="D87" s="12"/>
      <c r="E87" s="13"/>
      <c r="F87" s="12"/>
      <c r="G87" s="12"/>
      <c r="H87" s="12"/>
      <c r="I87" s="1"/>
    </row>
    <row r="88" spans="1:9" x14ac:dyDescent="0.35">
      <c r="A88" s="12"/>
      <c r="B88" s="12"/>
      <c r="C88" s="12"/>
      <c r="D88" s="12"/>
      <c r="E88" s="13"/>
      <c r="F88" s="12"/>
      <c r="G88" s="12"/>
      <c r="H88" s="12"/>
      <c r="I88" s="1"/>
    </row>
    <row r="89" spans="1:9" x14ac:dyDescent="0.35">
      <c r="A89" s="12"/>
      <c r="B89" s="12"/>
      <c r="C89" s="12"/>
      <c r="D89" s="12"/>
      <c r="E89" s="13"/>
      <c r="F89" s="12"/>
      <c r="G89" s="12"/>
      <c r="H89" s="12"/>
      <c r="I89" s="1"/>
    </row>
    <row r="90" spans="1:9" x14ac:dyDescent="0.35">
      <c r="A90" s="12"/>
      <c r="B90" s="12"/>
      <c r="C90" s="12"/>
      <c r="D90" s="12"/>
      <c r="E90" s="13"/>
      <c r="F90" s="12"/>
      <c r="G90" s="12"/>
      <c r="H90" s="12"/>
      <c r="I90" s="1"/>
    </row>
    <row r="91" spans="1:9" x14ac:dyDescent="0.35">
      <c r="A91" s="12"/>
      <c r="B91" s="12"/>
      <c r="C91" s="12"/>
      <c r="D91" s="12"/>
      <c r="E91" s="13"/>
      <c r="F91" s="12"/>
      <c r="G91" s="12"/>
      <c r="H91" s="12"/>
      <c r="I91" s="1"/>
    </row>
    <row r="92" spans="1:9" x14ac:dyDescent="0.35">
      <c r="A92" s="12"/>
      <c r="B92" s="12"/>
      <c r="C92" s="12"/>
      <c r="D92" s="12"/>
      <c r="E92" s="13"/>
      <c r="F92" s="12"/>
      <c r="G92" s="12"/>
      <c r="H92" s="12"/>
      <c r="I92" s="1"/>
    </row>
    <row r="93" spans="1:9" x14ac:dyDescent="0.35">
      <c r="A93" s="12"/>
      <c r="B93" s="12"/>
      <c r="C93" s="12"/>
      <c r="D93" s="12"/>
      <c r="E93" s="13"/>
      <c r="F93" s="12"/>
      <c r="G93" s="12"/>
      <c r="H93" s="12"/>
      <c r="I93" s="1"/>
    </row>
    <row r="94" spans="1:9" x14ac:dyDescent="0.35">
      <c r="A94" s="12"/>
      <c r="B94" s="12"/>
      <c r="C94" s="12"/>
      <c r="D94" s="12"/>
      <c r="E94" s="13"/>
      <c r="F94" s="12"/>
      <c r="G94" s="12"/>
      <c r="H94" s="12"/>
      <c r="I94" s="1"/>
    </row>
    <row r="95" spans="1:9" x14ac:dyDescent="0.35">
      <c r="A95" s="12"/>
      <c r="B95" s="12"/>
      <c r="C95" s="12"/>
      <c r="D95" s="12"/>
      <c r="E95" s="13"/>
      <c r="F95" s="12"/>
      <c r="G95" s="12"/>
      <c r="H95" s="12"/>
      <c r="I95" s="1"/>
    </row>
    <row r="96" spans="1:9" x14ac:dyDescent="0.35">
      <c r="A96" s="12"/>
      <c r="B96" s="12"/>
      <c r="C96" s="12"/>
      <c r="D96" s="12"/>
      <c r="E96" s="13"/>
      <c r="F96" s="12"/>
      <c r="G96" s="12"/>
      <c r="H96" s="12"/>
      <c r="I96" s="1"/>
    </row>
    <row r="97" spans="1:9" x14ac:dyDescent="0.35">
      <c r="A97" s="12"/>
      <c r="B97" s="12"/>
      <c r="C97" s="12"/>
      <c r="D97" s="12"/>
      <c r="E97" s="13"/>
      <c r="F97" s="12"/>
      <c r="G97" s="12"/>
      <c r="H97" s="12"/>
      <c r="I97" s="1"/>
    </row>
    <row r="98" spans="1:9" x14ac:dyDescent="0.35">
      <c r="A98" s="12"/>
      <c r="B98" s="12"/>
      <c r="C98" s="12"/>
      <c r="D98" s="12"/>
      <c r="E98" s="13"/>
      <c r="F98" s="12"/>
      <c r="G98" s="12"/>
      <c r="H98" s="12"/>
      <c r="I98" s="1"/>
    </row>
    <row r="99" spans="1:9" x14ac:dyDescent="0.35">
      <c r="A99" s="12"/>
      <c r="B99" s="12"/>
      <c r="C99" s="12"/>
      <c r="D99" s="12"/>
      <c r="E99" s="13"/>
      <c r="F99" s="12"/>
      <c r="G99" s="12"/>
      <c r="H99" s="12"/>
      <c r="I99" s="1"/>
    </row>
    <row r="100" spans="1:9" x14ac:dyDescent="0.35">
      <c r="A100" s="12"/>
      <c r="B100" s="12"/>
      <c r="C100" s="12"/>
      <c r="D100" s="12"/>
      <c r="E100" s="13"/>
      <c r="F100" s="12"/>
      <c r="G100" s="12"/>
      <c r="H100" s="12"/>
      <c r="I100" s="1"/>
    </row>
    <row r="101" spans="1:9" x14ac:dyDescent="0.35">
      <c r="A101" s="12"/>
      <c r="B101" s="12"/>
      <c r="C101" s="12"/>
      <c r="D101" s="12"/>
      <c r="E101" s="13"/>
      <c r="F101" s="12"/>
      <c r="G101" s="12"/>
      <c r="H101" s="12"/>
      <c r="I101" s="1"/>
    </row>
    <row r="102" spans="1:9" x14ac:dyDescent="0.35">
      <c r="A102" s="12"/>
      <c r="B102" s="12"/>
      <c r="C102" s="12"/>
      <c r="D102" s="12"/>
      <c r="E102" s="13"/>
      <c r="F102" s="12"/>
      <c r="G102" s="12"/>
      <c r="H102" s="12"/>
      <c r="I102" s="1"/>
    </row>
    <row r="103" spans="1:9" x14ac:dyDescent="0.35">
      <c r="A103" s="12"/>
      <c r="B103" s="12"/>
      <c r="C103" s="12"/>
      <c r="D103" s="12"/>
      <c r="E103" s="13"/>
      <c r="F103" s="12"/>
      <c r="G103" s="12"/>
      <c r="H103" s="12"/>
      <c r="I103" s="1"/>
    </row>
  </sheetData>
  <mergeCells count="1">
    <mergeCell ref="A1:I1"/>
  </mergeCells>
  <phoneticPr fontId="7" type="noConversion"/>
  <dataValidations count="1">
    <dataValidation type="list" sqref="F4:H103" xr:uid="{00000000-0002-0000-0100-000000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pane ySplit="3" topLeftCell="A4" activePane="bottomLeft" state="frozen"/>
      <selection pane="bottomLeft" activeCell="F6" sqref="F6"/>
    </sheetView>
  </sheetViews>
  <sheetFormatPr defaultRowHeight="14.5" x14ac:dyDescent="0.35"/>
  <cols>
    <col min="1" max="1" width="12" customWidth="1"/>
    <col min="2" max="2" width="15.08984375" customWidth="1"/>
    <col min="3" max="6" width="14" customWidth="1"/>
    <col min="7" max="7" width="16.90625" customWidth="1"/>
    <col min="8" max="8" width="19.36328125" customWidth="1"/>
  </cols>
  <sheetData>
    <row r="1" spans="1:8" x14ac:dyDescent="0.35">
      <c r="A1" s="20" t="s">
        <v>61</v>
      </c>
      <c r="B1" s="21"/>
      <c r="C1" s="21"/>
      <c r="D1" s="21"/>
      <c r="E1" s="21"/>
      <c r="F1" s="21"/>
      <c r="G1" s="21"/>
      <c r="H1" s="2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23" t="s">
        <v>62</v>
      </c>
      <c r="B3" s="23" t="s">
        <v>63</v>
      </c>
      <c r="C3" s="23" t="s">
        <v>64</v>
      </c>
      <c r="D3" s="23" t="s">
        <v>65</v>
      </c>
      <c r="E3" s="23" t="s">
        <v>66</v>
      </c>
      <c r="F3" s="23" t="s">
        <v>67</v>
      </c>
      <c r="G3" s="23" t="s">
        <v>68</v>
      </c>
      <c r="H3" s="23" t="s">
        <v>5</v>
      </c>
    </row>
    <row r="4" spans="1:8" x14ac:dyDescent="0.35">
      <c r="A4" s="24">
        <v>1</v>
      </c>
      <c r="B4" s="25" t="s">
        <v>69</v>
      </c>
      <c r="C4" s="25" t="s">
        <v>70</v>
      </c>
      <c r="D4" s="25" t="s">
        <v>71</v>
      </c>
      <c r="E4" s="25" t="s">
        <v>72</v>
      </c>
      <c r="F4" s="25" t="s">
        <v>73</v>
      </c>
      <c r="G4" s="25" t="s">
        <v>74</v>
      </c>
      <c r="H4" s="24" t="s">
        <v>75</v>
      </c>
    </row>
    <row r="5" spans="1:8" x14ac:dyDescent="0.35">
      <c r="A5" s="24">
        <v>2</v>
      </c>
      <c r="B5" s="25" t="s">
        <v>71</v>
      </c>
      <c r="C5" s="25" t="s">
        <v>69</v>
      </c>
      <c r="D5" s="25" t="s">
        <v>70</v>
      </c>
      <c r="E5" s="25" t="s">
        <v>72</v>
      </c>
      <c r="F5" s="25" t="s">
        <v>74</v>
      </c>
      <c r="G5" s="25" t="s">
        <v>76</v>
      </c>
      <c r="H5" s="24" t="s">
        <v>75</v>
      </c>
    </row>
    <row r="6" spans="1:8" x14ac:dyDescent="0.35">
      <c r="A6" s="24">
        <v>3</v>
      </c>
      <c r="B6" s="25" t="s">
        <v>72</v>
      </c>
      <c r="C6" s="25" t="s">
        <v>71</v>
      </c>
      <c r="D6" s="25" t="s">
        <v>69</v>
      </c>
      <c r="E6" s="25" t="s">
        <v>70</v>
      </c>
      <c r="F6" s="25" t="s">
        <v>76</v>
      </c>
      <c r="G6" s="25" t="s">
        <v>73</v>
      </c>
      <c r="H6" s="24" t="s">
        <v>77</v>
      </c>
    </row>
    <row r="7" spans="1:8" x14ac:dyDescent="0.35">
      <c r="A7" s="24">
        <v>4</v>
      </c>
      <c r="B7" s="25" t="s">
        <v>70</v>
      </c>
      <c r="C7" s="25" t="s">
        <v>72</v>
      </c>
      <c r="D7" s="25" t="s">
        <v>71</v>
      </c>
      <c r="E7" s="25" t="s">
        <v>69</v>
      </c>
      <c r="F7" s="25"/>
      <c r="G7" s="25"/>
      <c r="H7" s="24" t="s">
        <v>78</v>
      </c>
    </row>
    <row r="8" spans="1:8" x14ac:dyDescent="0.35">
      <c r="A8" s="26"/>
      <c r="B8" s="26"/>
      <c r="C8" s="26"/>
      <c r="D8" s="26"/>
      <c r="E8" s="26"/>
      <c r="F8" s="26"/>
      <c r="G8" s="26"/>
      <c r="H8" s="26"/>
    </row>
    <row r="9" spans="1:8" x14ac:dyDescent="0.35">
      <c r="A9" s="1"/>
      <c r="B9" s="1"/>
      <c r="C9" s="1"/>
      <c r="D9" s="1"/>
      <c r="E9" s="1"/>
      <c r="F9" s="1"/>
      <c r="G9" s="1"/>
      <c r="H9" s="1"/>
    </row>
    <row r="10" spans="1:8" x14ac:dyDescent="0.35">
      <c r="A10" s="4" t="s">
        <v>79</v>
      </c>
      <c r="B10" s="1"/>
      <c r="C10" s="1"/>
      <c r="D10" s="1"/>
      <c r="E10" s="1"/>
      <c r="F10" s="1"/>
      <c r="G10" s="1"/>
      <c r="H10" s="1"/>
    </row>
    <row r="11" spans="1:8" x14ac:dyDescent="0.35">
      <c r="A11" s="22" t="s">
        <v>80</v>
      </c>
      <c r="B11" s="21"/>
      <c r="C11" s="21"/>
      <c r="D11" s="21"/>
      <c r="E11" s="21"/>
      <c r="F11" s="21"/>
      <c r="G11" s="21"/>
      <c r="H11" s="21"/>
    </row>
    <row r="12" spans="1:8" x14ac:dyDescent="0.35">
      <c r="A12" s="21"/>
      <c r="B12" s="21"/>
      <c r="C12" s="21"/>
      <c r="D12" s="21"/>
      <c r="E12" s="21"/>
      <c r="F12" s="21"/>
      <c r="G12" s="21"/>
      <c r="H12" s="21"/>
    </row>
  </sheetData>
  <mergeCells count="2">
    <mergeCell ref="A11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9"/>
  <sheetViews>
    <sheetView showGridLines="0" workbookViewId="0">
      <pane ySplit="3" topLeftCell="A4" activePane="bottomLeft" state="frozen"/>
      <selection pane="bottomLeft" activeCell="C15" sqref="C15"/>
    </sheetView>
  </sheetViews>
  <sheetFormatPr defaultRowHeight="14.5" x14ac:dyDescent="0.35"/>
  <cols>
    <col min="1" max="1" width="16" customWidth="1"/>
    <col min="2" max="2" width="28" customWidth="1"/>
    <col min="3" max="3" width="45" customWidth="1"/>
    <col min="4" max="4" width="16" customWidth="1"/>
  </cols>
  <sheetData>
    <row r="1" spans="1:4" x14ac:dyDescent="0.35">
      <c r="A1" s="20" t="s">
        <v>81</v>
      </c>
      <c r="B1" s="21"/>
      <c r="C1" s="21"/>
      <c r="D1" s="21"/>
    </row>
    <row r="2" spans="1:4" x14ac:dyDescent="0.35">
      <c r="A2" s="1"/>
      <c r="B2" s="1"/>
      <c r="C2" s="1"/>
      <c r="D2" s="1"/>
    </row>
    <row r="3" spans="1:4" x14ac:dyDescent="0.35">
      <c r="A3" s="27" t="s">
        <v>82</v>
      </c>
      <c r="B3" s="27" t="s">
        <v>83</v>
      </c>
      <c r="C3" s="27" t="s">
        <v>84</v>
      </c>
      <c r="D3" s="27" t="s">
        <v>85</v>
      </c>
    </row>
    <row r="4" spans="1:4" x14ac:dyDescent="0.35">
      <c r="A4" s="28">
        <v>46023</v>
      </c>
      <c r="B4" s="25" t="s">
        <v>86</v>
      </c>
      <c r="C4" s="26" t="s">
        <v>87</v>
      </c>
      <c r="D4" s="26" t="s">
        <v>88</v>
      </c>
    </row>
    <row r="5" spans="1:4" x14ac:dyDescent="0.35">
      <c r="A5" s="28">
        <v>46102</v>
      </c>
      <c r="B5" s="25" t="s">
        <v>89</v>
      </c>
      <c r="C5" s="26" t="s">
        <v>87</v>
      </c>
      <c r="D5" s="26" t="s">
        <v>88</v>
      </c>
    </row>
    <row r="6" spans="1:4" x14ac:dyDescent="0.35">
      <c r="A6" s="28">
        <v>46115</v>
      </c>
      <c r="B6" s="25" t="s">
        <v>90</v>
      </c>
      <c r="C6" s="26" t="s">
        <v>87</v>
      </c>
      <c r="D6" s="26" t="s">
        <v>88</v>
      </c>
    </row>
    <row r="7" spans="1:4" x14ac:dyDescent="0.35">
      <c r="A7" s="28">
        <v>46118</v>
      </c>
      <c r="B7" s="25" t="s">
        <v>91</v>
      </c>
      <c r="C7" s="26" t="s">
        <v>87</v>
      </c>
      <c r="D7" s="26" t="s">
        <v>88</v>
      </c>
    </row>
    <row r="8" spans="1:4" x14ac:dyDescent="0.35">
      <c r="A8" s="28">
        <v>46139</v>
      </c>
      <c r="B8" s="25" t="s">
        <v>92</v>
      </c>
      <c r="C8" s="26" t="s">
        <v>87</v>
      </c>
      <c r="D8" s="26" t="s">
        <v>88</v>
      </c>
    </row>
    <row r="9" spans="1:4" x14ac:dyDescent="0.35">
      <c r="A9" s="28">
        <v>46143</v>
      </c>
      <c r="B9" s="25" t="s">
        <v>93</v>
      </c>
      <c r="C9" s="26" t="s">
        <v>87</v>
      </c>
      <c r="D9" s="26" t="s">
        <v>88</v>
      </c>
    </row>
    <row r="10" spans="1:4" x14ac:dyDescent="0.35">
      <c r="A10" s="28">
        <v>46189</v>
      </c>
      <c r="B10" s="25" t="s">
        <v>94</v>
      </c>
      <c r="C10" s="26" t="s">
        <v>87</v>
      </c>
      <c r="D10" s="26" t="s">
        <v>88</v>
      </c>
    </row>
    <row r="11" spans="1:4" x14ac:dyDescent="0.35">
      <c r="A11" s="28">
        <v>46243</v>
      </c>
      <c r="B11" s="25" t="s">
        <v>95</v>
      </c>
      <c r="C11" s="26" t="s">
        <v>87</v>
      </c>
      <c r="D11" s="26" t="s">
        <v>88</v>
      </c>
    </row>
    <row r="12" spans="1:4" x14ac:dyDescent="0.35">
      <c r="A12" s="28">
        <v>46244</v>
      </c>
      <c r="B12" s="25" t="s">
        <v>96</v>
      </c>
      <c r="C12" s="26" t="s">
        <v>97</v>
      </c>
      <c r="D12" s="26" t="s">
        <v>88</v>
      </c>
    </row>
    <row r="13" spans="1:4" x14ac:dyDescent="0.35">
      <c r="A13" s="28">
        <v>46289</v>
      </c>
      <c r="B13" s="25" t="s">
        <v>98</v>
      </c>
      <c r="C13" s="26" t="s">
        <v>87</v>
      </c>
      <c r="D13" s="26" t="s">
        <v>88</v>
      </c>
    </row>
    <row r="14" spans="1:4" x14ac:dyDescent="0.35">
      <c r="A14" s="28">
        <v>46372</v>
      </c>
      <c r="B14" s="25" t="s">
        <v>99</v>
      </c>
      <c r="C14" s="26" t="s">
        <v>87</v>
      </c>
      <c r="D14" s="26" t="s">
        <v>88</v>
      </c>
    </row>
    <row r="15" spans="1:4" x14ac:dyDescent="0.35">
      <c r="A15" s="28">
        <v>46381</v>
      </c>
      <c r="B15" s="25" t="s">
        <v>100</v>
      </c>
      <c r="C15" s="26" t="s">
        <v>87</v>
      </c>
      <c r="D15" s="26" t="s">
        <v>88</v>
      </c>
    </row>
    <row r="16" spans="1:4" x14ac:dyDescent="0.35">
      <c r="A16" s="28">
        <v>46382</v>
      </c>
      <c r="B16" s="25" t="s">
        <v>101</v>
      </c>
      <c r="C16" s="26" t="s">
        <v>87</v>
      </c>
      <c r="D16" s="26" t="s">
        <v>88</v>
      </c>
    </row>
    <row r="17" spans="1:4" x14ac:dyDescent="0.35">
      <c r="A17" s="15"/>
      <c r="B17" s="12"/>
      <c r="C17" s="1"/>
      <c r="D17" s="1"/>
    </row>
    <row r="18" spans="1:4" x14ac:dyDescent="0.35">
      <c r="A18" s="15"/>
      <c r="B18" s="12"/>
      <c r="C18" s="1"/>
      <c r="D18" s="1"/>
    </row>
    <row r="19" spans="1:4" x14ac:dyDescent="0.35">
      <c r="A19" s="15"/>
      <c r="B19" s="12"/>
      <c r="C19" s="1"/>
      <c r="D19" s="1"/>
    </row>
    <row r="20" spans="1:4" x14ac:dyDescent="0.35">
      <c r="A20" s="15"/>
      <c r="B20" s="12"/>
      <c r="C20" s="1"/>
      <c r="D20" s="1"/>
    </row>
    <row r="21" spans="1:4" x14ac:dyDescent="0.35">
      <c r="A21" s="15"/>
      <c r="B21" s="12"/>
      <c r="C21" s="1"/>
      <c r="D21" s="1"/>
    </row>
    <row r="22" spans="1:4" x14ac:dyDescent="0.35">
      <c r="A22" s="15"/>
      <c r="B22" s="12"/>
      <c r="C22" s="1"/>
      <c r="D22" s="1"/>
    </row>
    <row r="23" spans="1:4" x14ac:dyDescent="0.35">
      <c r="A23" s="15"/>
      <c r="B23" s="12"/>
      <c r="C23" s="1"/>
      <c r="D23" s="1"/>
    </row>
    <row r="24" spans="1:4" x14ac:dyDescent="0.35">
      <c r="A24" s="15"/>
      <c r="B24" s="12"/>
      <c r="C24" s="1"/>
      <c r="D24" s="1"/>
    </row>
    <row r="25" spans="1:4" x14ac:dyDescent="0.35">
      <c r="A25" s="15"/>
      <c r="B25" s="12"/>
      <c r="C25" s="1"/>
      <c r="D25" s="1"/>
    </row>
    <row r="26" spans="1:4" x14ac:dyDescent="0.35">
      <c r="A26" s="15"/>
      <c r="B26" s="12"/>
      <c r="C26" s="1"/>
      <c r="D26" s="1"/>
    </row>
    <row r="27" spans="1:4" x14ac:dyDescent="0.35">
      <c r="A27" s="15"/>
      <c r="B27" s="12"/>
      <c r="C27" s="1"/>
      <c r="D27" s="1"/>
    </row>
    <row r="28" spans="1:4" x14ac:dyDescent="0.35">
      <c r="A28" s="15"/>
      <c r="B28" s="12"/>
      <c r="C28" s="1"/>
      <c r="D28" s="1"/>
    </row>
    <row r="29" spans="1:4" x14ac:dyDescent="0.35">
      <c r="A29" s="15"/>
      <c r="B29" s="12"/>
      <c r="C29" s="1"/>
      <c r="D29" s="1"/>
    </row>
    <row r="30" spans="1:4" x14ac:dyDescent="0.35">
      <c r="A30" s="15"/>
      <c r="B30" s="12"/>
      <c r="C30" s="1"/>
      <c r="D30" s="1"/>
    </row>
    <row r="31" spans="1:4" x14ac:dyDescent="0.35">
      <c r="A31" s="15"/>
      <c r="B31" s="12"/>
      <c r="C31" s="1"/>
      <c r="D31" s="1"/>
    </row>
    <row r="32" spans="1:4" x14ac:dyDescent="0.35">
      <c r="A32" s="15"/>
      <c r="B32" s="12"/>
      <c r="C32" s="1"/>
      <c r="D32" s="1"/>
    </row>
    <row r="33" spans="1:4" x14ac:dyDescent="0.35">
      <c r="A33" s="15"/>
      <c r="B33" s="12"/>
      <c r="C33" s="1"/>
      <c r="D33" s="1"/>
    </row>
    <row r="34" spans="1:4" x14ac:dyDescent="0.35">
      <c r="A34" s="15"/>
      <c r="B34" s="12"/>
      <c r="C34" s="1"/>
      <c r="D34" s="1"/>
    </row>
    <row r="35" spans="1:4" x14ac:dyDescent="0.35">
      <c r="A35" s="15"/>
      <c r="B35" s="12"/>
      <c r="C35" s="1"/>
      <c r="D35" s="1"/>
    </row>
    <row r="36" spans="1:4" x14ac:dyDescent="0.35">
      <c r="A36" s="15"/>
      <c r="B36" s="12"/>
      <c r="C36" s="1"/>
      <c r="D36" s="1"/>
    </row>
    <row r="37" spans="1:4" x14ac:dyDescent="0.35">
      <c r="A37" s="15"/>
      <c r="B37" s="12"/>
      <c r="C37" s="1"/>
      <c r="D37" s="1"/>
    </row>
    <row r="38" spans="1:4" x14ac:dyDescent="0.35">
      <c r="A38" s="15"/>
      <c r="B38" s="12"/>
      <c r="C38" s="1"/>
      <c r="D38" s="1"/>
    </row>
    <row r="39" spans="1:4" x14ac:dyDescent="0.35">
      <c r="A39" s="15"/>
      <c r="B39" s="12"/>
      <c r="C39" s="1"/>
      <c r="D39" s="1"/>
    </row>
    <row r="40" spans="1:4" x14ac:dyDescent="0.35">
      <c r="A40" s="15"/>
      <c r="B40" s="12"/>
      <c r="C40" s="1"/>
      <c r="D40" s="1"/>
    </row>
    <row r="41" spans="1:4" x14ac:dyDescent="0.35">
      <c r="A41" s="15"/>
      <c r="B41" s="12"/>
      <c r="C41" s="1"/>
      <c r="D41" s="1"/>
    </row>
    <row r="42" spans="1:4" x14ac:dyDescent="0.35">
      <c r="A42" s="15"/>
      <c r="B42" s="12"/>
      <c r="C42" s="1"/>
      <c r="D42" s="1"/>
    </row>
    <row r="43" spans="1:4" x14ac:dyDescent="0.35">
      <c r="A43" s="15"/>
      <c r="B43" s="12"/>
      <c r="C43" s="1"/>
      <c r="D43" s="1"/>
    </row>
    <row r="44" spans="1:4" x14ac:dyDescent="0.35">
      <c r="A44" s="15"/>
      <c r="B44" s="12"/>
      <c r="C44" s="1"/>
      <c r="D44" s="1"/>
    </row>
    <row r="45" spans="1:4" x14ac:dyDescent="0.35">
      <c r="A45" s="15"/>
      <c r="B45" s="12"/>
      <c r="C45" s="1"/>
      <c r="D45" s="1"/>
    </row>
    <row r="46" spans="1:4" x14ac:dyDescent="0.35">
      <c r="A46" s="15"/>
      <c r="B46" s="12"/>
      <c r="C46" s="1"/>
      <c r="D46" s="1"/>
    </row>
    <row r="47" spans="1:4" x14ac:dyDescent="0.35">
      <c r="A47" s="15"/>
      <c r="B47" s="12"/>
      <c r="C47" s="1"/>
      <c r="D47" s="1"/>
    </row>
    <row r="48" spans="1:4" x14ac:dyDescent="0.35">
      <c r="A48" s="15"/>
      <c r="B48" s="12"/>
      <c r="C48" s="1"/>
      <c r="D48" s="1"/>
    </row>
    <row r="49" spans="1:4" x14ac:dyDescent="0.35">
      <c r="A49" s="15"/>
      <c r="B49" s="12"/>
      <c r="C49" s="1"/>
      <c r="D49" s="1"/>
    </row>
    <row r="50" spans="1:4" x14ac:dyDescent="0.35">
      <c r="A50" s="15"/>
      <c r="B50" s="12"/>
      <c r="C50" s="1"/>
      <c r="D50" s="1"/>
    </row>
    <row r="51" spans="1:4" x14ac:dyDescent="0.35">
      <c r="A51" s="15"/>
      <c r="B51" s="12"/>
      <c r="C51" s="1"/>
      <c r="D51" s="1"/>
    </row>
    <row r="52" spans="1:4" x14ac:dyDescent="0.35">
      <c r="A52" s="15"/>
      <c r="B52" s="12"/>
      <c r="C52" s="1"/>
      <c r="D52" s="1"/>
    </row>
    <row r="53" spans="1:4" x14ac:dyDescent="0.35">
      <c r="A53" s="15"/>
      <c r="B53" s="12"/>
      <c r="C53" s="1"/>
      <c r="D53" s="1"/>
    </row>
    <row r="54" spans="1:4" x14ac:dyDescent="0.35">
      <c r="A54" s="15"/>
      <c r="B54" s="12"/>
      <c r="C54" s="1"/>
      <c r="D54" s="1"/>
    </row>
    <row r="55" spans="1:4" x14ac:dyDescent="0.35">
      <c r="A55" s="15"/>
      <c r="B55" s="12"/>
      <c r="C55" s="1"/>
      <c r="D55" s="1"/>
    </row>
    <row r="56" spans="1:4" x14ac:dyDescent="0.35">
      <c r="A56" s="15"/>
      <c r="B56" s="12"/>
      <c r="C56" s="1"/>
      <c r="D56" s="1"/>
    </row>
    <row r="57" spans="1:4" x14ac:dyDescent="0.35">
      <c r="A57" s="15"/>
      <c r="B57" s="12"/>
      <c r="C57" s="1"/>
      <c r="D57" s="1"/>
    </row>
    <row r="58" spans="1:4" x14ac:dyDescent="0.35">
      <c r="A58" s="15"/>
      <c r="B58" s="12"/>
      <c r="C58" s="1"/>
      <c r="D58" s="1"/>
    </row>
    <row r="59" spans="1:4" x14ac:dyDescent="0.35">
      <c r="A59" s="15"/>
      <c r="B59" s="12"/>
      <c r="C59" s="1"/>
      <c r="D59" s="1"/>
    </row>
    <row r="60" spans="1:4" x14ac:dyDescent="0.35">
      <c r="A60" s="15"/>
      <c r="B60" s="12"/>
      <c r="C60" s="1"/>
      <c r="D60" s="1"/>
    </row>
    <row r="61" spans="1:4" x14ac:dyDescent="0.35">
      <c r="A61" s="15"/>
      <c r="B61" s="12"/>
      <c r="C61" s="1"/>
      <c r="D61" s="1"/>
    </row>
    <row r="62" spans="1:4" x14ac:dyDescent="0.35">
      <c r="A62" s="15"/>
      <c r="B62" s="12"/>
      <c r="C62" s="1"/>
      <c r="D62" s="1"/>
    </row>
    <row r="63" spans="1:4" x14ac:dyDescent="0.35">
      <c r="A63" s="15"/>
      <c r="B63" s="12"/>
      <c r="C63" s="1"/>
      <c r="D63" s="1"/>
    </row>
    <row r="64" spans="1:4" x14ac:dyDescent="0.35">
      <c r="A64" s="15"/>
      <c r="B64" s="12"/>
      <c r="C64" s="1"/>
      <c r="D64" s="1"/>
    </row>
    <row r="65" spans="1:4" x14ac:dyDescent="0.35">
      <c r="A65" s="15"/>
      <c r="B65" s="12"/>
      <c r="C65" s="1"/>
      <c r="D65" s="1"/>
    </row>
    <row r="66" spans="1:4" x14ac:dyDescent="0.35">
      <c r="A66" s="15"/>
      <c r="B66" s="12"/>
      <c r="C66" s="1"/>
      <c r="D66" s="1"/>
    </row>
    <row r="67" spans="1:4" x14ac:dyDescent="0.35">
      <c r="A67" s="15"/>
      <c r="B67" s="12"/>
      <c r="C67" s="1"/>
      <c r="D67" s="1"/>
    </row>
    <row r="68" spans="1:4" x14ac:dyDescent="0.35">
      <c r="A68" s="15"/>
      <c r="B68" s="12"/>
      <c r="C68" s="1"/>
      <c r="D68" s="1"/>
    </row>
    <row r="69" spans="1:4" x14ac:dyDescent="0.35">
      <c r="A69" s="15"/>
      <c r="B69" s="12"/>
      <c r="C69" s="1"/>
      <c r="D69" s="1"/>
    </row>
    <row r="70" spans="1:4" x14ac:dyDescent="0.35">
      <c r="A70" s="15"/>
      <c r="B70" s="12"/>
      <c r="C70" s="1"/>
      <c r="D70" s="1"/>
    </row>
    <row r="71" spans="1:4" x14ac:dyDescent="0.35">
      <c r="A71" s="15"/>
      <c r="B71" s="12"/>
      <c r="C71" s="1"/>
      <c r="D71" s="1"/>
    </row>
    <row r="72" spans="1:4" x14ac:dyDescent="0.35">
      <c r="A72" s="15"/>
      <c r="B72" s="12"/>
      <c r="C72" s="1"/>
      <c r="D72" s="1"/>
    </row>
    <row r="73" spans="1:4" x14ac:dyDescent="0.35">
      <c r="A73" s="15"/>
      <c r="B73" s="12"/>
      <c r="C73" s="1"/>
      <c r="D73" s="1"/>
    </row>
    <row r="74" spans="1:4" x14ac:dyDescent="0.35">
      <c r="A74" s="15"/>
      <c r="B74" s="12"/>
      <c r="C74" s="1"/>
      <c r="D74" s="1"/>
    </row>
    <row r="75" spans="1:4" x14ac:dyDescent="0.35">
      <c r="A75" s="15"/>
      <c r="B75" s="12"/>
      <c r="C75" s="1"/>
      <c r="D75" s="1"/>
    </row>
    <row r="76" spans="1:4" x14ac:dyDescent="0.35">
      <c r="A76" s="15"/>
      <c r="B76" s="12"/>
      <c r="C76" s="1"/>
      <c r="D76" s="1"/>
    </row>
    <row r="77" spans="1:4" x14ac:dyDescent="0.35">
      <c r="A77" s="15"/>
      <c r="B77" s="12"/>
      <c r="C77" s="1"/>
      <c r="D77" s="1"/>
    </row>
    <row r="78" spans="1:4" x14ac:dyDescent="0.35">
      <c r="A78" s="15"/>
      <c r="B78" s="12"/>
      <c r="C78" s="1"/>
      <c r="D78" s="1"/>
    </row>
    <row r="79" spans="1:4" x14ac:dyDescent="0.35">
      <c r="A79" s="15"/>
      <c r="B79" s="12"/>
      <c r="C79" s="1"/>
      <c r="D79" s="1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23"/>
  <sheetViews>
    <sheetView showGridLines="0" topLeftCell="H1" workbookViewId="0">
      <pane ySplit="3" topLeftCell="A239" activePane="bottomLeft" state="frozen"/>
      <selection pane="bottomLeft" activeCell="A2" sqref="A2:P623"/>
    </sheetView>
  </sheetViews>
  <sheetFormatPr defaultRowHeight="14.5" x14ac:dyDescent="0.35"/>
  <cols>
    <col min="1" max="2" width="13" customWidth="1"/>
    <col min="3" max="3" width="14" customWidth="1"/>
    <col min="4" max="4" width="22" customWidth="1"/>
    <col min="5" max="5" width="10" customWidth="1"/>
    <col min="6" max="6" width="11" customWidth="1"/>
    <col min="7" max="7" width="14" customWidth="1"/>
    <col min="8" max="11" width="12" customWidth="1"/>
    <col min="12" max="12" width="15" customWidth="1"/>
    <col min="13" max="13" width="10" customWidth="1"/>
    <col min="14" max="14" width="15.1796875" bestFit="1" customWidth="1"/>
    <col min="15" max="15" width="15" customWidth="1"/>
    <col min="16" max="16" width="5.7265625" bestFit="1" customWidth="1"/>
  </cols>
  <sheetData>
    <row r="1" spans="1:16" x14ac:dyDescent="0.35">
      <c r="A1" s="29" t="s">
        <v>102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35">
      <c r="A3" s="30" t="s">
        <v>82</v>
      </c>
      <c r="B3" s="30" t="s">
        <v>103</v>
      </c>
      <c r="C3" s="30" t="s">
        <v>41</v>
      </c>
      <c r="D3" s="30" t="s">
        <v>42</v>
      </c>
      <c r="E3" s="30" t="s">
        <v>43</v>
      </c>
      <c r="F3" s="30" t="s">
        <v>62</v>
      </c>
      <c r="G3" s="30" t="s">
        <v>104</v>
      </c>
      <c r="H3" s="30" t="s">
        <v>67</v>
      </c>
      <c r="I3" s="30" t="s">
        <v>68</v>
      </c>
      <c r="J3" s="30" t="s">
        <v>105</v>
      </c>
      <c r="K3" s="30" t="s">
        <v>106</v>
      </c>
      <c r="L3" s="30" t="s">
        <v>107</v>
      </c>
      <c r="M3" s="30" t="s">
        <v>108</v>
      </c>
      <c r="N3" s="30" t="s">
        <v>109</v>
      </c>
      <c r="O3" s="30" t="s">
        <v>110</v>
      </c>
      <c r="P3" s="30" t="s">
        <v>5</v>
      </c>
    </row>
    <row r="4" spans="1:16" x14ac:dyDescent="0.35">
      <c r="A4" s="31">
        <f>IF(0+1&lt;=Settings!$B$7,Settings!$B$6+0,"")</f>
        <v>46143</v>
      </c>
      <c r="B4" s="31">
        <f t="shared" ref="B4:B67" si="0">IF(A4="","",A4-WEEKDAY(A4,2)+1)</f>
        <v>46139</v>
      </c>
      <c r="C4" s="26" t="str">
        <f>IF(Employees!A4="","",Employees!A4)</f>
        <v>E001</v>
      </c>
      <c r="D4" s="26" t="str">
        <f>IF(C4="","",Employees!B4)</f>
        <v>Musiwa Khavalani</v>
      </c>
      <c r="E4" s="26">
        <f>IF(C4="","",Employees!C4)</f>
        <v>0</v>
      </c>
      <c r="F4" s="26">
        <f>IF(A4="","",MOD(A4-Settings!$B$6,4)+1)</f>
        <v>1</v>
      </c>
      <c r="G4" s="26" t="e">
        <f>IF(C4="","",INDEX(Rotation_Pattern!$B$4:$E$7,F4,MATCH(E4,{"A","B","C","D"},0)))</f>
        <v>#N/A</v>
      </c>
      <c r="H4" s="32" t="e">
        <f t="shared" ref="H4:H67" si="1">IF(OR(G4="Off",G4=""),"",IF(G4="Day",TIME(6,0,0),IF(G4="Evening",TIME(14,0,0),TIME(22,0,0))))</f>
        <v>#N/A</v>
      </c>
      <c r="I4" s="32" t="e">
        <f>IF(OR(G4="Off",G4=""),"",H4+TIME(Settings!$B$8,0,0))</f>
        <v>#N/A</v>
      </c>
      <c r="J4" s="26" t="e">
        <f>IF(OR(G4="Off",G4=""),0,Settings!$B$8)</f>
        <v>#N/A</v>
      </c>
      <c r="K4" s="25" t="s">
        <v>111</v>
      </c>
      <c r="L4" s="26" t="str">
        <f>IF(A4="","",IF(COUNTIF(Public_Holidays!$A$4:$A$80,A4)&gt;0,"Y","N"))</f>
        <v>Y</v>
      </c>
      <c r="M4" s="26" t="str">
        <f t="shared" ref="M4:M67" si="2">IF(A4="","",IF(WEEKDAY(A4,2)=7,"Y","N"))</f>
        <v>N</v>
      </c>
      <c r="N4" s="26" t="e">
        <f>IF(A4="","",_xlfn.TEXTJOIN("; ",TRUE,IF(SUMIFS($J:$J,$C:$C,C4,$B:$B,B4)&gt;Settings!$B$9,"Weekly ordinary hrs &gt;45",""),IF(SUMIFS(Claims!$H:$H,Claims!$C:$C,C4,Claims!$B:$B,B4)&gt;Settings!$B$10,"Weekly OT &gt;10",""),IF(AND(G4&lt;&gt;"Off",COUNTIFS($C:$C,C4,$A:$A,A4-1,$G:$G,"Night")&gt;0),"Rest &lt;12h after night shift",""),IF(J4&gt;5,"Meal interval required","")))</f>
        <v>#N/A</v>
      </c>
      <c r="O4" s="25" t="s">
        <v>112</v>
      </c>
      <c r="P4" s="25"/>
    </row>
    <row r="5" spans="1:16" x14ac:dyDescent="0.35">
      <c r="A5" s="31">
        <f>IF(0+1&lt;=Settings!$B$7,Settings!$B$6+0,"")</f>
        <v>46143</v>
      </c>
      <c r="B5" s="31">
        <f t="shared" si="0"/>
        <v>46139</v>
      </c>
      <c r="C5" s="26" t="str">
        <f>IF(Employees!A5="","",Employees!A5)</f>
        <v>E002</v>
      </c>
      <c r="D5" s="26" t="str">
        <f>IF(C5="","",Employees!B5)</f>
        <v>Mpho  Nembemhia</v>
      </c>
      <c r="E5" s="26" t="str">
        <f>IF(C5="","",Employees!C5)</f>
        <v>B</v>
      </c>
      <c r="F5" s="26">
        <f>IF(A5="","",MOD(A5-Settings!$B$6,4)+1)</f>
        <v>1</v>
      </c>
      <c r="G5" s="26" t="str">
        <f>IF(C5="","",INDEX(Rotation_Pattern!$B$4:$E$7,F5,MATCH(E5,{"A","B","C","D"},0)))</f>
        <v>Off</v>
      </c>
      <c r="H5" s="32" t="str">
        <f t="shared" si="1"/>
        <v/>
      </c>
      <c r="I5" s="32" t="str">
        <f>IF(OR(G5="Off",G5=""),"",H5+TIME(Settings!$B$8,0,0))</f>
        <v/>
      </c>
      <c r="J5" s="26">
        <f>IF(OR(G5="Off",G5=""),0,Settings!$B$8)</f>
        <v>0</v>
      </c>
      <c r="K5" s="25" t="s">
        <v>111</v>
      </c>
      <c r="L5" s="26" t="str">
        <f>IF(A5="","",IF(COUNTIF(Public_Holidays!$A$4:$A$80,A5)&gt;0,"Y","N"))</f>
        <v>Y</v>
      </c>
      <c r="M5" s="26" t="str">
        <f t="shared" si="2"/>
        <v>N</v>
      </c>
      <c r="N5" s="26" t="e">
        <f ca="1">IF(A5="","",_xludf.TEXTJOIN("; ",TRUE,IF(SUMIFS($J:$J,$C:$C,C5,$B:$B,B5)&gt;Settings!$B$9,"Weekly ordinary hrs &gt;45",""),IF(SUMIFS(Claims!$H:$H,Claims!$C:$C,C5,Claims!$B:$B,B5)&gt;Settings!$B$10,"Weekly OT &gt;10",""),IF(AND(G5&lt;&gt;"Off",COUNTIFS($C:$C,C5,$A:$A,A5-1,$G:$G,"Night")&gt;0),"Rest &lt;12h after night shift",""),IF(J5&gt;5,"Meal interval required","")))</f>
        <v>#NAME?</v>
      </c>
      <c r="O5" s="25" t="s">
        <v>112</v>
      </c>
      <c r="P5" s="25"/>
    </row>
    <row r="6" spans="1:16" x14ac:dyDescent="0.35">
      <c r="A6" s="31">
        <f>IF(0+1&lt;=Settings!$B$7,Settings!$B$6+0,"")</f>
        <v>46143</v>
      </c>
      <c r="B6" s="31">
        <f t="shared" si="0"/>
        <v>46139</v>
      </c>
      <c r="C6" s="26" t="str">
        <f>IF(Employees!A6="","",Employees!A6)</f>
        <v>E003</v>
      </c>
      <c r="D6" s="26" t="str">
        <f>IF(C6="","",Employees!B6)</f>
        <v>Dimpho Makhafola</v>
      </c>
      <c r="E6" s="26" t="str">
        <f>IF(C6="","",Employees!C6)</f>
        <v>C</v>
      </c>
      <c r="F6" s="26">
        <f>IF(A6="","",MOD(A6-Settings!$B$6,4)+1)</f>
        <v>1</v>
      </c>
      <c r="G6" s="26" t="str">
        <f>IF(C6="","",INDEX(Rotation_Pattern!$B$4:$E$7,F6,MATCH(E6,{"A","B","C","D"},0)))</f>
        <v>Evening</v>
      </c>
      <c r="H6" s="32">
        <f t="shared" si="1"/>
        <v>0.58333333333333337</v>
      </c>
      <c r="I6" s="32">
        <f>IF(OR(G6="Off",G6=""),"",H6+TIME(Settings!$B$8,0,0))</f>
        <v>0.91666666666666674</v>
      </c>
      <c r="J6" s="26">
        <f>IF(OR(G6="Off",G6=""),0,Settings!$B$8)</f>
        <v>8</v>
      </c>
      <c r="K6" s="25" t="s">
        <v>111</v>
      </c>
      <c r="L6" s="26" t="str">
        <f>IF(A6="","",IF(COUNTIF(Public_Holidays!$A$4:$A$80,A6)&gt;0,"Y","N"))</f>
        <v>Y</v>
      </c>
      <c r="M6" s="26" t="str">
        <f t="shared" si="2"/>
        <v>N</v>
      </c>
      <c r="N6" s="26" t="e">
        <f ca="1">IF(A6="","",_xludf.TEXTJOIN("; ",TRUE,IF(SUMIFS($J:$J,$C:$C,C6,$B:$B,B6)&gt;Settings!$B$9,"Weekly ordinary hrs &gt;45",""),IF(SUMIFS(Claims!$H:$H,Claims!$C:$C,C6,Claims!$B:$B,B6)&gt;Settings!$B$10,"Weekly OT &gt;10",""),IF(AND(G6&lt;&gt;"Off",COUNTIFS($C:$C,C6,$A:$A,A6-1,$G:$G,"Night")&gt;0),"Rest &lt;12h after night shift",""),IF(J6&gt;5,"Meal interval required","")))</f>
        <v>#NAME?</v>
      </c>
      <c r="O6" s="25" t="s">
        <v>112</v>
      </c>
      <c r="P6" s="25"/>
    </row>
    <row r="7" spans="1:16" x14ac:dyDescent="0.35">
      <c r="A7" s="31">
        <f>IF(0+1&lt;=Settings!$B$7,Settings!$B$6+0,"")</f>
        <v>46143</v>
      </c>
      <c r="B7" s="31">
        <f t="shared" si="0"/>
        <v>46139</v>
      </c>
      <c r="C7" s="26" t="str">
        <f>IF(Employees!A7="","",Employees!A7)</f>
        <v>E004</v>
      </c>
      <c r="D7" s="26" t="str">
        <f>IF(C7="","",Employees!B7)</f>
        <v>Bashii Fall</v>
      </c>
      <c r="E7" s="26" t="str">
        <f>IF(C7="","",Employees!C7)</f>
        <v>D</v>
      </c>
      <c r="F7" s="26">
        <f>IF(A7="","",MOD(A7-Settings!$B$6,4)+1)</f>
        <v>1</v>
      </c>
      <c r="G7" s="26" t="str">
        <f>IF(C7="","",INDEX(Rotation_Pattern!$B$4:$E$7,F7,MATCH(E7,{"A","B","C","D"},0)))</f>
        <v>Night</v>
      </c>
      <c r="H7" s="32">
        <f t="shared" si="1"/>
        <v>0.91666666666666663</v>
      </c>
      <c r="I7" s="32">
        <f>IF(OR(G7="Off",G7=""),"",H7+TIME(Settings!$B$8,0,0))</f>
        <v>1.25</v>
      </c>
      <c r="J7" s="26">
        <f>IF(OR(G7="Off",G7=""),0,Settings!$B$8)</f>
        <v>8</v>
      </c>
      <c r="K7" s="25" t="s">
        <v>111</v>
      </c>
      <c r="L7" s="26" t="str">
        <f>IF(A7="","",IF(COUNTIF(Public_Holidays!$A$4:$A$80,A7)&gt;0,"Y","N"))</f>
        <v>Y</v>
      </c>
      <c r="M7" s="26" t="str">
        <f t="shared" si="2"/>
        <v>N</v>
      </c>
      <c r="N7" s="26" t="e">
        <f ca="1">IF(A7="","",_xludf.TEXTJOIN("; ",TRUE,IF(SUMIFS($J:$J,$C:$C,C7,$B:$B,B7)&gt;Settings!$B$9,"Weekly ordinary hrs &gt;45",""),IF(SUMIFS(Claims!$H:$H,Claims!$C:$C,C7,Claims!$B:$B,B7)&gt;Settings!$B$10,"Weekly OT &gt;10",""),IF(AND(G7&lt;&gt;"Off",COUNTIFS($C:$C,C7,$A:$A,A7-1,$G:$G,"Night")&gt;0),"Rest &lt;12h after night shift",""),IF(J7&gt;5,"Meal interval required","")))</f>
        <v>#NAME?</v>
      </c>
      <c r="O7" s="25" t="s">
        <v>112</v>
      </c>
      <c r="P7" s="25"/>
    </row>
    <row r="8" spans="1:16" x14ac:dyDescent="0.35">
      <c r="A8" s="31">
        <f>IF(0+1&lt;=Settings!$B$7,Settings!$B$6+0,"")</f>
        <v>46143</v>
      </c>
      <c r="B8" s="31">
        <f t="shared" si="0"/>
        <v>46139</v>
      </c>
      <c r="C8" s="26" t="str">
        <f>IF(Employees!A8="","",Employees!A8)</f>
        <v>E005</v>
      </c>
      <c r="D8" s="26" t="str">
        <f>IF(C8="","",Employees!B8)</f>
        <v>Lesego Aphane</v>
      </c>
      <c r="E8" s="26" t="str">
        <f>IF(C8="","",Employees!C8)</f>
        <v>A</v>
      </c>
      <c r="F8" s="26">
        <f>IF(A8="","",MOD(A8-Settings!$B$6,4)+1)</f>
        <v>1</v>
      </c>
      <c r="G8" s="26" t="str">
        <f>IF(C8="","",INDEX(Rotation_Pattern!$B$4:$E$7,F8,MATCH(E8,{"A","B","C","D"},0)))</f>
        <v>Day</v>
      </c>
      <c r="H8" s="32">
        <f t="shared" si="1"/>
        <v>0.25</v>
      </c>
      <c r="I8" s="32">
        <f>IF(OR(G8="Off",G8=""),"",H8+TIME(Settings!$B$8,0,0))</f>
        <v>0.58333333333333326</v>
      </c>
      <c r="J8" s="26">
        <f>IF(OR(G8="Off",G8=""),0,Settings!$B$8)</f>
        <v>8</v>
      </c>
      <c r="K8" s="25" t="s">
        <v>111</v>
      </c>
      <c r="L8" s="26" t="str">
        <f>IF(A8="","",IF(COUNTIF(Public_Holidays!$A$4:$A$80,A8)&gt;0,"Y","N"))</f>
        <v>Y</v>
      </c>
      <c r="M8" s="26" t="str">
        <f t="shared" si="2"/>
        <v>N</v>
      </c>
      <c r="N8" s="26" t="e">
        <f ca="1">IF(A8="","",_xludf.TEXTJOIN("; ",TRUE,IF(SUMIFS($J:$J,$C:$C,C8,$B:$B,B8)&gt;Settings!$B$9,"Weekly ordinary hrs &gt;45",""),IF(SUMIFS(Claims!$H:$H,Claims!$C:$C,C8,Claims!$B:$B,B8)&gt;Settings!$B$10,"Weekly OT &gt;10",""),IF(AND(G8&lt;&gt;"Off",COUNTIFS($C:$C,C8,$A:$A,A8-1,$G:$G,"Night")&gt;0),"Rest &lt;12h after night shift",""),IF(J8&gt;5,"Meal interval required","")))</f>
        <v>#NAME?</v>
      </c>
      <c r="O8" s="25" t="s">
        <v>112</v>
      </c>
      <c r="P8" s="25"/>
    </row>
    <row r="9" spans="1:16" x14ac:dyDescent="0.35">
      <c r="A9" s="31">
        <f>IF(0+1&lt;=Settings!$B$7,Settings!$B$6+0,"")</f>
        <v>46143</v>
      </c>
      <c r="B9" s="31">
        <f t="shared" si="0"/>
        <v>46139</v>
      </c>
      <c r="C9" s="26" t="str">
        <f>IF(Employees!A9="","",Employees!A9)</f>
        <v>E006</v>
      </c>
      <c r="D9" s="26" t="str">
        <f>IF(C9="","",Employees!B9)</f>
        <v>Nhalnahla</v>
      </c>
      <c r="E9" s="26" t="str">
        <f>IF(C9="","",Employees!C9)</f>
        <v>B</v>
      </c>
      <c r="F9" s="26">
        <f>IF(A9="","",MOD(A9-Settings!$B$6,4)+1)</f>
        <v>1</v>
      </c>
      <c r="G9" s="26" t="str">
        <f>IF(C9="","",INDEX(Rotation_Pattern!$B$4:$E$7,F9,MATCH(E9,{"A","B","C","D"},0)))</f>
        <v>Off</v>
      </c>
      <c r="H9" s="32" t="str">
        <f t="shared" si="1"/>
        <v/>
      </c>
      <c r="I9" s="32" t="str">
        <f>IF(OR(G9="Off",G9=""),"",H9+TIME(Settings!$B$8,0,0))</f>
        <v/>
      </c>
      <c r="J9" s="26">
        <f>IF(OR(G9="Off",G9=""),0,Settings!$B$8)</f>
        <v>0</v>
      </c>
      <c r="K9" s="25" t="s">
        <v>111</v>
      </c>
      <c r="L9" s="26" t="str">
        <f>IF(A9="","",IF(COUNTIF(Public_Holidays!$A$4:$A$80,A9)&gt;0,"Y","N"))</f>
        <v>Y</v>
      </c>
      <c r="M9" s="26" t="str">
        <f t="shared" si="2"/>
        <v>N</v>
      </c>
      <c r="N9" s="26" t="e">
        <f ca="1">IF(A9="","",_xludf.TEXTJOIN("; ",TRUE,IF(SUMIFS($J:$J,$C:$C,C9,$B:$B,B9)&gt;Settings!$B$9,"Weekly ordinary hrs &gt;45",""),IF(SUMIFS(Claims!$H:$H,Claims!$C:$C,C9,Claims!$B:$B,B9)&gt;Settings!$B$10,"Weekly OT &gt;10",""),IF(AND(G9&lt;&gt;"Off",COUNTIFS($C:$C,C9,$A:$A,A9-1,$G:$G,"Night")&gt;0),"Rest &lt;12h after night shift",""),IF(J9&gt;5,"Meal interval required","")))</f>
        <v>#NAME?</v>
      </c>
      <c r="O9" s="25" t="s">
        <v>112</v>
      </c>
      <c r="P9" s="25"/>
    </row>
    <row r="10" spans="1:16" x14ac:dyDescent="0.35">
      <c r="A10" s="31">
        <f>IF(0+1&lt;=Settings!$B$7,Settings!$B$6+0,"")</f>
        <v>46143</v>
      </c>
      <c r="B10" s="31">
        <f t="shared" si="0"/>
        <v>46139</v>
      </c>
      <c r="C10" s="26" t="str">
        <f>IF(Employees!A10="","",Employees!A10)</f>
        <v>E007</v>
      </c>
      <c r="D10" s="26" t="str">
        <f>IF(C10="","",Employees!B10)</f>
        <v>Joe</v>
      </c>
      <c r="E10" s="26" t="str">
        <f>IF(C10="","",Employees!C10)</f>
        <v>C</v>
      </c>
      <c r="F10" s="26">
        <f>IF(A10="","",MOD(A10-Settings!$B$6,4)+1)</f>
        <v>1</v>
      </c>
      <c r="G10" s="26" t="str">
        <f>IF(C10="","",INDEX(Rotation_Pattern!$B$4:$E$7,F10,MATCH(E10,{"A","B","C","D"},0)))</f>
        <v>Evening</v>
      </c>
      <c r="H10" s="32">
        <f t="shared" si="1"/>
        <v>0.58333333333333337</v>
      </c>
      <c r="I10" s="32">
        <f>IF(OR(G10="Off",G10=""),"",H10+TIME(Settings!$B$8,0,0))</f>
        <v>0.91666666666666674</v>
      </c>
      <c r="J10" s="26">
        <f>IF(OR(G10="Off",G10=""),0,Settings!$B$8)</f>
        <v>8</v>
      </c>
      <c r="K10" s="25" t="s">
        <v>111</v>
      </c>
      <c r="L10" s="26" t="str">
        <f>IF(A10="","",IF(COUNTIF(Public_Holidays!$A$4:$A$80,A10)&gt;0,"Y","N"))</f>
        <v>Y</v>
      </c>
      <c r="M10" s="26" t="str">
        <f t="shared" si="2"/>
        <v>N</v>
      </c>
      <c r="N10" s="26" t="e">
        <f ca="1">IF(A10="","",_xludf.TEXTJOIN("; ",TRUE,IF(SUMIFS($J:$J,$C:$C,C10,$B:$B,B10)&gt;Settings!$B$9,"Weekly ordinary hrs &gt;45",""),IF(SUMIFS(Claims!$H:$H,Claims!$C:$C,C10,Claims!$B:$B,B10)&gt;Settings!$B$10,"Weekly OT &gt;10",""),IF(AND(G10&lt;&gt;"Off",COUNTIFS($C:$C,C10,$A:$A,A10-1,$G:$G,"Night")&gt;0),"Rest &lt;12h after night shift",""),IF(J10&gt;5,"Meal interval required","")))</f>
        <v>#NAME?</v>
      </c>
      <c r="O10" s="25" t="s">
        <v>112</v>
      </c>
      <c r="P10" s="25"/>
    </row>
    <row r="11" spans="1:16" x14ac:dyDescent="0.35">
      <c r="A11" s="31">
        <f>IF(0+1&lt;=Settings!$B$7,Settings!$B$6+0,"")</f>
        <v>46143</v>
      </c>
      <c r="B11" s="31">
        <f t="shared" si="0"/>
        <v>46139</v>
      </c>
      <c r="C11" s="26" t="str">
        <f>IF(Employees!A11="","",Employees!A11)</f>
        <v>E008</v>
      </c>
      <c r="D11" s="26" t="str">
        <f>IF(C11="","",Employees!B11)</f>
        <v>Tim</v>
      </c>
      <c r="E11" s="26" t="str">
        <f>IF(C11="","",Employees!C11)</f>
        <v>D</v>
      </c>
      <c r="F11" s="26">
        <f>IF(A11="","",MOD(A11-Settings!$B$6,4)+1)</f>
        <v>1</v>
      </c>
      <c r="G11" s="26" t="str">
        <f>IF(C11="","",INDEX(Rotation_Pattern!$B$4:$E$7,F11,MATCH(E11,{"A","B","C","D"},0)))</f>
        <v>Night</v>
      </c>
      <c r="H11" s="32">
        <f t="shared" si="1"/>
        <v>0.91666666666666663</v>
      </c>
      <c r="I11" s="32">
        <f>IF(OR(G11="Off",G11=""),"",H11+TIME(Settings!$B$8,0,0))</f>
        <v>1.25</v>
      </c>
      <c r="J11" s="26">
        <f>IF(OR(G11="Off",G11=""),0,Settings!$B$8)</f>
        <v>8</v>
      </c>
      <c r="K11" s="25" t="s">
        <v>111</v>
      </c>
      <c r="L11" s="26" t="str">
        <f>IF(A11="","",IF(COUNTIF(Public_Holidays!$A$4:$A$80,A11)&gt;0,"Y","N"))</f>
        <v>Y</v>
      </c>
      <c r="M11" s="26" t="str">
        <f t="shared" si="2"/>
        <v>N</v>
      </c>
      <c r="N11" s="26" t="e">
        <f ca="1">IF(A11="","",_xludf.TEXTJOIN("; ",TRUE,IF(SUMIFS($J:$J,$C:$C,C11,$B:$B,B11)&gt;Settings!$B$9,"Weekly ordinary hrs &gt;45",""),IF(SUMIFS(Claims!$H:$H,Claims!$C:$C,C11,Claims!$B:$B,B11)&gt;Settings!$B$10,"Weekly OT &gt;10",""),IF(AND(G11&lt;&gt;"Off",COUNTIFS($C:$C,C11,$A:$A,A11-1,$G:$G,"Night")&gt;0),"Rest &lt;12h after night shift",""),IF(J11&gt;5,"Meal interval required","")))</f>
        <v>#NAME?</v>
      </c>
      <c r="O11" s="25" t="s">
        <v>112</v>
      </c>
      <c r="P11" s="25"/>
    </row>
    <row r="12" spans="1:16" x14ac:dyDescent="0.35">
      <c r="A12" s="31">
        <f>IF(0+1&lt;=Settings!$B$7,Settings!$B$6+0,"")</f>
        <v>46143</v>
      </c>
      <c r="B12" s="31">
        <f t="shared" si="0"/>
        <v>46139</v>
      </c>
      <c r="C12" s="26" t="str">
        <f>IF(Employees!A12="","",Employees!A12)</f>
        <v>E009</v>
      </c>
      <c r="D12" s="26" t="str">
        <f>IF(C12="","",Employees!B12)</f>
        <v>Frank</v>
      </c>
      <c r="E12" s="26" t="str">
        <f>IF(C12="","",Employees!C12)</f>
        <v>A</v>
      </c>
      <c r="F12" s="26">
        <f>IF(A12="","",MOD(A12-Settings!$B$6,4)+1)</f>
        <v>1</v>
      </c>
      <c r="G12" s="26" t="str">
        <f>IF(C12="","",INDEX(Rotation_Pattern!$B$4:$E$7,F12,MATCH(E12,{"A","B","C","D"},0)))</f>
        <v>Day</v>
      </c>
      <c r="H12" s="32">
        <f t="shared" si="1"/>
        <v>0.25</v>
      </c>
      <c r="I12" s="32">
        <f>IF(OR(G12="Off",G12=""),"",H12+TIME(Settings!$B$8,0,0))</f>
        <v>0.58333333333333326</v>
      </c>
      <c r="J12" s="26">
        <f>IF(OR(G12="Off",G12=""),0,Settings!$B$8)</f>
        <v>8</v>
      </c>
      <c r="K12" s="25" t="s">
        <v>111</v>
      </c>
      <c r="L12" s="26" t="str">
        <f>IF(A12="","",IF(COUNTIF(Public_Holidays!$A$4:$A$80,A12)&gt;0,"Y","N"))</f>
        <v>Y</v>
      </c>
      <c r="M12" s="26" t="str">
        <f t="shared" si="2"/>
        <v>N</v>
      </c>
      <c r="N12" s="26" t="e">
        <f ca="1">IF(A12="","",_xludf.TEXTJOIN("; ",TRUE,IF(SUMIFS($J:$J,$C:$C,C12,$B:$B,B12)&gt;Settings!$B$9,"Weekly ordinary hrs &gt;45",""),IF(SUMIFS(Claims!$H:$H,Claims!$C:$C,C12,Claims!$B:$B,B12)&gt;Settings!$B$10,"Weekly OT &gt;10",""),IF(AND(G12&lt;&gt;"Off",COUNTIFS($C:$C,C12,$A:$A,A12-1,$G:$G,"Night")&gt;0),"Rest &lt;12h after night shift",""),IF(J12&gt;5,"Meal interval required","")))</f>
        <v>#NAME?</v>
      </c>
      <c r="O12" s="25" t="s">
        <v>112</v>
      </c>
      <c r="P12" s="25"/>
    </row>
    <row r="13" spans="1:16" x14ac:dyDescent="0.35">
      <c r="A13" s="31">
        <f>IF(0+1&lt;=Settings!$B$7,Settings!$B$6+0,"")</f>
        <v>46143</v>
      </c>
      <c r="B13" s="31">
        <f t="shared" si="0"/>
        <v>46139</v>
      </c>
      <c r="C13" s="26" t="str">
        <f>IF(Employees!A13="","",Employees!A13)</f>
        <v/>
      </c>
      <c r="D13" s="26" t="str">
        <f>IF(C13="","",Employees!B13)</f>
        <v/>
      </c>
      <c r="E13" s="26" t="str">
        <f>IF(C13="","",Employees!C13)</f>
        <v/>
      </c>
      <c r="F13" s="26">
        <f>IF(A13="","",MOD(A13-Settings!$B$6,4)+1)</f>
        <v>1</v>
      </c>
      <c r="G13" s="26" t="str">
        <f>IF(C13="","",INDEX(Rotation_Pattern!$B$4:$E$7,F13,MATCH(E13,{"A","B","C","D"},0)))</f>
        <v/>
      </c>
      <c r="H13" s="32" t="str">
        <f t="shared" si="1"/>
        <v/>
      </c>
      <c r="I13" s="32" t="str">
        <f>IF(OR(G13="Off",G13=""),"",H13+TIME(Settings!$B$8,0,0))</f>
        <v/>
      </c>
      <c r="J13" s="26">
        <f>IF(OR(G13="Off",G13=""),0,Settings!$B$8)</f>
        <v>0</v>
      </c>
      <c r="K13" s="25" t="s">
        <v>111</v>
      </c>
      <c r="L13" s="26" t="str">
        <f>IF(A13="","",IF(COUNTIF(Public_Holidays!$A$4:$A$80,A13)&gt;0,"Y","N"))</f>
        <v>Y</v>
      </c>
      <c r="M13" s="26" t="str">
        <f t="shared" si="2"/>
        <v>N</v>
      </c>
      <c r="N13" s="26" t="e">
        <f ca="1">IF(A13="","",_xludf.TEXTJOIN("; ",TRUE,IF(SUMIFS($J:$J,$C:$C,C13,$B:$B,B13)&gt;Settings!$B$9,"Weekly ordinary hrs &gt;45",""),IF(SUMIFS(Claims!$H:$H,Claims!$C:$C,C13,Claims!$B:$B,B13)&gt;Settings!$B$10,"Weekly OT &gt;10",""),IF(AND(G13&lt;&gt;"Off",COUNTIFS($C:$C,C13,$A:$A,A13-1,$G:$G,"Night")&gt;0),"Rest &lt;12h after night shift",""),IF(J13&gt;5,"Meal interval required","")))</f>
        <v>#NAME?</v>
      </c>
      <c r="O13" s="25" t="s">
        <v>112</v>
      </c>
      <c r="P13" s="25"/>
    </row>
    <row r="14" spans="1:16" x14ac:dyDescent="0.35">
      <c r="A14" s="31">
        <f>IF(0+1&lt;=Settings!$B$7,Settings!$B$6+0,"")</f>
        <v>46143</v>
      </c>
      <c r="B14" s="31">
        <f t="shared" si="0"/>
        <v>46139</v>
      </c>
      <c r="C14" s="26" t="str">
        <f>IF(Employees!A14="","",Employees!A14)</f>
        <v/>
      </c>
      <c r="D14" s="26" t="str">
        <f>IF(C14="","",Employees!B14)</f>
        <v/>
      </c>
      <c r="E14" s="26" t="str">
        <f>IF(C14="","",Employees!C14)</f>
        <v/>
      </c>
      <c r="F14" s="26">
        <f>IF(A14="","",MOD(A14-Settings!$B$6,4)+1)</f>
        <v>1</v>
      </c>
      <c r="G14" s="26" t="str">
        <f>IF(C14="","",INDEX(Rotation_Pattern!$B$4:$E$7,F14,MATCH(E14,{"A","B","C","D"},0)))</f>
        <v/>
      </c>
      <c r="H14" s="32" t="str">
        <f t="shared" si="1"/>
        <v/>
      </c>
      <c r="I14" s="32" t="str">
        <f>IF(OR(G14="Off",G14=""),"",H14+TIME(Settings!$B$8,0,0))</f>
        <v/>
      </c>
      <c r="J14" s="26">
        <f>IF(OR(G14="Off",G14=""),0,Settings!$B$8)</f>
        <v>0</v>
      </c>
      <c r="K14" s="25" t="s">
        <v>111</v>
      </c>
      <c r="L14" s="26" t="str">
        <f>IF(A14="","",IF(COUNTIF(Public_Holidays!$A$4:$A$80,A14)&gt;0,"Y","N"))</f>
        <v>Y</v>
      </c>
      <c r="M14" s="26" t="str">
        <f t="shared" si="2"/>
        <v>N</v>
      </c>
      <c r="N14" s="26" t="e">
        <f ca="1">IF(A14="","",_xludf.TEXTJOIN("; ",TRUE,IF(SUMIFS($J:$J,$C:$C,C14,$B:$B,B14)&gt;Settings!$B$9,"Weekly ordinary hrs &gt;45",""),IF(SUMIFS(Claims!$H:$H,Claims!$C:$C,C14,Claims!$B:$B,B14)&gt;Settings!$B$10,"Weekly OT &gt;10",""),IF(AND(G14&lt;&gt;"Off",COUNTIFS($C:$C,C14,$A:$A,A14-1,$G:$G,"Night")&gt;0),"Rest &lt;12h after night shift",""),IF(J14&gt;5,"Meal interval required","")))</f>
        <v>#NAME?</v>
      </c>
      <c r="O14" s="25" t="s">
        <v>112</v>
      </c>
      <c r="P14" s="25"/>
    </row>
    <row r="15" spans="1:16" x14ac:dyDescent="0.35">
      <c r="A15" s="31">
        <f>IF(0+1&lt;=Settings!$B$7,Settings!$B$6+0,"")</f>
        <v>46143</v>
      </c>
      <c r="B15" s="31">
        <f t="shared" si="0"/>
        <v>46139</v>
      </c>
      <c r="C15" s="26" t="str">
        <f>IF(Employees!A15="","",Employees!A15)</f>
        <v/>
      </c>
      <c r="D15" s="26" t="str">
        <f>IF(C15="","",Employees!B15)</f>
        <v/>
      </c>
      <c r="E15" s="26" t="str">
        <f>IF(C15="","",Employees!C15)</f>
        <v/>
      </c>
      <c r="F15" s="26">
        <f>IF(A15="","",MOD(A15-Settings!$B$6,4)+1)</f>
        <v>1</v>
      </c>
      <c r="G15" s="26" t="str">
        <f>IF(C15="","",INDEX(Rotation_Pattern!$B$4:$E$7,F15,MATCH(E15,{"A","B","C","D"},0)))</f>
        <v/>
      </c>
      <c r="H15" s="32" t="str">
        <f t="shared" si="1"/>
        <v/>
      </c>
      <c r="I15" s="32" t="str">
        <f>IF(OR(G15="Off",G15=""),"",H15+TIME(Settings!$B$8,0,0))</f>
        <v/>
      </c>
      <c r="J15" s="26">
        <f>IF(OR(G15="Off",G15=""),0,Settings!$B$8)</f>
        <v>0</v>
      </c>
      <c r="K15" s="25" t="s">
        <v>111</v>
      </c>
      <c r="L15" s="26" t="str">
        <f>IF(A15="","",IF(COUNTIF(Public_Holidays!$A$4:$A$80,A15)&gt;0,"Y","N"))</f>
        <v>Y</v>
      </c>
      <c r="M15" s="26" t="str">
        <f t="shared" si="2"/>
        <v>N</v>
      </c>
      <c r="N15" s="26" t="e">
        <f ca="1">IF(A15="","",_xludf.TEXTJOIN("; ",TRUE,IF(SUMIFS($J:$J,$C:$C,C15,$B:$B,B15)&gt;Settings!$B$9,"Weekly ordinary hrs &gt;45",""),IF(SUMIFS(Claims!$H:$H,Claims!$C:$C,C15,Claims!$B:$B,B15)&gt;Settings!$B$10,"Weekly OT &gt;10",""),IF(AND(G15&lt;&gt;"Off",COUNTIFS($C:$C,C15,$A:$A,A15-1,$G:$G,"Night")&gt;0),"Rest &lt;12h after night shift",""),IF(J15&gt;5,"Meal interval required","")))</f>
        <v>#NAME?</v>
      </c>
      <c r="O15" s="25" t="s">
        <v>112</v>
      </c>
      <c r="P15" s="25"/>
    </row>
    <row r="16" spans="1:16" x14ac:dyDescent="0.35">
      <c r="A16" s="31">
        <f>IF(0+1&lt;=Settings!$B$7,Settings!$B$6+0,"")</f>
        <v>46143</v>
      </c>
      <c r="B16" s="31">
        <f t="shared" si="0"/>
        <v>46139</v>
      </c>
      <c r="C16" s="26" t="str">
        <f>IF(Employees!A16="","",Employees!A16)</f>
        <v/>
      </c>
      <c r="D16" s="26" t="str">
        <f>IF(C16="","",Employees!B16)</f>
        <v/>
      </c>
      <c r="E16" s="26" t="str">
        <f>IF(C16="","",Employees!C16)</f>
        <v/>
      </c>
      <c r="F16" s="26">
        <f>IF(A16="","",MOD(A16-Settings!$B$6,4)+1)</f>
        <v>1</v>
      </c>
      <c r="G16" s="26" t="str">
        <f>IF(C16="","",INDEX(Rotation_Pattern!$B$4:$E$7,F16,MATCH(E16,{"A","B","C","D"},0)))</f>
        <v/>
      </c>
      <c r="H16" s="32" t="str">
        <f t="shared" si="1"/>
        <v/>
      </c>
      <c r="I16" s="32" t="str">
        <f>IF(OR(G16="Off",G16=""),"",H16+TIME(Settings!$B$8,0,0))</f>
        <v/>
      </c>
      <c r="J16" s="26">
        <f>IF(OR(G16="Off",G16=""),0,Settings!$B$8)</f>
        <v>0</v>
      </c>
      <c r="K16" s="25" t="s">
        <v>111</v>
      </c>
      <c r="L16" s="26" t="str">
        <f>IF(A16="","",IF(COUNTIF(Public_Holidays!$A$4:$A$80,A16)&gt;0,"Y","N"))</f>
        <v>Y</v>
      </c>
      <c r="M16" s="26" t="str">
        <f t="shared" si="2"/>
        <v>N</v>
      </c>
      <c r="N16" s="26" t="e">
        <f ca="1">IF(A16="","",_xludf.TEXTJOIN("; ",TRUE,IF(SUMIFS($J:$J,$C:$C,C16,$B:$B,B16)&gt;Settings!$B$9,"Weekly ordinary hrs &gt;45",""),IF(SUMIFS(Claims!$H:$H,Claims!$C:$C,C16,Claims!$B:$B,B16)&gt;Settings!$B$10,"Weekly OT &gt;10",""),IF(AND(G16&lt;&gt;"Off",COUNTIFS($C:$C,C16,$A:$A,A16-1,$G:$G,"Night")&gt;0),"Rest &lt;12h after night shift",""),IF(J16&gt;5,"Meal interval required","")))</f>
        <v>#NAME?</v>
      </c>
      <c r="O16" s="25" t="s">
        <v>112</v>
      </c>
      <c r="P16" s="25"/>
    </row>
    <row r="17" spans="1:16" x14ac:dyDescent="0.35">
      <c r="A17" s="31">
        <f>IF(0+1&lt;=Settings!$B$7,Settings!$B$6+0,"")</f>
        <v>46143</v>
      </c>
      <c r="B17" s="31">
        <f t="shared" si="0"/>
        <v>46139</v>
      </c>
      <c r="C17" s="26" t="str">
        <f>IF(Employees!A17="","",Employees!A17)</f>
        <v/>
      </c>
      <c r="D17" s="26" t="str">
        <f>IF(C17="","",Employees!B17)</f>
        <v/>
      </c>
      <c r="E17" s="26" t="str">
        <f>IF(C17="","",Employees!C17)</f>
        <v/>
      </c>
      <c r="F17" s="26">
        <f>IF(A17="","",MOD(A17-Settings!$B$6,4)+1)</f>
        <v>1</v>
      </c>
      <c r="G17" s="26" t="str">
        <f>IF(C17="","",INDEX(Rotation_Pattern!$B$4:$E$7,F17,MATCH(E17,{"A","B","C","D"},0)))</f>
        <v/>
      </c>
      <c r="H17" s="32" t="str">
        <f t="shared" si="1"/>
        <v/>
      </c>
      <c r="I17" s="32" t="str">
        <f>IF(OR(G17="Off",G17=""),"",H17+TIME(Settings!$B$8,0,0))</f>
        <v/>
      </c>
      <c r="J17" s="26">
        <f>IF(OR(G17="Off",G17=""),0,Settings!$B$8)</f>
        <v>0</v>
      </c>
      <c r="K17" s="25" t="s">
        <v>111</v>
      </c>
      <c r="L17" s="26" t="str">
        <f>IF(A17="","",IF(COUNTIF(Public_Holidays!$A$4:$A$80,A17)&gt;0,"Y","N"))</f>
        <v>Y</v>
      </c>
      <c r="M17" s="26" t="str">
        <f t="shared" si="2"/>
        <v>N</v>
      </c>
      <c r="N17" s="26" t="e">
        <f ca="1">IF(A17="","",_xludf.TEXTJOIN("; ",TRUE,IF(SUMIFS($J:$J,$C:$C,C17,$B:$B,B17)&gt;Settings!$B$9,"Weekly ordinary hrs &gt;45",""),IF(SUMIFS(Claims!$H:$H,Claims!$C:$C,C17,Claims!$B:$B,B17)&gt;Settings!$B$10,"Weekly OT &gt;10",""),IF(AND(G17&lt;&gt;"Off",COUNTIFS($C:$C,C17,$A:$A,A17-1,$G:$G,"Night")&gt;0),"Rest &lt;12h after night shift",""),IF(J17&gt;5,"Meal interval required","")))</f>
        <v>#NAME?</v>
      </c>
      <c r="O17" s="25" t="s">
        <v>112</v>
      </c>
      <c r="P17" s="25"/>
    </row>
    <row r="18" spans="1:16" x14ac:dyDescent="0.35">
      <c r="A18" s="31">
        <f>IF(0+1&lt;=Settings!$B$7,Settings!$B$6+0,"")</f>
        <v>46143</v>
      </c>
      <c r="B18" s="31">
        <f t="shared" si="0"/>
        <v>46139</v>
      </c>
      <c r="C18" s="26" t="str">
        <f>IF(Employees!A18="","",Employees!A18)</f>
        <v/>
      </c>
      <c r="D18" s="26" t="str">
        <f>IF(C18="","",Employees!B18)</f>
        <v/>
      </c>
      <c r="E18" s="26" t="str">
        <f>IF(C18="","",Employees!C18)</f>
        <v/>
      </c>
      <c r="F18" s="26">
        <f>IF(A18="","",MOD(A18-Settings!$B$6,4)+1)</f>
        <v>1</v>
      </c>
      <c r="G18" s="26" t="str">
        <f>IF(C18="","",INDEX(Rotation_Pattern!$B$4:$E$7,F18,MATCH(E18,{"A","B","C","D"},0)))</f>
        <v/>
      </c>
      <c r="H18" s="32" t="str">
        <f t="shared" si="1"/>
        <v/>
      </c>
      <c r="I18" s="32" t="str">
        <f>IF(OR(G18="Off",G18=""),"",H18+TIME(Settings!$B$8,0,0))</f>
        <v/>
      </c>
      <c r="J18" s="26">
        <f>IF(OR(G18="Off",G18=""),0,Settings!$B$8)</f>
        <v>0</v>
      </c>
      <c r="K18" s="25" t="s">
        <v>111</v>
      </c>
      <c r="L18" s="26" t="str">
        <f>IF(A18="","",IF(COUNTIF(Public_Holidays!$A$4:$A$80,A18)&gt;0,"Y","N"))</f>
        <v>Y</v>
      </c>
      <c r="M18" s="26" t="str">
        <f t="shared" si="2"/>
        <v>N</v>
      </c>
      <c r="N18" s="26" t="e">
        <f ca="1">IF(A18="","",_xludf.TEXTJOIN("; ",TRUE,IF(SUMIFS($J:$J,$C:$C,C18,$B:$B,B18)&gt;Settings!$B$9,"Weekly ordinary hrs &gt;45",""),IF(SUMIFS(Claims!$H:$H,Claims!$C:$C,C18,Claims!$B:$B,B18)&gt;Settings!$B$10,"Weekly OT &gt;10",""),IF(AND(G18&lt;&gt;"Off",COUNTIFS($C:$C,C18,$A:$A,A18-1,$G:$G,"Night")&gt;0),"Rest &lt;12h after night shift",""),IF(J18&gt;5,"Meal interval required","")))</f>
        <v>#NAME?</v>
      </c>
      <c r="O18" s="25" t="s">
        <v>112</v>
      </c>
      <c r="P18" s="25"/>
    </row>
    <row r="19" spans="1:16" x14ac:dyDescent="0.35">
      <c r="A19" s="31">
        <f>IF(0+1&lt;=Settings!$B$7,Settings!$B$6+0,"")</f>
        <v>46143</v>
      </c>
      <c r="B19" s="31">
        <f t="shared" si="0"/>
        <v>46139</v>
      </c>
      <c r="C19" s="26" t="str">
        <f>IF(Employees!A19="","",Employees!A19)</f>
        <v/>
      </c>
      <c r="D19" s="26" t="str">
        <f>IF(C19="","",Employees!B19)</f>
        <v/>
      </c>
      <c r="E19" s="26" t="str">
        <f>IF(C19="","",Employees!C19)</f>
        <v/>
      </c>
      <c r="F19" s="26">
        <f>IF(A19="","",MOD(A19-Settings!$B$6,4)+1)</f>
        <v>1</v>
      </c>
      <c r="G19" s="26" t="str">
        <f>IF(C19="","",INDEX(Rotation_Pattern!$B$4:$E$7,F19,MATCH(E19,{"A","B","C","D"},0)))</f>
        <v/>
      </c>
      <c r="H19" s="32" t="str">
        <f t="shared" si="1"/>
        <v/>
      </c>
      <c r="I19" s="32" t="str">
        <f>IF(OR(G19="Off",G19=""),"",H19+TIME(Settings!$B$8,0,0))</f>
        <v/>
      </c>
      <c r="J19" s="26">
        <f>IF(OR(G19="Off",G19=""),0,Settings!$B$8)</f>
        <v>0</v>
      </c>
      <c r="K19" s="25" t="s">
        <v>111</v>
      </c>
      <c r="L19" s="26" t="str">
        <f>IF(A19="","",IF(COUNTIF(Public_Holidays!$A$4:$A$80,A19)&gt;0,"Y","N"))</f>
        <v>Y</v>
      </c>
      <c r="M19" s="26" t="str">
        <f t="shared" si="2"/>
        <v>N</v>
      </c>
      <c r="N19" s="26" t="e">
        <f ca="1">IF(A19="","",_xludf.TEXTJOIN("; ",TRUE,IF(SUMIFS($J:$J,$C:$C,C19,$B:$B,B19)&gt;Settings!$B$9,"Weekly ordinary hrs &gt;45",""),IF(SUMIFS(Claims!$H:$H,Claims!$C:$C,C19,Claims!$B:$B,B19)&gt;Settings!$B$10,"Weekly OT &gt;10",""),IF(AND(G19&lt;&gt;"Off",COUNTIFS($C:$C,C19,$A:$A,A19-1,$G:$G,"Night")&gt;0),"Rest &lt;12h after night shift",""),IF(J19&gt;5,"Meal interval required","")))</f>
        <v>#NAME?</v>
      </c>
      <c r="O19" s="25" t="s">
        <v>112</v>
      </c>
      <c r="P19" s="25"/>
    </row>
    <row r="20" spans="1:16" x14ac:dyDescent="0.35">
      <c r="A20" s="31">
        <f>IF(0+1&lt;=Settings!$B$7,Settings!$B$6+0,"")</f>
        <v>46143</v>
      </c>
      <c r="B20" s="31">
        <f t="shared" si="0"/>
        <v>46139</v>
      </c>
      <c r="C20" s="26" t="str">
        <f>IF(Employees!A20="","",Employees!A20)</f>
        <v/>
      </c>
      <c r="D20" s="26" t="str">
        <f>IF(C20="","",Employees!B20)</f>
        <v/>
      </c>
      <c r="E20" s="26" t="str">
        <f>IF(C20="","",Employees!C20)</f>
        <v/>
      </c>
      <c r="F20" s="26">
        <f>IF(A20="","",MOD(A20-Settings!$B$6,4)+1)</f>
        <v>1</v>
      </c>
      <c r="G20" s="26" t="str">
        <f>IF(C20="","",INDEX(Rotation_Pattern!$B$4:$E$7,F20,MATCH(E20,{"A","B","C","D"},0)))</f>
        <v/>
      </c>
      <c r="H20" s="32" t="str">
        <f t="shared" si="1"/>
        <v/>
      </c>
      <c r="I20" s="32" t="str">
        <f>IF(OR(G20="Off",G20=""),"",H20+TIME(Settings!$B$8,0,0))</f>
        <v/>
      </c>
      <c r="J20" s="26">
        <f>IF(OR(G20="Off",G20=""),0,Settings!$B$8)</f>
        <v>0</v>
      </c>
      <c r="K20" s="25" t="s">
        <v>111</v>
      </c>
      <c r="L20" s="26" t="str">
        <f>IF(A20="","",IF(COUNTIF(Public_Holidays!$A$4:$A$80,A20)&gt;0,"Y","N"))</f>
        <v>Y</v>
      </c>
      <c r="M20" s="26" t="str">
        <f t="shared" si="2"/>
        <v>N</v>
      </c>
      <c r="N20" s="26" t="e">
        <f ca="1">IF(A20="","",_xludf.TEXTJOIN("; ",TRUE,IF(SUMIFS($J:$J,$C:$C,C20,$B:$B,B20)&gt;Settings!$B$9,"Weekly ordinary hrs &gt;45",""),IF(SUMIFS(Claims!$H:$H,Claims!$C:$C,C20,Claims!$B:$B,B20)&gt;Settings!$B$10,"Weekly OT &gt;10",""),IF(AND(G20&lt;&gt;"Off",COUNTIFS($C:$C,C20,$A:$A,A20-1,$G:$G,"Night")&gt;0),"Rest &lt;12h after night shift",""),IF(J20&gt;5,"Meal interval required","")))</f>
        <v>#NAME?</v>
      </c>
      <c r="O20" s="25" t="s">
        <v>112</v>
      </c>
      <c r="P20" s="25"/>
    </row>
    <row r="21" spans="1:16" x14ac:dyDescent="0.35">
      <c r="A21" s="31">
        <f>IF(0+1&lt;=Settings!$B$7,Settings!$B$6+0,"")</f>
        <v>46143</v>
      </c>
      <c r="B21" s="31">
        <f t="shared" si="0"/>
        <v>46139</v>
      </c>
      <c r="C21" s="26" t="str">
        <f>IF(Employees!A21="","",Employees!A21)</f>
        <v/>
      </c>
      <c r="D21" s="26" t="str">
        <f>IF(C21="","",Employees!B21)</f>
        <v/>
      </c>
      <c r="E21" s="26" t="str">
        <f>IF(C21="","",Employees!C21)</f>
        <v/>
      </c>
      <c r="F21" s="26">
        <f>IF(A21="","",MOD(A21-Settings!$B$6,4)+1)</f>
        <v>1</v>
      </c>
      <c r="G21" s="26" t="str">
        <f>IF(C21="","",INDEX(Rotation_Pattern!$B$4:$E$7,F21,MATCH(E21,{"A","B","C","D"},0)))</f>
        <v/>
      </c>
      <c r="H21" s="32" t="str">
        <f t="shared" si="1"/>
        <v/>
      </c>
      <c r="I21" s="32" t="str">
        <f>IF(OR(G21="Off",G21=""),"",H21+TIME(Settings!$B$8,0,0))</f>
        <v/>
      </c>
      <c r="J21" s="26">
        <f>IF(OR(G21="Off",G21=""),0,Settings!$B$8)</f>
        <v>0</v>
      </c>
      <c r="K21" s="25" t="s">
        <v>111</v>
      </c>
      <c r="L21" s="26" t="str">
        <f>IF(A21="","",IF(COUNTIF(Public_Holidays!$A$4:$A$80,A21)&gt;0,"Y","N"))</f>
        <v>Y</v>
      </c>
      <c r="M21" s="26" t="str">
        <f t="shared" si="2"/>
        <v>N</v>
      </c>
      <c r="N21" s="26" t="e">
        <f ca="1">IF(A21="","",_xludf.TEXTJOIN("; ",TRUE,IF(SUMIFS($J:$J,$C:$C,C21,$B:$B,B21)&gt;Settings!$B$9,"Weekly ordinary hrs &gt;45",""),IF(SUMIFS(Claims!$H:$H,Claims!$C:$C,C21,Claims!$B:$B,B21)&gt;Settings!$B$10,"Weekly OT &gt;10",""),IF(AND(G21&lt;&gt;"Off",COUNTIFS($C:$C,C21,$A:$A,A21-1,$G:$G,"Night")&gt;0),"Rest &lt;12h after night shift",""),IF(J21&gt;5,"Meal interval required","")))</f>
        <v>#NAME?</v>
      </c>
      <c r="O21" s="25" t="s">
        <v>112</v>
      </c>
      <c r="P21" s="25"/>
    </row>
    <row r="22" spans="1:16" x14ac:dyDescent="0.35">
      <c r="A22" s="31">
        <f>IF(0+1&lt;=Settings!$B$7,Settings!$B$6+0,"")</f>
        <v>46143</v>
      </c>
      <c r="B22" s="31">
        <f t="shared" si="0"/>
        <v>46139</v>
      </c>
      <c r="C22" s="26" t="str">
        <f>IF(Employees!A22="","",Employees!A22)</f>
        <v/>
      </c>
      <c r="D22" s="26" t="str">
        <f>IF(C22="","",Employees!B22)</f>
        <v/>
      </c>
      <c r="E22" s="26" t="str">
        <f>IF(C22="","",Employees!C22)</f>
        <v/>
      </c>
      <c r="F22" s="26">
        <f>IF(A22="","",MOD(A22-Settings!$B$6,4)+1)</f>
        <v>1</v>
      </c>
      <c r="G22" s="26" t="str">
        <f>IF(C22="","",INDEX(Rotation_Pattern!$B$4:$E$7,F22,MATCH(E22,{"A","B","C","D"},0)))</f>
        <v/>
      </c>
      <c r="H22" s="32" t="str">
        <f t="shared" si="1"/>
        <v/>
      </c>
      <c r="I22" s="32" t="str">
        <f>IF(OR(G22="Off",G22=""),"",H22+TIME(Settings!$B$8,0,0))</f>
        <v/>
      </c>
      <c r="J22" s="26">
        <f>IF(OR(G22="Off",G22=""),0,Settings!$B$8)</f>
        <v>0</v>
      </c>
      <c r="K22" s="25" t="s">
        <v>111</v>
      </c>
      <c r="L22" s="26" t="str">
        <f>IF(A22="","",IF(COUNTIF(Public_Holidays!$A$4:$A$80,A22)&gt;0,"Y","N"))</f>
        <v>Y</v>
      </c>
      <c r="M22" s="26" t="str">
        <f t="shared" si="2"/>
        <v>N</v>
      </c>
      <c r="N22" s="26" t="e">
        <f ca="1">IF(A22="","",_xludf.TEXTJOIN("; ",TRUE,IF(SUMIFS($J:$J,$C:$C,C22,$B:$B,B22)&gt;Settings!$B$9,"Weekly ordinary hrs &gt;45",""),IF(SUMIFS(Claims!$H:$H,Claims!$C:$C,C22,Claims!$B:$B,B22)&gt;Settings!$B$10,"Weekly OT &gt;10",""),IF(AND(G22&lt;&gt;"Off",COUNTIFS($C:$C,C22,$A:$A,A22-1,$G:$G,"Night")&gt;0),"Rest &lt;12h after night shift",""),IF(J22&gt;5,"Meal interval required","")))</f>
        <v>#NAME?</v>
      </c>
      <c r="O22" s="25" t="s">
        <v>112</v>
      </c>
      <c r="P22" s="25"/>
    </row>
    <row r="23" spans="1:16" x14ac:dyDescent="0.35">
      <c r="A23" s="31">
        <f>IF(0+1&lt;=Settings!$B$7,Settings!$B$6+0,"")</f>
        <v>46143</v>
      </c>
      <c r="B23" s="31">
        <f t="shared" si="0"/>
        <v>46139</v>
      </c>
      <c r="C23" s="26" t="str">
        <f>IF(Employees!A23="","",Employees!A23)</f>
        <v/>
      </c>
      <c r="D23" s="26" t="str">
        <f>IF(C23="","",Employees!B23)</f>
        <v/>
      </c>
      <c r="E23" s="26" t="str">
        <f>IF(C23="","",Employees!C23)</f>
        <v/>
      </c>
      <c r="F23" s="26">
        <f>IF(A23="","",MOD(A23-Settings!$B$6,4)+1)</f>
        <v>1</v>
      </c>
      <c r="G23" s="26" t="str">
        <f>IF(C23="","",INDEX(Rotation_Pattern!$B$4:$E$7,F23,MATCH(E23,{"A","B","C","D"},0)))</f>
        <v/>
      </c>
      <c r="H23" s="32" t="str">
        <f t="shared" si="1"/>
        <v/>
      </c>
      <c r="I23" s="32" t="str">
        <f>IF(OR(G23="Off",G23=""),"",H23+TIME(Settings!$B$8,0,0))</f>
        <v/>
      </c>
      <c r="J23" s="26">
        <f>IF(OR(G23="Off",G23=""),0,Settings!$B$8)</f>
        <v>0</v>
      </c>
      <c r="K23" s="25" t="s">
        <v>111</v>
      </c>
      <c r="L23" s="26" t="str">
        <f>IF(A23="","",IF(COUNTIF(Public_Holidays!$A$4:$A$80,A23)&gt;0,"Y","N"))</f>
        <v>Y</v>
      </c>
      <c r="M23" s="26" t="str">
        <f t="shared" si="2"/>
        <v>N</v>
      </c>
      <c r="N23" s="26" t="e">
        <f ca="1">IF(A23="","",_xludf.TEXTJOIN("; ",TRUE,IF(SUMIFS($J:$J,$C:$C,C23,$B:$B,B23)&gt;Settings!$B$9,"Weekly ordinary hrs &gt;45",""),IF(SUMIFS(Claims!$H:$H,Claims!$C:$C,C23,Claims!$B:$B,B23)&gt;Settings!$B$10,"Weekly OT &gt;10",""),IF(AND(G23&lt;&gt;"Off",COUNTIFS($C:$C,C23,$A:$A,A23-1,$G:$G,"Night")&gt;0),"Rest &lt;12h after night shift",""),IF(J23&gt;5,"Meal interval required","")))</f>
        <v>#NAME?</v>
      </c>
      <c r="O23" s="25" t="s">
        <v>112</v>
      </c>
      <c r="P23" s="25"/>
    </row>
    <row r="24" spans="1:16" x14ac:dyDescent="0.35">
      <c r="A24" s="31">
        <f>IF(1+1&lt;=Settings!$B$7,Settings!$B$6+1,"")</f>
        <v>46144</v>
      </c>
      <c r="B24" s="31">
        <f t="shared" si="0"/>
        <v>46139</v>
      </c>
      <c r="C24" s="26" t="str">
        <f>IF(Employees!A4="","",Employees!A4)</f>
        <v>E001</v>
      </c>
      <c r="D24" s="26" t="str">
        <f>IF(C24="","",Employees!B4)</f>
        <v>Musiwa Khavalani</v>
      </c>
      <c r="E24" s="26">
        <f>IF(C24="","",Employees!C4)</f>
        <v>0</v>
      </c>
      <c r="F24" s="26">
        <f>IF(A24="","",MOD(A24-Settings!$B$6,4)+1)</f>
        <v>2</v>
      </c>
      <c r="G24" s="26" t="e">
        <f>IF(C24="","",INDEX(Rotation_Pattern!$B$4:$E$7,F24,MATCH(E24,{"A","B","C","D"},0)))</f>
        <v>#N/A</v>
      </c>
      <c r="H24" s="32" t="e">
        <f t="shared" si="1"/>
        <v>#N/A</v>
      </c>
      <c r="I24" s="32" t="e">
        <f>IF(OR(G24="Off",G24=""),"",H24+TIME(Settings!$B$8,0,0))</f>
        <v>#N/A</v>
      </c>
      <c r="J24" s="26" t="e">
        <f>IF(OR(G24="Off",G24=""),0,Settings!$B$8)</f>
        <v>#N/A</v>
      </c>
      <c r="K24" s="25" t="s">
        <v>111</v>
      </c>
      <c r="L24" s="26" t="str">
        <f>IF(A24="","",IF(COUNTIF(Public_Holidays!$A$4:$A$80,A24)&gt;0,"Y","N"))</f>
        <v>N</v>
      </c>
      <c r="M24" s="26" t="str">
        <f t="shared" si="2"/>
        <v>N</v>
      </c>
      <c r="N24" s="26" t="e">
        <f ca="1">IF(A24="","",_xludf.TEXTJOIN("; ",TRUE,IF(SUMIFS($J:$J,$C:$C,C24,$B:$B,B24)&gt;Settings!$B$9,"Weekly ordinary hrs &gt;45",""),IF(SUMIFS(Claims!$H:$H,Claims!$C:$C,C24,Claims!$B:$B,B24)&gt;Settings!$B$10,"Weekly OT &gt;10",""),IF(AND(G24&lt;&gt;"Off",COUNTIFS($C:$C,C24,$A:$A,A24-1,$G:$G,"Night")&gt;0),"Rest &lt;12h after night shift",""),IF(J24&gt;5,"Meal interval required","")))</f>
        <v>#NAME?</v>
      </c>
      <c r="O24" s="25" t="s">
        <v>112</v>
      </c>
      <c r="P24" s="25"/>
    </row>
    <row r="25" spans="1:16" x14ac:dyDescent="0.35">
      <c r="A25" s="31">
        <f>IF(1+1&lt;=Settings!$B$7,Settings!$B$6+1,"")</f>
        <v>46144</v>
      </c>
      <c r="B25" s="31">
        <f t="shared" si="0"/>
        <v>46139</v>
      </c>
      <c r="C25" s="26" t="str">
        <f>IF(Employees!A5="","",Employees!A5)</f>
        <v>E002</v>
      </c>
      <c r="D25" s="26" t="str">
        <f>IF(C25="","",Employees!B5)</f>
        <v>Mpho  Nembemhia</v>
      </c>
      <c r="E25" s="26" t="str">
        <f>IF(C25="","",Employees!C5)</f>
        <v>B</v>
      </c>
      <c r="F25" s="26">
        <f>IF(A25="","",MOD(A25-Settings!$B$6,4)+1)</f>
        <v>2</v>
      </c>
      <c r="G25" s="26" t="str">
        <f>IF(C25="","",INDEX(Rotation_Pattern!$B$4:$E$7,F25,MATCH(E25,{"A","B","C","D"},0)))</f>
        <v>Day</v>
      </c>
      <c r="H25" s="32">
        <f t="shared" si="1"/>
        <v>0.25</v>
      </c>
      <c r="I25" s="32">
        <f>IF(OR(G25="Off",G25=""),"",H25+TIME(Settings!$B$8,0,0))</f>
        <v>0.58333333333333326</v>
      </c>
      <c r="J25" s="26">
        <f>IF(OR(G25="Off",G25=""),0,Settings!$B$8)</f>
        <v>8</v>
      </c>
      <c r="K25" s="25" t="s">
        <v>111</v>
      </c>
      <c r="L25" s="26" t="str">
        <f>IF(A25="","",IF(COUNTIF(Public_Holidays!$A$4:$A$80,A25)&gt;0,"Y","N"))</f>
        <v>N</v>
      </c>
      <c r="M25" s="26" t="str">
        <f t="shared" si="2"/>
        <v>N</v>
      </c>
      <c r="N25" s="26" t="e">
        <f ca="1">IF(A25="","",_xludf.TEXTJOIN("; ",TRUE,IF(SUMIFS($J:$J,$C:$C,C25,$B:$B,B25)&gt;Settings!$B$9,"Weekly ordinary hrs &gt;45",""),IF(SUMIFS(Claims!$H:$H,Claims!$C:$C,C25,Claims!$B:$B,B25)&gt;Settings!$B$10,"Weekly OT &gt;10",""),IF(AND(G25&lt;&gt;"Off",COUNTIFS($C:$C,C25,$A:$A,A25-1,$G:$G,"Night")&gt;0),"Rest &lt;12h after night shift",""),IF(J25&gt;5,"Meal interval required","")))</f>
        <v>#NAME?</v>
      </c>
      <c r="O25" s="25" t="s">
        <v>112</v>
      </c>
      <c r="P25" s="25"/>
    </row>
    <row r="26" spans="1:16" x14ac:dyDescent="0.35">
      <c r="A26" s="31">
        <f>IF(1+1&lt;=Settings!$B$7,Settings!$B$6+1,"")</f>
        <v>46144</v>
      </c>
      <c r="B26" s="31">
        <f t="shared" si="0"/>
        <v>46139</v>
      </c>
      <c r="C26" s="26" t="str">
        <f>IF(Employees!A6="","",Employees!A6)</f>
        <v>E003</v>
      </c>
      <c r="D26" s="26" t="str">
        <f>IF(C26="","",Employees!B6)</f>
        <v>Dimpho Makhafola</v>
      </c>
      <c r="E26" s="26" t="str">
        <f>IF(C26="","",Employees!C6)</f>
        <v>C</v>
      </c>
      <c r="F26" s="26">
        <f>IF(A26="","",MOD(A26-Settings!$B$6,4)+1)</f>
        <v>2</v>
      </c>
      <c r="G26" s="26" t="str">
        <f>IF(C26="","",INDEX(Rotation_Pattern!$B$4:$E$7,F26,MATCH(E26,{"A","B","C","D"},0)))</f>
        <v>Off</v>
      </c>
      <c r="H26" s="32" t="str">
        <f t="shared" si="1"/>
        <v/>
      </c>
      <c r="I26" s="32" t="str">
        <f>IF(OR(G26="Off",G26=""),"",H26+TIME(Settings!$B$8,0,0))</f>
        <v/>
      </c>
      <c r="J26" s="26">
        <f>IF(OR(G26="Off",G26=""),0,Settings!$B$8)</f>
        <v>0</v>
      </c>
      <c r="K26" s="25" t="s">
        <v>111</v>
      </c>
      <c r="L26" s="26" t="str">
        <f>IF(A26="","",IF(COUNTIF(Public_Holidays!$A$4:$A$80,A26)&gt;0,"Y","N"))</f>
        <v>N</v>
      </c>
      <c r="M26" s="26" t="str">
        <f t="shared" si="2"/>
        <v>N</v>
      </c>
      <c r="N26" s="26" t="e">
        <f ca="1">IF(A26="","",_xludf.TEXTJOIN("; ",TRUE,IF(SUMIFS($J:$J,$C:$C,C26,$B:$B,B26)&gt;Settings!$B$9,"Weekly ordinary hrs &gt;45",""),IF(SUMIFS(Claims!$H:$H,Claims!$C:$C,C26,Claims!$B:$B,B26)&gt;Settings!$B$10,"Weekly OT &gt;10",""),IF(AND(G26&lt;&gt;"Off",COUNTIFS($C:$C,C26,$A:$A,A26-1,$G:$G,"Night")&gt;0),"Rest &lt;12h after night shift",""),IF(J26&gt;5,"Meal interval required","")))</f>
        <v>#NAME?</v>
      </c>
      <c r="O26" s="25" t="s">
        <v>112</v>
      </c>
      <c r="P26" s="25"/>
    </row>
    <row r="27" spans="1:16" x14ac:dyDescent="0.35">
      <c r="A27" s="31">
        <f>IF(1+1&lt;=Settings!$B$7,Settings!$B$6+1,"")</f>
        <v>46144</v>
      </c>
      <c r="B27" s="31">
        <f t="shared" si="0"/>
        <v>46139</v>
      </c>
      <c r="C27" s="26" t="str">
        <f>IF(Employees!A7="","",Employees!A7)</f>
        <v>E004</v>
      </c>
      <c r="D27" s="26" t="str">
        <f>IF(C27="","",Employees!B7)</f>
        <v>Bashii Fall</v>
      </c>
      <c r="E27" s="26" t="str">
        <f>IF(C27="","",Employees!C7)</f>
        <v>D</v>
      </c>
      <c r="F27" s="26">
        <f>IF(A27="","",MOD(A27-Settings!$B$6,4)+1)</f>
        <v>2</v>
      </c>
      <c r="G27" s="26" t="str">
        <f>IF(C27="","",INDEX(Rotation_Pattern!$B$4:$E$7,F27,MATCH(E27,{"A","B","C","D"},0)))</f>
        <v>Night</v>
      </c>
      <c r="H27" s="32">
        <f t="shared" si="1"/>
        <v>0.91666666666666663</v>
      </c>
      <c r="I27" s="32">
        <f>IF(OR(G27="Off",G27=""),"",H27+TIME(Settings!$B$8,0,0))</f>
        <v>1.25</v>
      </c>
      <c r="J27" s="26">
        <f>IF(OR(G27="Off",G27=""),0,Settings!$B$8)</f>
        <v>8</v>
      </c>
      <c r="K27" s="25" t="s">
        <v>111</v>
      </c>
      <c r="L27" s="26" t="str">
        <f>IF(A27="","",IF(COUNTIF(Public_Holidays!$A$4:$A$80,A27)&gt;0,"Y","N"))</f>
        <v>N</v>
      </c>
      <c r="M27" s="26" t="str">
        <f t="shared" si="2"/>
        <v>N</v>
      </c>
      <c r="N27" s="26" t="e">
        <f ca="1">IF(A27="","",_xludf.TEXTJOIN("; ",TRUE,IF(SUMIFS($J:$J,$C:$C,C27,$B:$B,B27)&gt;Settings!$B$9,"Weekly ordinary hrs &gt;45",""),IF(SUMIFS(Claims!$H:$H,Claims!$C:$C,C27,Claims!$B:$B,B27)&gt;Settings!$B$10,"Weekly OT &gt;10",""),IF(AND(G27&lt;&gt;"Off",COUNTIFS($C:$C,C27,$A:$A,A27-1,$G:$G,"Night")&gt;0),"Rest &lt;12h after night shift",""),IF(J27&gt;5,"Meal interval required","")))</f>
        <v>#NAME?</v>
      </c>
      <c r="O27" s="25" t="s">
        <v>112</v>
      </c>
      <c r="P27" s="25"/>
    </row>
    <row r="28" spans="1:16" x14ac:dyDescent="0.35">
      <c r="A28" s="31">
        <f>IF(1+1&lt;=Settings!$B$7,Settings!$B$6+1,"")</f>
        <v>46144</v>
      </c>
      <c r="B28" s="31">
        <f t="shared" si="0"/>
        <v>46139</v>
      </c>
      <c r="C28" s="26" t="str">
        <f>IF(Employees!A8="","",Employees!A8)</f>
        <v>E005</v>
      </c>
      <c r="D28" s="26" t="str">
        <f>IF(C28="","",Employees!B8)</f>
        <v>Lesego Aphane</v>
      </c>
      <c r="E28" s="26" t="str">
        <f>IF(C28="","",Employees!C8)</f>
        <v>A</v>
      </c>
      <c r="F28" s="26">
        <f>IF(A28="","",MOD(A28-Settings!$B$6,4)+1)</f>
        <v>2</v>
      </c>
      <c r="G28" s="26" t="str">
        <f>IF(C28="","",INDEX(Rotation_Pattern!$B$4:$E$7,F28,MATCH(E28,{"A","B","C","D"},0)))</f>
        <v>Evening</v>
      </c>
      <c r="H28" s="32">
        <f t="shared" si="1"/>
        <v>0.58333333333333337</v>
      </c>
      <c r="I28" s="32">
        <f>IF(OR(G28="Off",G28=""),"",H28+TIME(Settings!$B$8,0,0))</f>
        <v>0.91666666666666674</v>
      </c>
      <c r="J28" s="26">
        <f>IF(OR(G28="Off",G28=""),0,Settings!$B$8)</f>
        <v>8</v>
      </c>
      <c r="K28" s="25" t="s">
        <v>111</v>
      </c>
      <c r="L28" s="26" t="str">
        <f>IF(A28="","",IF(COUNTIF(Public_Holidays!$A$4:$A$80,A28)&gt;0,"Y","N"))</f>
        <v>N</v>
      </c>
      <c r="M28" s="26" t="str">
        <f t="shared" si="2"/>
        <v>N</v>
      </c>
      <c r="N28" s="26" t="e">
        <f ca="1">IF(A28="","",_xludf.TEXTJOIN("; ",TRUE,IF(SUMIFS($J:$J,$C:$C,C28,$B:$B,B28)&gt;Settings!$B$9,"Weekly ordinary hrs &gt;45",""),IF(SUMIFS(Claims!$H:$H,Claims!$C:$C,C28,Claims!$B:$B,B28)&gt;Settings!$B$10,"Weekly OT &gt;10",""),IF(AND(G28&lt;&gt;"Off",COUNTIFS($C:$C,C28,$A:$A,A28-1,$G:$G,"Night")&gt;0),"Rest &lt;12h after night shift",""),IF(J28&gt;5,"Meal interval required","")))</f>
        <v>#NAME?</v>
      </c>
      <c r="O28" s="25" t="s">
        <v>112</v>
      </c>
      <c r="P28" s="25"/>
    </row>
    <row r="29" spans="1:16" x14ac:dyDescent="0.35">
      <c r="A29" s="31">
        <f>IF(1+1&lt;=Settings!$B$7,Settings!$B$6+1,"")</f>
        <v>46144</v>
      </c>
      <c r="B29" s="31">
        <f t="shared" si="0"/>
        <v>46139</v>
      </c>
      <c r="C29" s="26" t="str">
        <f>IF(Employees!A9="","",Employees!A9)</f>
        <v>E006</v>
      </c>
      <c r="D29" s="26" t="str">
        <f>IF(C29="","",Employees!B9)</f>
        <v>Nhalnahla</v>
      </c>
      <c r="E29" s="26" t="str">
        <f>IF(C29="","",Employees!C9)</f>
        <v>B</v>
      </c>
      <c r="F29" s="26">
        <f>IF(A29="","",MOD(A29-Settings!$B$6,4)+1)</f>
        <v>2</v>
      </c>
      <c r="G29" s="26" t="str">
        <f>IF(C29="","",INDEX(Rotation_Pattern!$B$4:$E$7,F29,MATCH(E29,{"A","B","C","D"},0)))</f>
        <v>Day</v>
      </c>
      <c r="H29" s="32">
        <f t="shared" si="1"/>
        <v>0.25</v>
      </c>
      <c r="I29" s="32">
        <f>IF(OR(G29="Off",G29=""),"",H29+TIME(Settings!$B$8,0,0))</f>
        <v>0.58333333333333326</v>
      </c>
      <c r="J29" s="26">
        <f>IF(OR(G29="Off",G29=""),0,Settings!$B$8)</f>
        <v>8</v>
      </c>
      <c r="K29" s="25" t="s">
        <v>111</v>
      </c>
      <c r="L29" s="26" t="str">
        <f>IF(A29="","",IF(COUNTIF(Public_Holidays!$A$4:$A$80,A29)&gt;0,"Y","N"))</f>
        <v>N</v>
      </c>
      <c r="M29" s="26" t="str">
        <f t="shared" si="2"/>
        <v>N</v>
      </c>
      <c r="N29" s="26" t="e">
        <f ca="1">IF(A29="","",_xludf.TEXTJOIN("; ",TRUE,IF(SUMIFS($J:$J,$C:$C,C29,$B:$B,B29)&gt;Settings!$B$9,"Weekly ordinary hrs &gt;45",""),IF(SUMIFS(Claims!$H:$H,Claims!$C:$C,C29,Claims!$B:$B,B29)&gt;Settings!$B$10,"Weekly OT &gt;10",""),IF(AND(G29&lt;&gt;"Off",COUNTIFS($C:$C,C29,$A:$A,A29-1,$G:$G,"Night")&gt;0),"Rest &lt;12h after night shift",""),IF(J29&gt;5,"Meal interval required","")))</f>
        <v>#NAME?</v>
      </c>
      <c r="O29" s="25" t="s">
        <v>112</v>
      </c>
      <c r="P29" s="25"/>
    </row>
    <row r="30" spans="1:16" x14ac:dyDescent="0.35">
      <c r="A30" s="31">
        <f>IF(1+1&lt;=Settings!$B$7,Settings!$B$6+1,"")</f>
        <v>46144</v>
      </c>
      <c r="B30" s="31">
        <f t="shared" si="0"/>
        <v>46139</v>
      </c>
      <c r="C30" s="26" t="str">
        <f>IF(Employees!A10="","",Employees!A10)</f>
        <v>E007</v>
      </c>
      <c r="D30" s="26" t="str">
        <f>IF(C30="","",Employees!B10)</f>
        <v>Joe</v>
      </c>
      <c r="E30" s="26" t="str">
        <f>IF(C30="","",Employees!C10)</f>
        <v>C</v>
      </c>
      <c r="F30" s="26">
        <f>IF(A30="","",MOD(A30-Settings!$B$6,4)+1)</f>
        <v>2</v>
      </c>
      <c r="G30" s="26" t="str">
        <f>IF(C30="","",INDEX(Rotation_Pattern!$B$4:$E$7,F30,MATCH(E30,{"A","B","C","D"},0)))</f>
        <v>Off</v>
      </c>
      <c r="H30" s="32" t="str">
        <f t="shared" si="1"/>
        <v/>
      </c>
      <c r="I30" s="32" t="str">
        <f>IF(OR(G30="Off",G30=""),"",H30+TIME(Settings!$B$8,0,0))</f>
        <v/>
      </c>
      <c r="J30" s="26">
        <f>IF(OR(G30="Off",G30=""),0,Settings!$B$8)</f>
        <v>0</v>
      </c>
      <c r="K30" s="25" t="s">
        <v>111</v>
      </c>
      <c r="L30" s="26" t="str">
        <f>IF(A30="","",IF(COUNTIF(Public_Holidays!$A$4:$A$80,A30)&gt;0,"Y","N"))</f>
        <v>N</v>
      </c>
      <c r="M30" s="26" t="str">
        <f t="shared" si="2"/>
        <v>N</v>
      </c>
      <c r="N30" s="26" t="e">
        <f ca="1">IF(A30="","",_xludf.TEXTJOIN("; ",TRUE,IF(SUMIFS($J:$J,$C:$C,C30,$B:$B,B30)&gt;Settings!$B$9,"Weekly ordinary hrs &gt;45",""),IF(SUMIFS(Claims!$H:$H,Claims!$C:$C,C30,Claims!$B:$B,B30)&gt;Settings!$B$10,"Weekly OT &gt;10",""),IF(AND(G30&lt;&gt;"Off",COUNTIFS($C:$C,C30,$A:$A,A30-1,$G:$G,"Night")&gt;0),"Rest &lt;12h after night shift",""),IF(J30&gt;5,"Meal interval required","")))</f>
        <v>#NAME?</v>
      </c>
      <c r="O30" s="25" t="s">
        <v>112</v>
      </c>
      <c r="P30" s="25"/>
    </row>
    <row r="31" spans="1:16" x14ac:dyDescent="0.35">
      <c r="A31" s="31">
        <f>IF(1+1&lt;=Settings!$B$7,Settings!$B$6+1,"")</f>
        <v>46144</v>
      </c>
      <c r="B31" s="31">
        <f t="shared" si="0"/>
        <v>46139</v>
      </c>
      <c r="C31" s="26" t="str">
        <f>IF(Employees!A11="","",Employees!A11)</f>
        <v>E008</v>
      </c>
      <c r="D31" s="26" t="str">
        <f>IF(C31="","",Employees!B11)</f>
        <v>Tim</v>
      </c>
      <c r="E31" s="26" t="str">
        <f>IF(C31="","",Employees!C11)</f>
        <v>D</v>
      </c>
      <c r="F31" s="26">
        <f>IF(A31="","",MOD(A31-Settings!$B$6,4)+1)</f>
        <v>2</v>
      </c>
      <c r="G31" s="26" t="str">
        <f>IF(C31="","",INDEX(Rotation_Pattern!$B$4:$E$7,F31,MATCH(E31,{"A","B","C","D"},0)))</f>
        <v>Night</v>
      </c>
      <c r="H31" s="32">
        <f t="shared" si="1"/>
        <v>0.91666666666666663</v>
      </c>
      <c r="I31" s="32">
        <f>IF(OR(G31="Off",G31=""),"",H31+TIME(Settings!$B$8,0,0))</f>
        <v>1.25</v>
      </c>
      <c r="J31" s="26">
        <f>IF(OR(G31="Off",G31=""),0,Settings!$B$8)</f>
        <v>8</v>
      </c>
      <c r="K31" s="25" t="s">
        <v>111</v>
      </c>
      <c r="L31" s="26" t="str">
        <f>IF(A31="","",IF(COUNTIF(Public_Holidays!$A$4:$A$80,A31)&gt;0,"Y","N"))</f>
        <v>N</v>
      </c>
      <c r="M31" s="26" t="str">
        <f t="shared" si="2"/>
        <v>N</v>
      </c>
      <c r="N31" s="26" t="e">
        <f ca="1">IF(A31="","",_xludf.TEXTJOIN("; ",TRUE,IF(SUMIFS($J:$J,$C:$C,C31,$B:$B,B31)&gt;Settings!$B$9,"Weekly ordinary hrs &gt;45",""),IF(SUMIFS(Claims!$H:$H,Claims!$C:$C,C31,Claims!$B:$B,B31)&gt;Settings!$B$10,"Weekly OT &gt;10",""),IF(AND(G31&lt;&gt;"Off",COUNTIFS($C:$C,C31,$A:$A,A31-1,$G:$G,"Night")&gt;0),"Rest &lt;12h after night shift",""),IF(J31&gt;5,"Meal interval required","")))</f>
        <v>#NAME?</v>
      </c>
      <c r="O31" s="25" t="s">
        <v>112</v>
      </c>
      <c r="P31" s="25"/>
    </row>
    <row r="32" spans="1:16" x14ac:dyDescent="0.35">
      <c r="A32" s="31">
        <f>IF(1+1&lt;=Settings!$B$7,Settings!$B$6+1,"")</f>
        <v>46144</v>
      </c>
      <c r="B32" s="31">
        <f t="shared" si="0"/>
        <v>46139</v>
      </c>
      <c r="C32" s="26" t="str">
        <f>IF(Employees!A12="","",Employees!A12)</f>
        <v>E009</v>
      </c>
      <c r="D32" s="26" t="str">
        <f>IF(C32="","",Employees!B12)</f>
        <v>Frank</v>
      </c>
      <c r="E32" s="26" t="str">
        <f>IF(C32="","",Employees!C12)</f>
        <v>A</v>
      </c>
      <c r="F32" s="26">
        <f>IF(A32="","",MOD(A32-Settings!$B$6,4)+1)</f>
        <v>2</v>
      </c>
      <c r="G32" s="26" t="str">
        <f>IF(C32="","",INDEX(Rotation_Pattern!$B$4:$E$7,F32,MATCH(E32,{"A","B","C","D"},0)))</f>
        <v>Evening</v>
      </c>
      <c r="H32" s="32">
        <f t="shared" si="1"/>
        <v>0.58333333333333337</v>
      </c>
      <c r="I32" s="32">
        <f>IF(OR(G32="Off",G32=""),"",H32+TIME(Settings!$B$8,0,0))</f>
        <v>0.91666666666666674</v>
      </c>
      <c r="J32" s="26">
        <f>IF(OR(G32="Off",G32=""),0,Settings!$B$8)</f>
        <v>8</v>
      </c>
      <c r="K32" s="25" t="s">
        <v>111</v>
      </c>
      <c r="L32" s="26" t="str">
        <f>IF(A32="","",IF(COUNTIF(Public_Holidays!$A$4:$A$80,A32)&gt;0,"Y","N"))</f>
        <v>N</v>
      </c>
      <c r="M32" s="26" t="str">
        <f t="shared" si="2"/>
        <v>N</v>
      </c>
      <c r="N32" s="26" t="e">
        <f ca="1">IF(A32="","",_xludf.TEXTJOIN("; ",TRUE,IF(SUMIFS($J:$J,$C:$C,C32,$B:$B,B32)&gt;Settings!$B$9,"Weekly ordinary hrs &gt;45",""),IF(SUMIFS(Claims!$H:$H,Claims!$C:$C,C32,Claims!$B:$B,B32)&gt;Settings!$B$10,"Weekly OT &gt;10",""),IF(AND(G32&lt;&gt;"Off",COUNTIFS($C:$C,C32,$A:$A,A32-1,$G:$G,"Night")&gt;0),"Rest &lt;12h after night shift",""),IF(J32&gt;5,"Meal interval required","")))</f>
        <v>#NAME?</v>
      </c>
      <c r="O32" s="25" t="s">
        <v>112</v>
      </c>
      <c r="P32" s="25"/>
    </row>
    <row r="33" spans="1:16" x14ac:dyDescent="0.35">
      <c r="A33" s="31">
        <f>IF(1+1&lt;=Settings!$B$7,Settings!$B$6+1,"")</f>
        <v>46144</v>
      </c>
      <c r="B33" s="31">
        <f t="shared" si="0"/>
        <v>46139</v>
      </c>
      <c r="C33" s="26" t="str">
        <f>IF(Employees!A13="","",Employees!A13)</f>
        <v/>
      </c>
      <c r="D33" s="26" t="str">
        <f>IF(C33="","",Employees!B13)</f>
        <v/>
      </c>
      <c r="E33" s="26" t="str">
        <f>IF(C33="","",Employees!C13)</f>
        <v/>
      </c>
      <c r="F33" s="26">
        <f>IF(A33="","",MOD(A33-Settings!$B$6,4)+1)</f>
        <v>2</v>
      </c>
      <c r="G33" s="26" t="str">
        <f>IF(C33="","",INDEX(Rotation_Pattern!$B$4:$E$7,F33,MATCH(E33,{"A","B","C","D"},0)))</f>
        <v/>
      </c>
      <c r="H33" s="32" t="str">
        <f t="shared" si="1"/>
        <v/>
      </c>
      <c r="I33" s="32" t="str">
        <f>IF(OR(G33="Off",G33=""),"",H33+TIME(Settings!$B$8,0,0))</f>
        <v/>
      </c>
      <c r="J33" s="26">
        <f>IF(OR(G33="Off",G33=""),0,Settings!$B$8)</f>
        <v>0</v>
      </c>
      <c r="K33" s="25" t="s">
        <v>111</v>
      </c>
      <c r="L33" s="26" t="str">
        <f>IF(A33="","",IF(COUNTIF(Public_Holidays!$A$4:$A$80,A33)&gt;0,"Y","N"))</f>
        <v>N</v>
      </c>
      <c r="M33" s="26" t="str">
        <f t="shared" si="2"/>
        <v>N</v>
      </c>
      <c r="N33" s="26" t="e">
        <f ca="1">IF(A33="","",_xludf.TEXTJOIN("; ",TRUE,IF(SUMIFS($J:$J,$C:$C,C33,$B:$B,B33)&gt;Settings!$B$9,"Weekly ordinary hrs &gt;45",""),IF(SUMIFS(Claims!$H:$H,Claims!$C:$C,C33,Claims!$B:$B,B33)&gt;Settings!$B$10,"Weekly OT &gt;10",""),IF(AND(G33&lt;&gt;"Off",COUNTIFS($C:$C,C33,$A:$A,A33-1,$G:$G,"Night")&gt;0),"Rest &lt;12h after night shift",""),IF(J33&gt;5,"Meal interval required","")))</f>
        <v>#NAME?</v>
      </c>
      <c r="O33" s="25" t="s">
        <v>112</v>
      </c>
      <c r="P33" s="25"/>
    </row>
    <row r="34" spans="1:16" x14ac:dyDescent="0.35">
      <c r="A34" s="31">
        <f>IF(1+1&lt;=Settings!$B$7,Settings!$B$6+1,"")</f>
        <v>46144</v>
      </c>
      <c r="B34" s="31">
        <f t="shared" si="0"/>
        <v>46139</v>
      </c>
      <c r="C34" s="26" t="str">
        <f>IF(Employees!A14="","",Employees!A14)</f>
        <v/>
      </c>
      <c r="D34" s="26" t="str">
        <f>IF(C34="","",Employees!B14)</f>
        <v/>
      </c>
      <c r="E34" s="26" t="str">
        <f>IF(C34="","",Employees!C14)</f>
        <v/>
      </c>
      <c r="F34" s="26">
        <f>IF(A34="","",MOD(A34-Settings!$B$6,4)+1)</f>
        <v>2</v>
      </c>
      <c r="G34" s="26" t="str">
        <f>IF(C34="","",INDEX(Rotation_Pattern!$B$4:$E$7,F34,MATCH(E34,{"A","B","C","D"},0)))</f>
        <v/>
      </c>
      <c r="H34" s="32" t="str">
        <f t="shared" si="1"/>
        <v/>
      </c>
      <c r="I34" s="32" t="str">
        <f>IF(OR(G34="Off",G34=""),"",H34+TIME(Settings!$B$8,0,0))</f>
        <v/>
      </c>
      <c r="J34" s="26">
        <f>IF(OR(G34="Off",G34=""),0,Settings!$B$8)</f>
        <v>0</v>
      </c>
      <c r="K34" s="25" t="s">
        <v>111</v>
      </c>
      <c r="L34" s="26" t="str">
        <f>IF(A34="","",IF(COUNTIF(Public_Holidays!$A$4:$A$80,A34)&gt;0,"Y","N"))</f>
        <v>N</v>
      </c>
      <c r="M34" s="26" t="str">
        <f t="shared" si="2"/>
        <v>N</v>
      </c>
      <c r="N34" s="26" t="e">
        <f ca="1">IF(A34="","",_xludf.TEXTJOIN("; ",TRUE,IF(SUMIFS($J:$J,$C:$C,C34,$B:$B,B34)&gt;Settings!$B$9,"Weekly ordinary hrs &gt;45",""),IF(SUMIFS(Claims!$H:$H,Claims!$C:$C,C34,Claims!$B:$B,B34)&gt;Settings!$B$10,"Weekly OT &gt;10",""),IF(AND(G34&lt;&gt;"Off",COUNTIFS($C:$C,C34,$A:$A,A34-1,$G:$G,"Night")&gt;0),"Rest &lt;12h after night shift",""),IF(J34&gt;5,"Meal interval required","")))</f>
        <v>#NAME?</v>
      </c>
      <c r="O34" s="25" t="s">
        <v>112</v>
      </c>
      <c r="P34" s="25"/>
    </row>
    <row r="35" spans="1:16" x14ac:dyDescent="0.35">
      <c r="A35" s="31">
        <f>IF(1+1&lt;=Settings!$B$7,Settings!$B$6+1,"")</f>
        <v>46144</v>
      </c>
      <c r="B35" s="31">
        <f t="shared" si="0"/>
        <v>46139</v>
      </c>
      <c r="C35" s="26" t="str">
        <f>IF(Employees!A15="","",Employees!A15)</f>
        <v/>
      </c>
      <c r="D35" s="26" t="str">
        <f>IF(C35="","",Employees!B15)</f>
        <v/>
      </c>
      <c r="E35" s="26" t="str">
        <f>IF(C35="","",Employees!C15)</f>
        <v/>
      </c>
      <c r="F35" s="26">
        <f>IF(A35="","",MOD(A35-Settings!$B$6,4)+1)</f>
        <v>2</v>
      </c>
      <c r="G35" s="26" t="str">
        <f>IF(C35="","",INDEX(Rotation_Pattern!$B$4:$E$7,F35,MATCH(E35,{"A","B","C","D"},0)))</f>
        <v/>
      </c>
      <c r="H35" s="32" t="str">
        <f t="shared" si="1"/>
        <v/>
      </c>
      <c r="I35" s="32" t="str">
        <f>IF(OR(G35="Off",G35=""),"",H35+TIME(Settings!$B$8,0,0))</f>
        <v/>
      </c>
      <c r="J35" s="26">
        <f>IF(OR(G35="Off",G35=""),0,Settings!$B$8)</f>
        <v>0</v>
      </c>
      <c r="K35" s="25" t="s">
        <v>111</v>
      </c>
      <c r="L35" s="26" t="str">
        <f>IF(A35="","",IF(COUNTIF(Public_Holidays!$A$4:$A$80,A35)&gt;0,"Y","N"))</f>
        <v>N</v>
      </c>
      <c r="M35" s="26" t="str">
        <f t="shared" si="2"/>
        <v>N</v>
      </c>
      <c r="N35" s="26" t="e">
        <f ca="1">IF(A35="","",_xludf.TEXTJOIN("; ",TRUE,IF(SUMIFS($J:$J,$C:$C,C35,$B:$B,B35)&gt;Settings!$B$9,"Weekly ordinary hrs &gt;45",""),IF(SUMIFS(Claims!$H:$H,Claims!$C:$C,C35,Claims!$B:$B,B35)&gt;Settings!$B$10,"Weekly OT &gt;10",""),IF(AND(G35&lt;&gt;"Off",COUNTIFS($C:$C,C35,$A:$A,A35-1,$G:$G,"Night")&gt;0),"Rest &lt;12h after night shift",""),IF(J35&gt;5,"Meal interval required","")))</f>
        <v>#NAME?</v>
      </c>
      <c r="O35" s="25" t="s">
        <v>112</v>
      </c>
      <c r="P35" s="25"/>
    </row>
    <row r="36" spans="1:16" x14ac:dyDescent="0.35">
      <c r="A36" s="31">
        <f>IF(1+1&lt;=Settings!$B$7,Settings!$B$6+1,"")</f>
        <v>46144</v>
      </c>
      <c r="B36" s="31">
        <f t="shared" si="0"/>
        <v>46139</v>
      </c>
      <c r="C36" s="26" t="str">
        <f>IF(Employees!A16="","",Employees!A16)</f>
        <v/>
      </c>
      <c r="D36" s="26" t="str">
        <f>IF(C36="","",Employees!B16)</f>
        <v/>
      </c>
      <c r="E36" s="26" t="str">
        <f>IF(C36="","",Employees!C16)</f>
        <v/>
      </c>
      <c r="F36" s="26">
        <f>IF(A36="","",MOD(A36-Settings!$B$6,4)+1)</f>
        <v>2</v>
      </c>
      <c r="G36" s="26" t="str">
        <f>IF(C36="","",INDEX(Rotation_Pattern!$B$4:$E$7,F36,MATCH(E36,{"A","B","C","D"},0)))</f>
        <v/>
      </c>
      <c r="H36" s="32" t="str">
        <f t="shared" si="1"/>
        <v/>
      </c>
      <c r="I36" s="32" t="str">
        <f>IF(OR(G36="Off",G36=""),"",H36+TIME(Settings!$B$8,0,0))</f>
        <v/>
      </c>
      <c r="J36" s="26">
        <f>IF(OR(G36="Off",G36=""),0,Settings!$B$8)</f>
        <v>0</v>
      </c>
      <c r="K36" s="25" t="s">
        <v>111</v>
      </c>
      <c r="L36" s="26" t="str">
        <f>IF(A36="","",IF(COUNTIF(Public_Holidays!$A$4:$A$80,A36)&gt;0,"Y","N"))</f>
        <v>N</v>
      </c>
      <c r="M36" s="26" t="str">
        <f t="shared" si="2"/>
        <v>N</v>
      </c>
      <c r="N36" s="26" t="e">
        <f ca="1">IF(A36="","",_xludf.TEXTJOIN("; ",TRUE,IF(SUMIFS($J:$J,$C:$C,C36,$B:$B,B36)&gt;Settings!$B$9,"Weekly ordinary hrs &gt;45",""),IF(SUMIFS(Claims!$H:$H,Claims!$C:$C,C36,Claims!$B:$B,B36)&gt;Settings!$B$10,"Weekly OT &gt;10",""),IF(AND(G36&lt;&gt;"Off",COUNTIFS($C:$C,C36,$A:$A,A36-1,$G:$G,"Night")&gt;0),"Rest &lt;12h after night shift",""),IF(J36&gt;5,"Meal interval required","")))</f>
        <v>#NAME?</v>
      </c>
      <c r="O36" s="25" t="s">
        <v>112</v>
      </c>
      <c r="P36" s="25"/>
    </row>
    <row r="37" spans="1:16" x14ac:dyDescent="0.35">
      <c r="A37" s="31">
        <f>IF(1+1&lt;=Settings!$B$7,Settings!$B$6+1,"")</f>
        <v>46144</v>
      </c>
      <c r="B37" s="31">
        <f t="shared" si="0"/>
        <v>46139</v>
      </c>
      <c r="C37" s="26" t="str">
        <f>IF(Employees!A17="","",Employees!A17)</f>
        <v/>
      </c>
      <c r="D37" s="26" t="str">
        <f>IF(C37="","",Employees!B17)</f>
        <v/>
      </c>
      <c r="E37" s="26" t="str">
        <f>IF(C37="","",Employees!C17)</f>
        <v/>
      </c>
      <c r="F37" s="26">
        <f>IF(A37="","",MOD(A37-Settings!$B$6,4)+1)</f>
        <v>2</v>
      </c>
      <c r="G37" s="26" t="str">
        <f>IF(C37="","",INDEX(Rotation_Pattern!$B$4:$E$7,F37,MATCH(E37,{"A","B","C","D"},0)))</f>
        <v/>
      </c>
      <c r="H37" s="32" t="str">
        <f t="shared" si="1"/>
        <v/>
      </c>
      <c r="I37" s="32" t="str">
        <f>IF(OR(G37="Off",G37=""),"",H37+TIME(Settings!$B$8,0,0))</f>
        <v/>
      </c>
      <c r="J37" s="26">
        <f>IF(OR(G37="Off",G37=""),0,Settings!$B$8)</f>
        <v>0</v>
      </c>
      <c r="K37" s="25" t="s">
        <v>111</v>
      </c>
      <c r="L37" s="26" t="str">
        <f>IF(A37="","",IF(COUNTIF(Public_Holidays!$A$4:$A$80,A37)&gt;0,"Y","N"))</f>
        <v>N</v>
      </c>
      <c r="M37" s="26" t="str">
        <f t="shared" si="2"/>
        <v>N</v>
      </c>
      <c r="N37" s="26" t="e">
        <f ca="1">IF(A37="","",_xludf.TEXTJOIN("; ",TRUE,IF(SUMIFS($J:$J,$C:$C,C37,$B:$B,B37)&gt;Settings!$B$9,"Weekly ordinary hrs &gt;45",""),IF(SUMIFS(Claims!$H:$H,Claims!$C:$C,C37,Claims!$B:$B,B37)&gt;Settings!$B$10,"Weekly OT &gt;10",""),IF(AND(G37&lt;&gt;"Off",COUNTIFS($C:$C,C37,$A:$A,A37-1,$G:$G,"Night")&gt;0),"Rest &lt;12h after night shift",""),IF(J37&gt;5,"Meal interval required","")))</f>
        <v>#NAME?</v>
      </c>
      <c r="O37" s="25" t="s">
        <v>112</v>
      </c>
      <c r="P37" s="25"/>
    </row>
    <row r="38" spans="1:16" x14ac:dyDescent="0.35">
      <c r="A38" s="31">
        <f>IF(1+1&lt;=Settings!$B$7,Settings!$B$6+1,"")</f>
        <v>46144</v>
      </c>
      <c r="B38" s="31">
        <f t="shared" si="0"/>
        <v>46139</v>
      </c>
      <c r="C38" s="26" t="str">
        <f>IF(Employees!A18="","",Employees!A18)</f>
        <v/>
      </c>
      <c r="D38" s="26" t="str">
        <f>IF(C38="","",Employees!B18)</f>
        <v/>
      </c>
      <c r="E38" s="26" t="str">
        <f>IF(C38="","",Employees!C18)</f>
        <v/>
      </c>
      <c r="F38" s="26">
        <f>IF(A38="","",MOD(A38-Settings!$B$6,4)+1)</f>
        <v>2</v>
      </c>
      <c r="G38" s="26" t="str">
        <f>IF(C38="","",INDEX(Rotation_Pattern!$B$4:$E$7,F38,MATCH(E38,{"A","B","C","D"},0)))</f>
        <v/>
      </c>
      <c r="H38" s="32" t="str">
        <f t="shared" si="1"/>
        <v/>
      </c>
      <c r="I38" s="32" t="str">
        <f>IF(OR(G38="Off",G38=""),"",H38+TIME(Settings!$B$8,0,0))</f>
        <v/>
      </c>
      <c r="J38" s="26">
        <f>IF(OR(G38="Off",G38=""),0,Settings!$B$8)</f>
        <v>0</v>
      </c>
      <c r="K38" s="25" t="s">
        <v>111</v>
      </c>
      <c r="L38" s="26" t="str">
        <f>IF(A38="","",IF(COUNTIF(Public_Holidays!$A$4:$A$80,A38)&gt;0,"Y","N"))</f>
        <v>N</v>
      </c>
      <c r="M38" s="26" t="str">
        <f t="shared" si="2"/>
        <v>N</v>
      </c>
      <c r="N38" s="26" t="e">
        <f ca="1">IF(A38="","",_xludf.TEXTJOIN("; ",TRUE,IF(SUMIFS($J:$J,$C:$C,C38,$B:$B,B38)&gt;Settings!$B$9,"Weekly ordinary hrs &gt;45",""),IF(SUMIFS(Claims!$H:$H,Claims!$C:$C,C38,Claims!$B:$B,B38)&gt;Settings!$B$10,"Weekly OT &gt;10",""),IF(AND(G38&lt;&gt;"Off",COUNTIFS($C:$C,C38,$A:$A,A38-1,$G:$G,"Night")&gt;0),"Rest &lt;12h after night shift",""),IF(J38&gt;5,"Meal interval required","")))</f>
        <v>#NAME?</v>
      </c>
      <c r="O38" s="25" t="s">
        <v>112</v>
      </c>
      <c r="P38" s="25"/>
    </row>
    <row r="39" spans="1:16" x14ac:dyDescent="0.35">
      <c r="A39" s="31">
        <f>IF(1+1&lt;=Settings!$B$7,Settings!$B$6+1,"")</f>
        <v>46144</v>
      </c>
      <c r="B39" s="31">
        <f t="shared" si="0"/>
        <v>46139</v>
      </c>
      <c r="C39" s="26" t="str">
        <f>IF(Employees!A19="","",Employees!A19)</f>
        <v/>
      </c>
      <c r="D39" s="26" t="str">
        <f>IF(C39="","",Employees!B19)</f>
        <v/>
      </c>
      <c r="E39" s="26" t="str">
        <f>IF(C39="","",Employees!C19)</f>
        <v/>
      </c>
      <c r="F39" s="26">
        <f>IF(A39="","",MOD(A39-Settings!$B$6,4)+1)</f>
        <v>2</v>
      </c>
      <c r="G39" s="26" t="str">
        <f>IF(C39="","",INDEX(Rotation_Pattern!$B$4:$E$7,F39,MATCH(E39,{"A","B","C","D"},0)))</f>
        <v/>
      </c>
      <c r="H39" s="32" t="str">
        <f t="shared" si="1"/>
        <v/>
      </c>
      <c r="I39" s="32" t="str">
        <f>IF(OR(G39="Off",G39=""),"",H39+TIME(Settings!$B$8,0,0))</f>
        <v/>
      </c>
      <c r="J39" s="26">
        <f>IF(OR(G39="Off",G39=""),0,Settings!$B$8)</f>
        <v>0</v>
      </c>
      <c r="K39" s="25" t="s">
        <v>111</v>
      </c>
      <c r="L39" s="26" t="str">
        <f>IF(A39="","",IF(COUNTIF(Public_Holidays!$A$4:$A$80,A39)&gt;0,"Y","N"))</f>
        <v>N</v>
      </c>
      <c r="M39" s="26" t="str">
        <f t="shared" si="2"/>
        <v>N</v>
      </c>
      <c r="N39" s="26" t="e">
        <f ca="1">IF(A39="","",_xludf.TEXTJOIN("; ",TRUE,IF(SUMIFS($J:$J,$C:$C,C39,$B:$B,B39)&gt;Settings!$B$9,"Weekly ordinary hrs &gt;45",""),IF(SUMIFS(Claims!$H:$H,Claims!$C:$C,C39,Claims!$B:$B,B39)&gt;Settings!$B$10,"Weekly OT &gt;10",""),IF(AND(G39&lt;&gt;"Off",COUNTIFS($C:$C,C39,$A:$A,A39-1,$G:$G,"Night")&gt;0),"Rest &lt;12h after night shift",""),IF(J39&gt;5,"Meal interval required","")))</f>
        <v>#NAME?</v>
      </c>
      <c r="O39" s="25" t="s">
        <v>112</v>
      </c>
      <c r="P39" s="25"/>
    </row>
    <row r="40" spans="1:16" x14ac:dyDescent="0.35">
      <c r="A40" s="31">
        <f>IF(1+1&lt;=Settings!$B$7,Settings!$B$6+1,"")</f>
        <v>46144</v>
      </c>
      <c r="B40" s="31">
        <f t="shared" si="0"/>
        <v>46139</v>
      </c>
      <c r="C40" s="26" t="str">
        <f>IF(Employees!A20="","",Employees!A20)</f>
        <v/>
      </c>
      <c r="D40" s="26" t="str">
        <f>IF(C40="","",Employees!B20)</f>
        <v/>
      </c>
      <c r="E40" s="26" t="str">
        <f>IF(C40="","",Employees!C20)</f>
        <v/>
      </c>
      <c r="F40" s="26">
        <f>IF(A40="","",MOD(A40-Settings!$B$6,4)+1)</f>
        <v>2</v>
      </c>
      <c r="G40" s="26" t="str">
        <f>IF(C40="","",INDEX(Rotation_Pattern!$B$4:$E$7,F40,MATCH(E40,{"A","B","C","D"},0)))</f>
        <v/>
      </c>
      <c r="H40" s="32" t="str">
        <f t="shared" si="1"/>
        <v/>
      </c>
      <c r="I40" s="32" t="str">
        <f>IF(OR(G40="Off",G40=""),"",H40+TIME(Settings!$B$8,0,0))</f>
        <v/>
      </c>
      <c r="J40" s="26">
        <f>IF(OR(G40="Off",G40=""),0,Settings!$B$8)</f>
        <v>0</v>
      </c>
      <c r="K40" s="25" t="s">
        <v>111</v>
      </c>
      <c r="L40" s="26" t="str">
        <f>IF(A40="","",IF(COUNTIF(Public_Holidays!$A$4:$A$80,A40)&gt;0,"Y","N"))</f>
        <v>N</v>
      </c>
      <c r="M40" s="26" t="str">
        <f t="shared" si="2"/>
        <v>N</v>
      </c>
      <c r="N40" s="26" t="e">
        <f ca="1">IF(A40="","",_xludf.TEXTJOIN("; ",TRUE,IF(SUMIFS($J:$J,$C:$C,C40,$B:$B,B40)&gt;Settings!$B$9,"Weekly ordinary hrs &gt;45",""),IF(SUMIFS(Claims!$H:$H,Claims!$C:$C,C40,Claims!$B:$B,B40)&gt;Settings!$B$10,"Weekly OT &gt;10",""),IF(AND(G40&lt;&gt;"Off",COUNTIFS($C:$C,C40,$A:$A,A40-1,$G:$G,"Night")&gt;0),"Rest &lt;12h after night shift",""),IF(J40&gt;5,"Meal interval required","")))</f>
        <v>#NAME?</v>
      </c>
      <c r="O40" s="25" t="s">
        <v>112</v>
      </c>
      <c r="P40" s="25"/>
    </row>
    <row r="41" spans="1:16" x14ac:dyDescent="0.35">
      <c r="A41" s="31">
        <f>IF(1+1&lt;=Settings!$B$7,Settings!$B$6+1,"")</f>
        <v>46144</v>
      </c>
      <c r="B41" s="31">
        <f t="shared" si="0"/>
        <v>46139</v>
      </c>
      <c r="C41" s="26" t="str">
        <f>IF(Employees!A21="","",Employees!A21)</f>
        <v/>
      </c>
      <c r="D41" s="26" t="str">
        <f>IF(C41="","",Employees!B21)</f>
        <v/>
      </c>
      <c r="E41" s="26" t="str">
        <f>IF(C41="","",Employees!C21)</f>
        <v/>
      </c>
      <c r="F41" s="26">
        <f>IF(A41="","",MOD(A41-Settings!$B$6,4)+1)</f>
        <v>2</v>
      </c>
      <c r="G41" s="26" t="str">
        <f>IF(C41="","",INDEX(Rotation_Pattern!$B$4:$E$7,F41,MATCH(E41,{"A","B","C","D"},0)))</f>
        <v/>
      </c>
      <c r="H41" s="32" t="str">
        <f t="shared" si="1"/>
        <v/>
      </c>
      <c r="I41" s="32" t="str">
        <f>IF(OR(G41="Off",G41=""),"",H41+TIME(Settings!$B$8,0,0))</f>
        <v/>
      </c>
      <c r="J41" s="26">
        <f>IF(OR(G41="Off",G41=""),0,Settings!$B$8)</f>
        <v>0</v>
      </c>
      <c r="K41" s="25" t="s">
        <v>111</v>
      </c>
      <c r="L41" s="26" t="str">
        <f>IF(A41="","",IF(COUNTIF(Public_Holidays!$A$4:$A$80,A41)&gt;0,"Y","N"))</f>
        <v>N</v>
      </c>
      <c r="M41" s="26" t="str">
        <f t="shared" si="2"/>
        <v>N</v>
      </c>
      <c r="N41" s="26" t="e">
        <f ca="1">IF(A41="","",_xludf.TEXTJOIN("; ",TRUE,IF(SUMIFS($J:$J,$C:$C,C41,$B:$B,B41)&gt;Settings!$B$9,"Weekly ordinary hrs &gt;45",""),IF(SUMIFS(Claims!$H:$H,Claims!$C:$C,C41,Claims!$B:$B,B41)&gt;Settings!$B$10,"Weekly OT &gt;10",""),IF(AND(G41&lt;&gt;"Off",COUNTIFS($C:$C,C41,$A:$A,A41-1,$G:$G,"Night")&gt;0),"Rest &lt;12h after night shift",""),IF(J41&gt;5,"Meal interval required","")))</f>
        <v>#NAME?</v>
      </c>
      <c r="O41" s="25" t="s">
        <v>112</v>
      </c>
      <c r="P41" s="25"/>
    </row>
    <row r="42" spans="1:16" x14ac:dyDescent="0.35">
      <c r="A42" s="31">
        <f>IF(1+1&lt;=Settings!$B$7,Settings!$B$6+1,"")</f>
        <v>46144</v>
      </c>
      <c r="B42" s="31">
        <f t="shared" si="0"/>
        <v>46139</v>
      </c>
      <c r="C42" s="26" t="str">
        <f>IF(Employees!A22="","",Employees!A22)</f>
        <v/>
      </c>
      <c r="D42" s="26" t="str">
        <f>IF(C42="","",Employees!B22)</f>
        <v/>
      </c>
      <c r="E42" s="26" t="str">
        <f>IF(C42="","",Employees!C22)</f>
        <v/>
      </c>
      <c r="F42" s="26">
        <f>IF(A42="","",MOD(A42-Settings!$B$6,4)+1)</f>
        <v>2</v>
      </c>
      <c r="G42" s="26" t="str">
        <f>IF(C42="","",INDEX(Rotation_Pattern!$B$4:$E$7,F42,MATCH(E42,{"A","B","C","D"},0)))</f>
        <v/>
      </c>
      <c r="H42" s="32" t="str">
        <f t="shared" si="1"/>
        <v/>
      </c>
      <c r="I42" s="32" t="str">
        <f>IF(OR(G42="Off",G42=""),"",H42+TIME(Settings!$B$8,0,0))</f>
        <v/>
      </c>
      <c r="J42" s="26">
        <f>IF(OR(G42="Off",G42=""),0,Settings!$B$8)</f>
        <v>0</v>
      </c>
      <c r="K42" s="25" t="s">
        <v>111</v>
      </c>
      <c r="L42" s="26" t="str">
        <f>IF(A42="","",IF(COUNTIF(Public_Holidays!$A$4:$A$80,A42)&gt;0,"Y","N"))</f>
        <v>N</v>
      </c>
      <c r="M42" s="26" t="str">
        <f t="shared" si="2"/>
        <v>N</v>
      </c>
      <c r="N42" s="26" t="e">
        <f ca="1">IF(A42="","",_xludf.TEXTJOIN("; ",TRUE,IF(SUMIFS($J:$J,$C:$C,C42,$B:$B,B42)&gt;Settings!$B$9,"Weekly ordinary hrs &gt;45",""),IF(SUMIFS(Claims!$H:$H,Claims!$C:$C,C42,Claims!$B:$B,B42)&gt;Settings!$B$10,"Weekly OT &gt;10",""),IF(AND(G42&lt;&gt;"Off",COUNTIFS($C:$C,C42,$A:$A,A42-1,$G:$G,"Night")&gt;0),"Rest &lt;12h after night shift",""),IF(J42&gt;5,"Meal interval required","")))</f>
        <v>#NAME?</v>
      </c>
      <c r="O42" s="25" t="s">
        <v>112</v>
      </c>
      <c r="P42" s="25"/>
    </row>
    <row r="43" spans="1:16" x14ac:dyDescent="0.35">
      <c r="A43" s="31">
        <f>IF(1+1&lt;=Settings!$B$7,Settings!$B$6+1,"")</f>
        <v>46144</v>
      </c>
      <c r="B43" s="31">
        <f t="shared" si="0"/>
        <v>46139</v>
      </c>
      <c r="C43" s="26" t="str">
        <f>IF(Employees!A23="","",Employees!A23)</f>
        <v/>
      </c>
      <c r="D43" s="26" t="str">
        <f>IF(C43="","",Employees!B23)</f>
        <v/>
      </c>
      <c r="E43" s="26" t="str">
        <f>IF(C43="","",Employees!C23)</f>
        <v/>
      </c>
      <c r="F43" s="26">
        <f>IF(A43="","",MOD(A43-Settings!$B$6,4)+1)</f>
        <v>2</v>
      </c>
      <c r="G43" s="26" t="str">
        <f>IF(C43="","",INDEX(Rotation_Pattern!$B$4:$E$7,F43,MATCH(E43,{"A","B","C","D"},0)))</f>
        <v/>
      </c>
      <c r="H43" s="32" t="str">
        <f t="shared" si="1"/>
        <v/>
      </c>
      <c r="I43" s="32" t="str">
        <f>IF(OR(G43="Off",G43=""),"",H43+TIME(Settings!$B$8,0,0))</f>
        <v/>
      </c>
      <c r="J43" s="26">
        <f>IF(OR(G43="Off",G43=""),0,Settings!$B$8)</f>
        <v>0</v>
      </c>
      <c r="K43" s="25" t="s">
        <v>111</v>
      </c>
      <c r="L43" s="26" t="str">
        <f>IF(A43="","",IF(COUNTIF(Public_Holidays!$A$4:$A$80,A43)&gt;0,"Y","N"))</f>
        <v>N</v>
      </c>
      <c r="M43" s="26" t="str">
        <f t="shared" si="2"/>
        <v>N</v>
      </c>
      <c r="N43" s="26" t="e">
        <f ca="1">IF(A43="","",_xludf.TEXTJOIN("; ",TRUE,IF(SUMIFS($J:$J,$C:$C,C43,$B:$B,B43)&gt;Settings!$B$9,"Weekly ordinary hrs &gt;45",""),IF(SUMIFS(Claims!$H:$H,Claims!$C:$C,C43,Claims!$B:$B,B43)&gt;Settings!$B$10,"Weekly OT &gt;10",""),IF(AND(G43&lt;&gt;"Off",COUNTIFS($C:$C,C43,$A:$A,A43-1,$G:$G,"Night")&gt;0),"Rest &lt;12h after night shift",""),IF(J43&gt;5,"Meal interval required","")))</f>
        <v>#NAME?</v>
      </c>
      <c r="O43" s="25" t="s">
        <v>112</v>
      </c>
      <c r="P43" s="25"/>
    </row>
    <row r="44" spans="1:16" x14ac:dyDescent="0.35">
      <c r="A44" s="31">
        <f>IF(2+1&lt;=Settings!$B$7,Settings!$B$6+2,"")</f>
        <v>46145</v>
      </c>
      <c r="B44" s="31">
        <f t="shared" si="0"/>
        <v>46139</v>
      </c>
      <c r="C44" s="26" t="str">
        <f>IF(Employees!A4="","",Employees!A4)</f>
        <v>E001</v>
      </c>
      <c r="D44" s="26" t="str">
        <f>IF(C44="","",Employees!B4)</f>
        <v>Musiwa Khavalani</v>
      </c>
      <c r="E44" s="26">
        <f>IF(C44="","",Employees!C4)</f>
        <v>0</v>
      </c>
      <c r="F44" s="26">
        <f>IF(A44="","",MOD(A44-Settings!$B$6,4)+1)</f>
        <v>3</v>
      </c>
      <c r="G44" s="26" t="e">
        <f>IF(C44="","",INDEX(Rotation_Pattern!$B$4:$E$7,F44,MATCH(E44,{"A","B","C","D"},0)))</f>
        <v>#N/A</v>
      </c>
      <c r="H44" s="32" t="e">
        <f t="shared" si="1"/>
        <v>#N/A</v>
      </c>
      <c r="I44" s="32" t="e">
        <f>IF(OR(G44="Off",G44=""),"",H44+TIME(Settings!$B$8,0,0))</f>
        <v>#N/A</v>
      </c>
      <c r="J44" s="26" t="e">
        <f>IF(OR(G44="Off",G44=""),0,Settings!$B$8)</f>
        <v>#N/A</v>
      </c>
      <c r="K44" s="25" t="s">
        <v>111</v>
      </c>
      <c r="L44" s="26" t="str">
        <f>IF(A44="","",IF(COUNTIF(Public_Holidays!$A$4:$A$80,A44)&gt;0,"Y","N"))</f>
        <v>N</v>
      </c>
      <c r="M44" s="26" t="str">
        <f t="shared" si="2"/>
        <v>Y</v>
      </c>
      <c r="N44" s="26" t="e">
        <f ca="1">IF(A44="","",_xludf.TEXTJOIN("; ",TRUE,IF(SUMIFS($J:$J,$C:$C,C44,$B:$B,B44)&gt;Settings!$B$9,"Weekly ordinary hrs &gt;45",""),IF(SUMIFS(Claims!$H:$H,Claims!$C:$C,C44,Claims!$B:$B,B44)&gt;Settings!$B$10,"Weekly OT &gt;10",""),IF(AND(G44&lt;&gt;"Off",COUNTIFS($C:$C,C44,$A:$A,A44-1,$G:$G,"Night")&gt;0),"Rest &lt;12h after night shift",""),IF(J44&gt;5,"Meal interval required","")))</f>
        <v>#NAME?</v>
      </c>
      <c r="O44" s="25" t="s">
        <v>112</v>
      </c>
      <c r="P44" s="25"/>
    </row>
    <row r="45" spans="1:16" x14ac:dyDescent="0.35">
      <c r="A45" s="31">
        <f>IF(2+1&lt;=Settings!$B$7,Settings!$B$6+2,"")</f>
        <v>46145</v>
      </c>
      <c r="B45" s="31">
        <f t="shared" si="0"/>
        <v>46139</v>
      </c>
      <c r="C45" s="26" t="str">
        <f>IF(Employees!A5="","",Employees!A5)</f>
        <v>E002</v>
      </c>
      <c r="D45" s="26" t="str">
        <f>IF(C45="","",Employees!B5)</f>
        <v>Mpho  Nembemhia</v>
      </c>
      <c r="E45" s="26" t="str">
        <f>IF(C45="","",Employees!C5)</f>
        <v>B</v>
      </c>
      <c r="F45" s="26">
        <f>IF(A45="","",MOD(A45-Settings!$B$6,4)+1)</f>
        <v>3</v>
      </c>
      <c r="G45" s="26" t="str">
        <f>IF(C45="","",INDEX(Rotation_Pattern!$B$4:$E$7,F45,MATCH(E45,{"A","B","C","D"},0)))</f>
        <v>Evening</v>
      </c>
      <c r="H45" s="32">
        <f t="shared" si="1"/>
        <v>0.58333333333333337</v>
      </c>
      <c r="I45" s="32">
        <f>IF(OR(G45="Off",G45=""),"",H45+TIME(Settings!$B$8,0,0))</f>
        <v>0.91666666666666674</v>
      </c>
      <c r="J45" s="26">
        <f>IF(OR(G45="Off",G45=""),0,Settings!$B$8)</f>
        <v>8</v>
      </c>
      <c r="K45" s="25" t="s">
        <v>111</v>
      </c>
      <c r="L45" s="26" t="str">
        <f>IF(A45="","",IF(COUNTIF(Public_Holidays!$A$4:$A$80,A45)&gt;0,"Y","N"))</f>
        <v>N</v>
      </c>
      <c r="M45" s="26" t="str">
        <f t="shared" si="2"/>
        <v>Y</v>
      </c>
      <c r="N45" s="26" t="e">
        <f ca="1">IF(A45="","",_xludf.TEXTJOIN("; ",TRUE,IF(SUMIFS($J:$J,$C:$C,C45,$B:$B,B45)&gt;Settings!$B$9,"Weekly ordinary hrs &gt;45",""),IF(SUMIFS(Claims!$H:$H,Claims!$C:$C,C45,Claims!$B:$B,B45)&gt;Settings!$B$10,"Weekly OT &gt;10",""),IF(AND(G45&lt;&gt;"Off",COUNTIFS($C:$C,C45,$A:$A,A45-1,$G:$G,"Night")&gt;0),"Rest &lt;12h after night shift",""),IF(J45&gt;5,"Meal interval required","")))</f>
        <v>#NAME?</v>
      </c>
      <c r="O45" s="25" t="s">
        <v>112</v>
      </c>
      <c r="P45" s="25"/>
    </row>
    <row r="46" spans="1:16" x14ac:dyDescent="0.35">
      <c r="A46" s="31">
        <f>IF(2+1&lt;=Settings!$B$7,Settings!$B$6+2,"")</f>
        <v>46145</v>
      </c>
      <c r="B46" s="31">
        <f t="shared" si="0"/>
        <v>46139</v>
      </c>
      <c r="C46" s="26" t="str">
        <f>IF(Employees!A6="","",Employees!A6)</f>
        <v>E003</v>
      </c>
      <c r="D46" s="26" t="str">
        <f>IF(C46="","",Employees!B6)</f>
        <v>Dimpho Makhafola</v>
      </c>
      <c r="E46" s="26" t="str">
        <f>IF(C46="","",Employees!C6)</f>
        <v>C</v>
      </c>
      <c r="F46" s="26">
        <f>IF(A46="","",MOD(A46-Settings!$B$6,4)+1)</f>
        <v>3</v>
      </c>
      <c r="G46" s="26" t="str">
        <f>IF(C46="","",INDEX(Rotation_Pattern!$B$4:$E$7,F46,MATCH(E46,{"A","B","C","D"},0)))</f>
        <v>Day</v>
      </c>
      <c r="H46" s="32">
        <f t="shared" si="1"/>
        <v>0.25</v>
      </c>
      <c r="I46" s="32">
        <f>IF(OR(G46="Off",G46=""),"",H46+TIME(Settings!$B$8,0,0))</f>
        <v>0.58333333333333326</v>
      </c>
      <c r="J46" s="26">
        <f>IF(OR(G46="Off",G46=""),0,Settings!$B$8)</f>
        <v>8</v>
      </c>
      <c r="K46" s="25" t="s">
        <v>111</v>
      </c>
      <c r="L46" s="26" t="str">
        <f>IF(A46="","",IF(COUNTIF(Public_Holidays!$A$4:$A$80,A46)&gt;0,"Y","N"))</f>
        <v>N</v>
      </c>
      <c r="M46" s="26" t="str">
        <f t="shared" si="2"/>
        <v>Y</v>
      </c>
      <c r="N46" s="26" t="e">
        <f ca="1">IF(A46="","",_xludf.TEXTJOIN("; ",TRUE,IF(SUMIFS($J:$J,$C:$C,C46,$B:$B,B46)&gt;Settings!$B$9,"Weekly ordinary hrs &gt;45",""),IF(SUMIFS(Claims!$H:$H,Claims!$C:$C,C46,Claims!$B:$B,B46)&gt;Settings!$B$10,"Weekly OT &gt;10",""),IF(AND(G46&lt;&gt;"Off",COUNTIFS($C:$C,C46,$A:$A,A46-1,$G:$G,"Night")&gt;0),"Rest &lt;12h after night shift",""),IF(J46&gt;5,"Meal interval required","")))</f>
        <v>#NAME?</v>
      </c>
      <c r="O46" s="25" t="s">
        <v>112</v>
      </c>
      <c r="P46" s="25"/>
    </row>
    <row r="47" spans="1:16" x14ac:dyDescent="0.35">
      <c r="A47" s="31">
        <f>IF(2+1&lt;=Settings!$B$7,Settings!$B$6+2,"")</f>
        <v>46145</v>
      </c>
      <c r="B47" s="31">
        <f t="shared" si="0"/>
        <v>46139</v>
      </c>
      <c r="C47" s="26" t="str">
        <f>IF(Employees!A7="","",Employees!A7)</f>
        <v>E004</v>
      </c>
      <c r="D47" s="26" t="str">
        <f>IF(C47="","",Employees!B7)</f>
        <v>Bashii Fall</v>
      </c>
      <c r="E47" s="26" t="str">
        <f>IF(C47="","",Employees!C7)</f>
        <v>D</v>
      </c>
      <c r="F47" s="26">
        <f>IF(A47="","",MOD(A47-Settings!$B$6,4)+1)</f>
        <v>3</v>
      </c>
      <c r="G47" s="26" t="str">
        <f>IF(C47="","",INDEX(Rotation_Pattern!$B$4:$E$7,F47,MATCH(E47,{"A","B","C","D"},0)))</f>
        <v>Off</v>
      </c>
      <c r="H47" s="32" t="str">
        <f t="shared" si="1"/>
        <v/>
      </c>
      <c r="I47" s="32" t="str">
        <f>IF(OR(G47="Off",G47=""),"",H47+TIME(Settings!$B$8,0,0))</f>
        <v/>
      </c>
      <c r="J47" s="26">
        <f>IF(OR(G47="Off",G47=""),0,Settings!$B$8)</f>
        <v>0</v>
      </c>
      <c r="K47" s="25" t="s">
        <v>111</v>
      </c>
      <c r="L47" s="26" t="str">
        <f>IF(A47="","",IF(COUNTIF(Public_Holidays!$A$4:$A$80,A47)&gt;0,"Y","N"))</f>
        <v>N</v>
      </c>
      <c r="M47" s="26" t="str">
        <f t="shared" si="2"/>
        <v>Y</v>
      </c>
      <c r="N47" s="26" t="e">
        <f ca="1">IF(A47="","",_xludf.TEXTJOIN("; ",TRUE,IF(SUMIFS($J:$J,$C:$C,C47,$B:$B,B47)&gt;Settings!$B$9,"Weekly ordinary hrs &gt;45",""),IF(SUMIFS(Claims!$H:$H,Claims!$C:$C,C47,Claims!$B:$B,B47)&gt;Settings!$B$10,"Weekly OT &gt;10",""),IF(AND(G47&lt;&gt;"Off",COUNTIFS($C:$C,C47,$A:$A,A47-1,$G:$G,"Night")&gt;0),"Rest &lt;12h after night shift",""),IF(J47&gt;5,"Meal interval required","")))</f>
        <v>#NAME?</v>
      </c>
      <c r="O47" s="25" t="s">
        <v>112</v>
      </c>
      <c r="P47" s="25"/>
    </row>
    <row r="48" spans="1:16" x14ac:dyDescent="0.35">
      <c r="A48" s="31">
        <f>IF(2+1&lt;=Settings!$B$7,Settings!$B$6+2,"")</f>
        <v>46145</v>
      </c>
      <c r="B48" s="31">
        <f t="shared" si="0"/>
        <v>46139</v>
      </c>
      <c r="C48" s="26" t="str">
        <f>IF(Employees!A8="","",Employees!A8)</f>
        <v>E005</v>
      </c>
      <c r="D48" s="26" t="str">
        <f>IF(C48="","",Employees!B8)</f>
        <v>Lesego Aphane</v>
      </c>
      <c r="E48" s="26" t="str">
        <f>IF(C48="","",Employees!C8)</f>
        <v>A</v>
      </c>
      <c r="F48" s="26">
        <f>IF(A48="","",MOD(A48-Settings!$B$6,4)+1)</f>
        <v>3</v>
      </c>
      <c r="G48" s="26" t="str">
        <f>IF(C48="","",INDEX(Rotation_Pattern!$B$4:$E$7,F48,MATCH(E48,{"A","B","C","D"},0)))</f>
        <v>Night</v>
      </c>
      <c r="H48" s="32">
        <f t="shared" si="1"/>
        <v>0.91666666666666663</v>
      </c>
      <c r="I48" s="32">
        <f>IF(OR(G48="Off",G48=""),"",H48+TIME(Settings!$B$8,0,0))</f>
        <v>1.25</v>
      </c>
      <c r="J48" s="26">
        <f>IF(OR(G48="Off",G48=""),0,Settings!$B$8)</f>
        <v>8</v>
      </c>
      <c r="K48" s="25" t="s">
        <v>111</v>
      </c>
      <c r="L48" s="26" t="str">
        <f>IF(A48="","",IF(COUNTIF(Public_Holidays!$A$4:$A$80,A48)&gt;0,"Y","N"))</f>
        <v>N</v>
      </c>
      <c r="M48" s="26" t="str">
        <f t="shared" si="2"/>
        <v>Y</v>
      </c>
      <c r="N48" s="26" t="e">
        <f ca="1">IF(A48="","",_xludf.TEXTJOIN("; ",TRUE,IF(SUMIFS($J:$J,$C:$C,C48,$B:$B,B48)&gt;Settings!$B$9,"Weekly ordinary hrs &gt;45",""),IF(SUMIFS(Claims!$H:$H,Claims!$C:$C,C48,Claims!$B:$B,B48)&gt;Settings!$B$10,"Weekly OT &gt;10",""),IF(AND(G48&lt;&gt;"Off",COUNTIFS($C:$C,C48,$A:$A,A48-1,$G:$G,"Night")&gt;0),"Rest &lt;12h after night shift",""),IF(J48&gt;5,"Meal interval required","")))</f>
        <v>#NAME?</v>
      </c>
      <c r="O48" s="25" t="s">
        <v>112</v>
      </c>
      <c r="P48" s="25"/>
    </row>
    <row r="49" spans="1:16" x14ac:dyDescent="0.35">
      <c r="A49" s="31">
        <f>IF(2+1&lt;=Settings!$B$7,Settings!$B$6+2,"")</f>
        <v>46145</v>
      </c>
      <c r="B49" s="31">
        <f t="shared" si="0"/>
        <v>46139</v>
      </c>
      <c r="C49" s="26" t="str">
        <f>IF(Employees!A9="","",Employees!A9)</f>
        <v>E006</v>
      </c>
      <c r="D49" s="26" t="str">
        <f>IF(C49="","",Employees!B9)</f>
        <v>Nhalnahla</v>
      </c>
      <c r="E49" s="26" t="str">
        <f>IF(C49="","",Employees!C9)</f>
        <v>B</v>
      </c>
      <c r="F49" s="26">
        <f>IF(A49="","",MOD(A49-Settings!$B$6,4)+1)</f>
        <v>3</v>
      </c>
      <c r="G49" s="26" t="str">
        <f>IF(C49="","",INDEX(Rotation_Pattern!$B$4:$E$7,F49,MATCH(E49,{"A","B","C","D"},0)))</f>
        <v>Evening</v>
      </c>
      <c r="H49" s="32">
        <f t="shared" si="1"/>
        <v>0.58333333333333337</v>
      </c>
      <c r="I49" s="32">
        <f>IF(OR(G49="Off",G49=""),"",H49+TIME(Settings!$B$8,0,0))</f>
        <v>0.91666666666666674</v>
      </c>
      <c r="J49" s="26">
        <f>IF(OR(G49="Off",G49=""),0,Settings!$B$8)</f>
        <v>8</v>
      </c>
      <c r="K49" s="25" t="s">
        <v>111</v>
      </c>
      <c r="L49" s="26" t="str">
        <f>IF(A49="","",IF(COUNTIF(Public_Holidays!$A$4:$A$80,A49)&gt;0,"Y","N"))</f>
        <v>N</v>
      </c>
      <c r="M49" s="26" t="str">
        <f t="shared" si="2"/>
        <v>Y</v>
      </c>
      <c r="N49" s="26" t="e">
        <f ca="1">IF(A49="","",_xludf.TEXTJOIN("; ",TRUE,IF(SUMIFS($J:$J,$C:$C,C49,$B:$B,B49)&gt;Settings!$B$9,"Weekly ordinary hrs &gt;45",""),IF(SUMIFS(Claims!$H:$H,Claims!$C:$C,C49,Claims!$B:$B,B49)&gt;Settings!$B$10,"Weekly OT &gt;10",""),IF(AND(G49&lt;&gt;"Off",COUNTIFS($C:$C,C49,$A:$A,A49-1,$G:$G,"Night")&gt;0),"Rest &lt;12h after night shift",""),IF(J49&gt;5,"Meal interval required","")))</f>
        <v>#NAME?</v>
      </c>
      <c r="O49" s="25" t="s">
        <v>112</v>
      </c>
      <c r="P49" s="25"/>
    </row>
    <row r="50" spans="1:16" x14ac:dyDescent="0.35">
      <c r="A50" s="31">
        <f>IF(2+1&lt;=Settings!$B$7,Settings!$B$6+2,"")</f>
        <v>46145</v>
      </c>
      <c r="B50" s="31">
        <f t="shared" si="0"/>
        <v>46139</v>
      </c>
      <c r="C50" s="26" t="str">
        <f>IF(Employees!A10="","",Employees!A10)</f>
        <v>E007</v>
      </c>
      <c r="D50" s="26" t="str">
        <f>IF(C50="","",Employees!B10)</f>
        <v>Joe</v>
      </c>
      <c r="E50" s="26" t="str">
        <f>IF(C50="","",Employees!C10)</f>
        <v>C</v>
      </c>
      <c r="F50" s="26">
        <f>IF(A50="","",MOD(A50-Settings!$B$6,4)+1)</f>
        <v>3</v>
      </c>
      <c r="G50" s="26" t="str">
        <f>IF(C50="","",INDEX(Rotation_Pattern!$B$4:$E$7,F50,MATCH(E50,{"A","B","C","D"},0)))</f>
        <v>Day</v>
      </c>
      <c r="H50" s="32">
        <f t="shared" si="1"/>
        <v>0.25</v>
      </c>
      <c r="I50" s="32">
        <f>IF(OR(G50="Off",G50=""),"",H50+TIME(Settings!$B$8,0,0))</f>
        <v>0.58333333333333326</v>
      </c>
      <c r="J50" s="26">
        <f>IF(OR(G50="Off",G50=""),0,Settings!$B$8)</f>
        <v>8</v>
      </c>
      <c r="K50" s="25" t="s">
        <v>111</v>
      </c>
      <c r="L50" s="26" t="str">
        <f>IF(A50="","",IF(COUNTIF(Public_Holidays!$A$4:$A$80,A50)&gt;0,"Y","N"))</f>
        <v>N</v>
      </c>
      <c r="M50" s="26" t="str">
        <f t="shared" si="2"/>
        <v>Y</v>
      </c>
      <c r="N50" s="26" t="e">
        <f ca="1">IF(A50="","",_xludf.TEXTJOIN("; ",TRUE,IF(SUMIFS($J:$J,$C:$C,C50,$B:$B,B50)&gt;Settings!$B$9,"Weekly ordinary hrs &gt;45",""),IF(SUMIFS(Claims!$H:$H,Claims!$C:$C,C50,Claims!$B:$B,B50)&gt;Settings!$B$10,"Weekly OT &gt;10",""),IF(AND(G50&lt;&gt;"Off",COUNTIFS($C:$C,C50,$A:$A,A50-1,$G:$G,"Night")&gt;0),"Rest &lt;12h after night shift",""),IF(J50&gt;5,"Meal interval required","")))</f>
        <v>#NAME?</v>
      </c>
      <c r="O50" s="25" t="s">
        <v>112</v>
      </c>
      <c r="P50" s="25"/>
    </row>
    <row r="51" spans="1:16" x14ac:dyDescent="0.35">
      <c r="A51" s="31">
        <f>IF(2+1&lt;=Settings!$B$7,Settings!$B$6+2,"")</f>
        <v>46145</v>
      </c>
      <c r="B51" s="31">
        <f t="shared" si="0"/>
        <v>46139</v>
      </c>
      <c r="C51" s="26" t="str">
        <f>IF(Employees!A11="","",Employees!A11)</f>
        <v>E008</v>
      </c>
      <c r="D51" s="26" t="str">
        <f>IF(C51="","",Employees!B11)</f>
        <v>Tim</v>
      </c>
      <c r="E51" s="26" t="str">
        <f>IF(C51="","",Employees!C11)</f>
        <v>D</v>
      </c>
      <c r="F51" s="26">
        <f>IF(A51="","",MOD(A51-Settings!$B$6,4)+1)</f>
        <v>3</v>
      </c>
      <c r="G51" s="26" t="str">
        <f>IF(C51="","",INDEX(Rotation_Pattern!$B$4:$E$7,F51,MATCH(E51,{"A","B","C","D"},0)))</f>
        <v>Off</v>
      </c>
      <c r="H51" s="32" t="str">
        <f t="shared" si="1"/>
        <v/>
      </c>
      <c r="I51" s="32" t="str">
        <f>IF(OR(G51="Off",G51=""),"",H51+TIME(Settings!$B$8,0,0))</f>
        <v/>
      </c>
      <c r="J51" s="26">
        <f>IF(OR(G51="Off",G51=""),0,Settings!$B$8)</f>
        <v>0</v>
      </c>
      <c r="K51" s="25" t="s">
        <v>111</v>
      </c>
      <c r="L51" s="26" t="str">
        <f>IF(A51="","",IF(COUNTIF(Public_Holidays!$A$4:$A$80,A51)&gt;0,"Y","N"))</f>
        <v>N</v>
      </c>
      <c r="M51" s="26" t="str">
        <f t="shared" si="2"/>
        <v>Y</v>
      </c>
      <c r="N51" s="26" t="e">
        <f ca="1">IF(A51="","",_xludf.TEXTJOIN("; ",TRUE,IF(SUMIFS($J:$J,$C:$C,C51,$B:$B,B51)&gt;Settings!$B$9,"Weekly ordinary hrs &gt;45",""),IF(SUMIFS(Claims!$H:$H,Claims!$C:$C,C51,Claims!$B:$B,B51)&gt;Settings!$B$10,"Weekly OT &gt;10",""),IF(AND(G51&lt;&gt;"Off",COUNTIFS($C:$C,C51,$A:$A,A51-1,$G:$G,"Night")&gt;0),"Rest &lt;12h after night shift",""),IF(J51&gt;5,"Meal interval required","")))</f>
        <v>#NAME?</v>
      </c>
      <c r="O51" s="25" t="s">
        <v>112</v>
      </c>
      <c r="P51" s="25"/>
    </row>
    <row r="52" spans="1:16" x14ac:dyDescent="0.35">
      <c r="A52" s="31">
        <f>IF(2+1&lt;=Settings!$B$7,Settings!$B$6+2,"")</f>
        <v>46145</v>
      </c>
      <c r="B52" s="31">
        <f t="shared" si="0"/>
        <v>46139</v>
      </c>
      <c r="C52" s="26" t="str">
        <f>IF(Employees!A12="","",Employees!A12)</f>
        <v>E009</v>
      </c>
      <c r="D52" s="26" t="str">
        <f>IF(C52="","",Employees!B12)</f>
        <v>Frank</v>
      </c>
      <c r="E52" s="26" t="str">
        <f>IF(C52="","",Employees!C12)</f>
        <v>A</v>
      </c>
      <c r="F52" s="26">
        <f>IF(A52="","",MOD(A52-Settings!$B$6,4)+1)</f>
        <v>3</v>
      </c>
      <c r="G52" s="26" t="str">
        <f>IF(C52="","",INDEX(Rotation_Pattern!$B$4:$E$7,F52,MATCH(E52,{"A","B","C","D"},0)))</f>
        <v>Night</v>
      </c>
      <c r="H52" s="32">
        <f t="shared" si="1"/>
        <v>0.91666666666666663</v>
      </c>
      <c r="I52" s="32">
        <f>IF(OR(G52="Off",G52=""),"",H52+TIME(Settings!$B$8,0,0))</f>
        <v>1.25</v>
      </c>
      <c r="J52" s="26">
        <f>IF(OR(G52="Off",G52=""),0,Settings!$B$8)</f>
        <v>8</v>
      </c>
      <c r="K52" s="25" t="s">
        <v>111</v>
      </c>
      <c r="L52" s="26" t="str">
        <f>IF(A52="","",IF(COUNTIF(Public_Holidays!$A$4:$A$80,A52)&gt;0,"Y","N"))</f>
        <v>N</v>
      </c>
      <c r="M52" s="26" t="str">
        <f t="shared" si="2"/>
        <v>Y</v>
      </c>
      <c r="N52" s="26" t="e">
        <f ca="1">IF(A52="","",_xludf.TEXTJOIN("; ",TRUE,IF(SUMIFS($J:$J,$C:$C,C52,$B:$B,B52)&gt;Settings!$B$9,"Weekly ordinary hrs &gt;45",""),IF(SUMIFS(Claims!$H:$H,Claims!$C:$C,C52,Claims!$B:$B,B52)&gt;Settings!$B$10,"Weekly OT &gt;10",""),IF(AND(G52&lt;&gt;"Off",COUNTIFS($C:$C,C52,$A:$A,A52-1,$G:$G,"Night")&gt;0),"Rest &lt;12h after night shift",""),IF(J52&gt;5,"Meal interval required","")))</f>
        <v>#NAME?</v>
      </c>
      <c r="O52" s="25" t="s">
        <v>112</v>
      </c>
      <c r="P52" s="25"/>
    </row>
    <row r="53" spans="1:16" x14ac:dyDescent="0.35">
      <c r="A53" s="31">
        <f>IF(2+1&lt;=Settings!$B$7,Settings!$B$6+2,"")</f>
        <v>46145</v>
      </c>
      <c r="B53" s="31">
        <f t="shared" si="0"/>
        <v>46139</v>
      </c>
      <c r="C53" s="26" t="str">
        <f>IF(Employees!A13="","",Employees!A13)</f>
        <v/>
      </c>
      <c r="D53" s="26" t="str">
        <f>IF(C53="","",Employees!B13)</f>
        <v/>
      </c>
      <c r="E53" s="26" t="str">
        <f>IF(C53="","",Employees!C13)</f>
        <v/>
      </c>
      <c r="F53" s="26">
        <f>IF(A53="","",MOD(A53-Settings!$B$6,4)+1)</f>
        <v>3</v>
      </c>
      <c r="G53" s="26" t="str">
        <f>IF(C53="","",INDEX(Rotation_Pattern!$B$4:$E$7,F53,MATCH(E53,{"A","B","C","D"},0)))</f>
        <v/>
      </c>
      <c r="H53" s="32" t="str">
        <f t="shared" si="1"/>
        <v/>
      </c>
      <c r="I53" s="32" t="str">
        <f>IF(OR(G53="Off",G53=""),"",H53+TIME(Settings!$B$8,0,0))</f>
        <v/>
      </c>
      <c r="J53" s="26">
        <f>IF(OR(G53="Off",G53=""),0,Settings!$B$8)</f>
        <v>0</v>
      </c>
      <c r="K53" s="25" t="s">
        <v>111</v>
      </c>
      <c r="L53" s="26" t="str">
        <f>IF(A53="","",IF(COUNTIF(Public_Holidays!$A$4:$A$80,A53)&gt;0,"Y","N"))</f>
        <v>N</v>
      </c>
      <c r="M53" s="26" t="str">
        <f t="shared" si="2"/>
        <v>Y</v>
      </c>
      <c r="N53" s="26" t="e">
        <f ca="1">IF(A53="","",_xludf.TEXTJOIN("; ",TRUE,IF(SUMIFS($J:$J,$C:$C,C53,$B:$B,B53)&gt;Settings!$B$9,"Weekly ordinary hrs &gt;45",""),IF(SUMIFS(Claims!$H:$H,Claims!$C:$C,C53,Claims!$B:$B,B53)&gt;Settings!$B$10,"Weekly OT &gt;10",""),IF(AND(G53&lt;&gt;"Off",COUNTIFS($C:$C,C53,$A:$A,A53-1,$G:$G,"Night")&gt;0),"Rest &lt;12h after night shift",""),IF(J53&gt;5,"Meal interval required","")))</f>
        <v>#NAME?</v>
      </c>
      <c r="O53" s="25" t="s">
        <v>112</v>
      </c>
      <c r="P53" s="25"/>
    </row>
    <row r="54" spans="1:16" x14ac:dyDescent="0.35">
      <c r="A54" s="31">
        <f>IF(2+1&lt;=Settings!$B$7,Settings!$B$6+2,"")</f>
        <v>46145</v>
      </c>
      <c r="B54" s="31">
        <f t="shared" si="0"/>
        <v>46139</v>
      </c>
      <c r="C54" s="26" t="str">
        <f>IF(Employees!A14="","",Employees!A14)</f>
        <v/>
      </c>
      <c r="D54" s="26" t="str">
        <f>IF(C54="","",Employees!B14)</f>
        <v/>
      </c>
      <c r="E54" s="26" t="str">
        <f>IF(C54="","",Employees!C14)</f>
        <v/>
      </c>
      <c r="F54" s="26">
        <f>IF(A54="","",MOD(A54-Settings!$B$6,4)+1)</f>
        <v>3</v>
      </c>
      <c r="G54" s="26" t="str">
        <f>IF(C54="","",INDEX(Rotation_Pattern!$B$4:$E$7,F54,MATCH(E54,{"A","B","C","D"},0)))</f>
        <v/>
      </c>
      <c r="H54" s="32" t="str">
        <f t="shared" si="1"/>
        <v/>
      </c>
      <c r="I54" s="32" t="str">
        <f>IF(OR(G54="Off",G54=""),"",H54+TIME(Settings!$B$8,0,0))</f>
        <v/>
      </c>
      <c r="J54" s="26">
        <f>IF(OR(G54="Off",G54=""),0,Settings!$B$8)</f>
        <v>0</v>
      </c>
      <c r="K54" s="25" t="s">
        <v>111</v>
      </c>
      <c r="L54" s="26" t="str">
        <f>IF(A54="","",IF(COUNTIF(Public_Holidays!$A$4:$A$80,A54)&gt;0,"Y","N"))</f>
        <v>N</v>
      </c>
      <c r="M54" s="26" t="str">
        <f t="shared" si="2"/>
        <v>Y</v>
      </c>
      <c r="N54" s="26" t="e">
        <f ca="1">IF(A54="","",_xludf.TEXTJOIN("; ",TRUE,IF(SUMIFS($J:$J,$C:$C,C54,$B:$B,B54)&gt;Settings!$B$9,"Weekly ordinary hrs &gt;45",""),IF(SUMIFS(Claims!$H:$H,Claims!$C:$C,C54,Claims!$B:$B,B54)&gt;Settings!$B$10,"Weekly OT &gt;10",""),IF(AND(G54&lt;&gt;"Off",COUNTIFS($C:$C,C54,$A:$A,A54-1,$G:$G,"Night")&gt;0),"Rest &lt;12h after night shift",""),IF(J54&gt;5,"Meal interval required","")))</f>
        <v>#NAME?</v>
      </c>
      <c r="O54" s="25" t="s">
        <v>112</v>
      </c>
      <c r="P54" s="25"/>
    </row>
    <row r="55" spans="1:16" x14ac:dyDescent="0.35">
      <c r="A55" s="31">
        <f>IF(2+1&lt;=Settings!$B$7,Settings!$B$6+2,"")</f>
        <v>46145</v>
      </c>
      <c r="B55" s="31">
        <f t="shared" si="0"/>
        <v>46139</v>
      </c>
      <c r="C55" s="26" t="str">
        <f>IF(Employees!A15="","",Employees!A15)</f>
        <v/>
      </c>
      <c r="D55" s="26" t="str">
        <f>IF(C55="","",Employees!B15)</f>
        <v/>
      </c>
      <c r="E55" s="26" t="str">
        <f>IF(C55="","",Employees!C15)</f>
        <v/>
      </c>
      <c r="F55" s="26">
        <f>IF(A55="","",MOD(A55-Settings!$B$6,4)+1)</f>
        <v>3</v>
      </c>
      <c r="G55" s="26" t="str">
        <f>IF(C55="","",INDEX(Rotation_Pattern!$B$4:$E$7,F55,MATCH(E55,{"A","B","C","D"},0)))</f>
        <v/>
      </c>
      <c r="H55" s="32" t="str">
        <f t="shared" si="1"/>
        <v/>
      </c>
      <c r="I55" s="32" t="str">
        <f>IF(OR(G55="Off",G55=""),"",H55+TIME(Settings!$B$8,0,0))</f>
        <v/>
      </c>
      <c r="J55" s="26">
        <f>IF(OR(G55="Off",G55=""),0,Settings!$B$8)</f>
        <v>0</v>
      </c>
      <c r="K55" s="25" t="s">
        <v>111</v>
      </c>
      <c r="L55" s="26" t="str">
        <f>IF(A55="","",IF(COUNTIF(Public_Holidays!$A$4:$A$80,A55)&gt;0,"Y","N"))</f>
        <v>N</v>
      </c>
      <c r="M55" s="26" t="str">
        <f t="shared" si="2"/>
        <v>Y</v>
      </c>
      <c r="N55" s="26" t="e">
        <f ca="1">IF(A55="","",_xludf.TEXTJOIN("; ",TRUE,IF(SUMIFS($J:$J,$C:$C,C55,$B:$B,B55)&gt;Settings!$B$9,"Weekly ordinary hrs &gt;45",""),IF(SUMIFS(Claims!$H:$H,Claims!$C:$C,C55,Claims!$B:$B,B55)&gt;Settings!$B$10,"Weekly OT &gt;10",""),IF(AND(G55&lt;&gt;"Off",COUNTIFS($C:$C,C55,$A:$A,A55-1,$G:$G,"Night")&gt;0),"Rest &lt;12h after night shift",""),IF(J55&gt;5,"Meal interval required","")))</f>
        <v>#NAME?</v>
      </c>
      <c r="O55" s="25" t="s">
        <v>112</v>
      </c>
      <c r="P55" s="25"/>
    </row>
    <row r="56" spans="1:16" x14ac:dyDescent="0.35">
      <c r="A56" s="31">
        <f>IF(2+1&lt;=Settings!$B$7,Settings!$B$6+2,"")</f>
        <v>46145</v>
      </c>
      <c r="B56" s="31">
        <f t="shared" si="0"/>
        <v>46139</v>
      </c>
      <c r="C56" s="26" t="str">
        <f>IF(Employees!A16="","",Employees!A16)</f>
        <v/>
      </c>
      <c r="D56" s="26" t="str">
        <f>IF(C56="","",Employees!B16)</f>
        <v/>
      </c>
      <c r="E56" s="26" t="str">
        <f>IF(C56="","",Employees!C16)</f>
        <v/>
      </c>
      <c r="F56" s="26">
        <f>IF(A56="","",MOD(A56-Settings!$B$6,4)+1)</f>
        <v>3</v>
      </c>
      <c r="G56" s="26" t="str">
        <f>IF(C56="","",INDEX(Rotation_Pattern!$B$4:$E$7,F56,MATCH(E56,{"A","B","C","D"},0)))</f>
        <v/>
      </c>
      <c r="H56" s="32" t="str">
        <f t="shared" si="1"/>
        <v/>
      </c>
      <c r="I56" s="32" t="str">
        <f>IF(OR(G56="Off",G56=""),"",H56+TIME(Settings!$B$8,0,0))</f>
        <v/>
      </c>
      <c r="J56" s="26">
        <f>IF(OR(G56="Off",G56=""),0,Settings!$B$8)</f>
        <v>0</v>
      </c>
      <c r="K56" s="25" t="s">
        <v>111</v>
      </c>
      <c r="L56" s="26" t="str">
        <f>IF(A56="","",IF(COUNTIF(Public_Holidays!$A$4:$A$80,A56)&gt;0,"Y","N"))</f>
        <v>N</v>
      </c>
      <c r="M56" s="26" t="str">
        <f t="shared" si="2"/>
        <v>Y</v>
      </c>
      <c r="N56" s="26" t="e">
        <f ca="1">IF(A56="","",_xludf.TEXTJOIN("; ",TRUE,IF(SUMIFS($J:$J,$C:$C,C56,$B:$B,B56)&gt;Settings!$B$9,"Weekly ordinary hrs &gt;45",""),IF(SUMIFS(Claims!$H:$H,Claims!$C:$C,C56,Claims!$B:$B,B56)&gt;Settings!$B$10,"Weekly OT &gt;10",""),IF(AND(G56&lt;&gt;"Off",COUNTIFS($C:$C,C56,$A:$A,A56-1,$G:$G,"Night")&gt;0),"Rest &lt;12h after night shift",""),IF(J56&gt;5,"Meal interval required","")))</f>
        <v>#NAME?</v>
      </c>
      <c r="O56" s="25" t="s">
        <v>112</v>
      </c>
      <c r="P56" s="25"/>
    </row>
    <row r="57" spans="1:16" x14ac:dyDescent="0.35">
      <c r="A57" s="31">
        <f>IF(2+1&lt;=Settings!$B$7,Settings!$B$6+2,"")</f>
        <v>46145</v>
      </c>
      <c r="B57" s="31">
        <f t="shared" si="0"/>
        <v>46139</v>
      </c>
      <c r="C57" s="26" t="str">
        <f>IF(Employees!A17="","",Employees!A17)</f>
        <v/>
      </c>
      <c r="D57" s="26" t="str">
        <f>IF(C57="","",Employees!B17)</f>
        <v/>
      </c>
      <c r="E57" s="26" t="str">
        <f>IF(C57="","",Employees!C17)</f>
        <v/>
      </c>
      <c r="F57" s="26">
        <f>IF(A57="","",MOD(A57-Settings!$B$6,4)+1)</f>
        <v>3</v>
      </c>
      <c r="G57" s="26" t="str">
        <f>IF(C57="","",INDEX(Rotation_Pattern!$B$4:$E$7,F57,MATCH(E57,{"A","B","C","D"},0)))</f>
        <v/>
      </c>
      <c r="H57" s="32" t="str">
        <f t="shared" si="1"/>
        <v/>
      </c>
      <c r="I57" s="32" t="str">
        <f>IF(OR(G57="Off",G57=""),"",H57+TIME(Settings!$B$8,0,0))</f>
        <v/>
      </c>
      <c r="J57" s="26">
        <f>IF(OR(G57="Off",G57=""),0,Settings!$B$8)</f>
        <v>0</v>
      </c>
      <c r="K57" s="25" t="s">
        <v>111</v>
      </c>
      <c r="L57" s="26" t="str">
        <f>IF(A57="","",IF(COUNTIF(Public_Holidays!$A$4:$A$80,A57)&gt;0,"Y","N"))</f>
        <v>N</v>
      </c>
      <c r="M57" s="26" t="str">
        <f t="shared" si="2"/>
        <v>Y</v>
      </c>
      <c r="N57" s="26" t="e">
        <f ca="1">IF(A57="","",_xludf.TEXTJOIN("; ",TRUE,IF(SUMIFS($J:$J,$C:$C,C57,$B:$B,B57)&gt;Settings!$B$9,"Weekly ordinary hrs &gt;45",""),IF(SUMIFS(Claims!$H:$H,Claims!$C:$C,C57,Claims!$B:$B,B57)&gt;Settings!$B$10,"Weekly OT &gt;10",""),IF(AND(G57&lt;&gt;"Off",COUNTIFS($C:$C,C57,$A:$A,A57-1,$G:$G,"Night")&gt;0),"Rest &lt;12h after night shift",""),IF(J57&gt;5,"Meal interval required","")))</f>
        <v>#NAME?</v>
      </c>
      <c r="O57" s="25" t="s">
        <v>112</v>
      </c>
      <c r="P57" s="25"/>
    </row>
    <row r="58" spans="1:16" x14ac:dyDescent="0.35">
      <c r="A58" s="31">
        <f>IF(2+1&lt;=Settings!$B$7,Settings!$B$6+2,"")</f>
        <v>46145</v>
      </c>
      <c r="B58" s="31">
        <f t="shared" si="0"/>
        <v>46139</v>
      </c>
      <c r="C58" s="26" t="str">
        <f>IF(Employees!A18="","",Employees!A18)</f>
        <v/>
      </c>
      <c r="D58" s="26" t="str">
        <f>IF(C58="","",Employees!B18)</f>
        <v/>
      </c>
      <c r="E58" s="26" t="str">
        <f>IF(C58="","",Employees!C18)</f>
        <v/>
      </c>
      <c r="F58" s="26">
        <f>IF(A58="","",MOD(A58-Settings!$B$6,4)+1)</f>
        <v>3</v>
      </c>
      <c r="G58" s="26" t="str">
        <f>IF(C58="","",INDEX(Rotation_Pattern!$B$4:$E$7,F58,MATCH(E58,{"A","B","C","D"},0)))</f>
        <v/>
      </c>
      <c r="H58" s="32" t="str">
        <f t="shared" si="1"/>
        <v/>
      </c>
      <c r="I58" s="32" t="str">
        <f>IF(OR(G58="Off",G58=""),"",H58+TIME(Settings!$B$8,0,0))</f>
        <v/>
      </c>
      <c r="J58" s="26">
        <f>IF(OR(G58="Off",G58=""),0,Settings!$B$8)</f>
        <v>0</v>
      </c>
      <c r="K58" s="25" t="s">
        <v>111</v>
      </c>
      <c r="L58" s="26" t="str">
        <f>IF(A58="","",IF(COUNTIF(Public_Holidays!$A$4:$A$80,A58)&gt;0,"Y","N"))</f>
        <v>N</v>
      </c>
      <c r="M58" s="26" t="str">
        <f t="shared" si="2"/>
        <v>Y</v>
      </c>
      <c r="N58" s="26" t="e">
        <f ca="1">IF(A58="","",_xludf.TEXTJOIN("; ",TRUE,IF(SUMIFS($J:$J,$C:$C,C58,$B:$B,B58)&gt;Settings!$B$9,"Weekly ordinary hrs &gt;45",""),IF(SUMIFS(Claims!$H:$H,Claims!$C:$C,C58,Claims!$B:$B,B58)&gt;Settings!$B$10,"Weekly OT &gt;10",""),IF(AND(G58&lt;&gt;"Off",COUNTIFS($C:$C,C58,$A:$A,A58-1,$G:$G,"Night")&gt;0),"Rest &lt;12h after night shift",""),IF(J58&gt;5,"Meal interval required","")))</f>
        <v>#NAME?</v>
      </c>
      <c r="O58" s="25" t="s">
        <v>112</v>
      </c>
      <c r="P58" s="25"/>
    </row>
    <row r="59" spans="1:16" x14ac:dyDescent="0.35">
      <c r="A59" s="31">
        <f>IF(2+1&lt;=Settings!$B$7,Settings!$B$6+2,"")</f>
        <v>46145</v>
      </c>
      <c r="B59" s="31">
        <f t="shared" si="0"/>
        <v>46139</v>
      </c>
      <c r="C59" s="26" t="str">
        <f>IF(Employees!A19="","",Employees!A19)</f>
        <v/>
      </c>
      <c r="D59" s="26" t="str">
        <f>IF(C59="","",Employees!B19)</f>
        <v/>
      </c>
      <c r="E59" s="26" t="str">
        <f>IF(C59="","",Employees!C19)</f>
        <v/>
      </c>
      <c r="F59" s="26">
        <f>IF(A59="","",MOD(A59-Settings!$B$6,4)+1)</f>
        <v>3</v>
      </c>
      <c r="G59" s="26" t="str">
        <f>IF(C59="","",INDEX(Rotation_Pattern!$B$4:$E$7,F59,MATCH(E59,{"A","B","C","D"},0)))</f>
        <v/>
      </c>
      <c r="H59" s="32" t="str">
        <f t="shared" si="1"/>
        <v/>
      </c>
      <c r="I59" s="32" t="str">
        <f>IF(OR(G59="Off",G59=""),"",H59+TIME(Settings!$B$8,0,0))</f>
        <v/>
      </c>
      <c r="J59" s="26">
        <f>IF(OR(G59="Off",G59=""),0,Settings!$B$8)</f>
        <v>0</v>
      </c>
      <c r="K59" s="25" t="s">
        <v>111</v>
      </c>
      <c r="L59" s="26" t="str">
        <f>IF(A59="","",IF(COUNTIF(Public_Holidays!$A$4:$A$80,A59)&gt;0,"Y","N"))</f>
        <v>N</v>
      </c>
      <c r="M59" s="26" t="str">
        <f t="shared" si="2"/>
        <v>Y</v>
      </c>
      <c r="N59" s="26" t="e">
        <f ca="1">IF(A59="","",_xludf.TEXTJOIN("; ",TRUE,IF(SUMIFS($J:$J,$C:$C,C59,$B:$B,B59)&gt;Settings!$B$9,"Weekly ordinary hrs &gt;45",""),IF(SUMIFS(Claims!$H:$H,Claims!$C:$C,C59,Claims!$B:$B,B59)&gt;Settings!$B$10,"Weekly OT &gt;10",""),IF(AND(G59&lt;&gt;"Off",COUNTIFS($C:$C,C59,$A:$A,A59-1,$G:$G,"Night")&gt;0),"Rest &lt;12h after night shift",""),IF(J59&gt;5,"Meal interval required","")))</f>
        <v>#NAME?</v>
      </c>
      <c r="O59" s="25" t="s">
        <v>112</v>
      </c>
      <c r="P59" s="25"/>
    </row>
    <row r="60" spans="1:16" x14ac:dyDescent="0.35">
      <c r="A60" s="31">
        <f>IF(2+1&lt;=Settings!$B$7,Settings!$B$6+2,"")</f>
        <v>46145</v>
      </c>
      <c r="B60" s="31">
        <f t="shared" si="0"/>
        <v>46139</v>
      </c>
      <c r="C60" s="26" t="str">
        <f>IF(Employees!A20="","",Employees!A20)</f>
        <v/>
      </c>
      <c r="D60" s="26" t="str">
        <f>IF(C60="","",Employees!B20)</f>
        <v/>
      </c>
      <c r="E60" s="26" t="str">
        <f>IF(C60="","",Employees!C20)</f>
        <v/>
      </c>
      <c r="F60" s="26">
        <f>IF(A60="","",MOD(A60-Settings!$B$6,4)+1)</f>
        <v>3</v>
      </c>
      <c r="G60" s="26" t="str">
        <f>IF(C60="","",INDEX(Rotation_Pattern!$B$4:$E$7,F60,MATCH(E60,{"A","B","C","D"},0)))</f>
        <v/>
      </c>
      <c r="H60" s="32" t="str">
        <f t="shared" si="1"/>
        <v/>
      </c>
      <c r="I60" s="32" t="str">
        <f>IF(OR(G60="Off",G60=""),"",H60+TIME(Settings!$B$8,0,0))</f>
        <v/>
      </c>
      <c r="J60" s="26">
        <f>IF(OR(G60="Off",G60=""),0,Settings!$B$8)</f>
        <v>0</v>
      </c>
      <c r="K60" s="25" t="s">
        <v>111</v>
      </c>
      <c r="L60" s="26" t="str">
        <f>IF(A60="","",IF(COUNTIF(Public_Holidays!$A$4:$A$80,A60)&gt;0,"Y","N"))</f>
        <v>N</v>
      </c>
      <c r="M60" s="26" t="str">
        <f t="shared" si="2"/>
        <v>Y</v>
      </c>
      <c r="N60" s="26" t="e">
        <f ca="1">IF(A60="","",_xludf.TEXTJOIN("; ",TRUE,IF(SUMIFS($J:$J,$C:$C,C60,$B:$B,B60)&gt;Settings!$B$9,"Weekly ordinary hrs &gt;45",""),IF(SUMIFS(Claims!$H:$H,Claims!$C:$C,C60,Claims!$B:$B,B60)&gt;Settings!$B$10,"Weekly OT &gt;10",""),IF(AND(G60&lt;&gt;"Off",COUNTIFS($C:$C,C60,$A:$A,A60-1,$G:$G,"Night")&gt;0),"Rest &lt;12h after night shift",""),IF(J60&gt;5,"Meal interval required","")))</f>
        <v>#NAME?</v>
      </c>
      <c r="O60" s="25" t="s">
        <v>112</v>
      </c>
      <c r="P60" s="25"/>
    </row>
    <row r="61" spans="1:16" x14ac:dyDescent="0.35">
      <c r="A61" s="31">
        <f>IF(2+1&lt;=Settings!$B$7,Settings!$B$6+2,"")</f>
        <v>46145</v>
      </c>
      <c r="B61" s="31">
        <f t="shared" si="0"/>
        <v>46139</v>
      </c>
      <c r="C61" s="26" t="str">
        <f>IF(Employees!A21="","",Employees!A21)</f>
        <v/>
      </c>
      <c r="D61" s="26" t="str">
        <f>IF(C61="","",Employees!B21)</f>
        <v/>
      </c>
      <c r="E61" s="26" t="str">
        <f>IF(C61="","",Employees!C21)</f>
        <v/>
      </c>
      <c r="F61" s="26">
        <f>IF(A61="","",MOD(A61-Settings!$B$6,4)+1)</f>
        <v>3</v>
      </c>
      <c r="G61" s="26" t="str">
        <f>IF(C61="","",INDEX(Rotation_Pattern!$B$4:$E$7,F61,MATCH(E61,{"A","B","C","D"},0)))</f>
        <v/>
      </c>
      <c r="H61" s="32" t="str">
        <f t="shared" si="1"/>
        <v/>
      </c>
      <c r="I61" s="32" t="str">
        <f>IF(OR(G61="Off",G61=""),"",H61+TIME(Settings!$B$8,0,0))</f>
        <v/>
      </c>
      <c r="J61" s="26">
        <f>IF(OR(G61="Off",G61=""),0,Settings!$B$8)</f>
        <v>0</v>
      </c>
      <c r="K61" s="25" t="s">
        <v>111</v>
      </c>
      <c r="L61" s="26" t="str">
        <f>IF(A61="","",IF(COUNTIF(Public_Holidays!$A$4:$A$80,A61)&gt;0,"Y","N"))</f>
        <v>N</v>
      </c>
      <c r="M61" s="26" t="str">
        <f t="shared" si="2"/>
        <v>Y</v>
      </c>
      <c r="N61" s="26" t="e">
        <f ca="1">IF(A61="","",_xludf.TEXTJOIN("; ",TRUE,IF(SUMIFS($J:$J,$C:$C,C61,$B:$B,B61)&gt;Settings!$B$9,"Weekly ordinary hrs &gt;45",""),IF(SUMIFS(Claims!$H:$H,Claims!$C:$C,C61,Claims!$B:$B,B61)&gt;Settings!$B$10,"Weekly OT &gt;10",""),IF(AND(G61&lt;&gt;"Off",COUNTIFS($C:$C,C61,$A:$A,A61-1,$G:$G,"Night")&gt;0),"Rest &lt;12h after night shift",""),IF(J61&gt;5,"Meal interval required","")))</f>
        <v>#NAME?</v>
      </c>
      <c r="O61" s="25" t="s">
        <v>112</v>
      </c>
      <c r="P61" s="25"/>
    </row>
    <row r="62" spans="1:16" x14ac:dyDescent="0.35">
      <c r="A62" s="31">
        <f>IF(2+1&lt;=Settings!$B$7,Settings!$B$6+2,"")</f>
        <v>46145</v>
      </c>
      <c r="B62" s="31">
        <f t="shared" si="0"/>
        <v>46139</v>
      </c>
      <c r="C62" s="26" t="str">
        <f>IF(Employees!A22="","",Employees!A22)</f>
        <v/>
      </c>
      <c r="D62" s="26" t="str">
        <f>IF(C62="","",Employees!B22)</f>
        <v/>
      </c>
      <c r="E62" s="26" t="str">
        <f>IF(C62="","",Employees!C22)</f>
        <v/>
      </c>
      <c r="F62" s="26">
        <f>IF(A62="","",MOD(A62-Settings!$B$6,4)+1)</f>
        <v>3</v>
      </c>
      <c r="G62" s="26" t="str">
        <f>IF(C62="","",INDEX(Rotation_Pattern!$B$4:$E$7,F62,MATCH(E62,{"A","B","C","D"},0)))</f>
        <v/>
      </c>
      <c r="H62" s="32" t="str">
        <f t="shared" si="1"/>
        <v/>
      </c>
      <c r="I62" s="32" t="str">
        <f>IF(OR(G62="Off",G62=""),"",H62+TIME(Settings!$B$8,0,0))</f>
        <v/>
      </c>
      <c r="J62" s="26">
        <f>IF(OR(G62="Off",G62=""),0,Settings!$B$8)</f>
        <v>0</v>
      </c>
      <c r="K62" s="25" t="s">
        <v>111</v>
      </c>
      <c r="L62" s="26" t="str">
        <f>IF(A62="","",IF(COUNTIF(Public_Holidays!$A$4:$A$80,A62)&gt;0,"Y","N"))</f>
        <v>N</v>
      </c>
      <c r="M62" s="26" t="str">
        <f t="shared" si="2"/>
        <v>Y</v>
      </c>
      <c r="N62" s="26" t="e">
        <f ca="1">IF(A62="","",_xludf.TEXTJOIN("; ",TRUE,IF(SUMIFS($J:$J,$C:$C,C62,$B:$B,B62)&gt;Settings!$B$9,"Weekly ordinary hrs &gt;45",""),IF(SUMIFS(Claims!$H:$H,Claims!$C:$C,C62,Claims!$B:$B,B62)&gt;Settings!$B$10,"Weekly OT &gt;10",""),IF(AND(G62&lt;&gt;"Off",COUNTIFS($C:$C,C62,$A:$A,A62-1,$G:$G,"Night")&gt;0),"Rest &lt;12h after night shift",""),IF(J62&gt;5,"Meal interval required","")))</f>
        <v>#NAME?</v>
      </c>
      <c r="O62" s="25" t="s">
        <v>112</v>
      </c>
      <c r="P62" s="25"/>
    </row>
    <row r="63" spans="1:16" x14ac:dyDescent="0.35">
      <c r="A63" s="31">
        <f>IF(2+1&lt;=Settings!$B$7,Settings!$B$6+2,"")</f>
        <v>46145</v>
      </c>
      <c r="B63" s="31">
        <f t="shared" si="0"/>
        <v>46139</v>
      </c>
      <c r="C63" s="26" t="str">
        <f>IF(Employees!A23="","",Employees!A23)</f>
        <v/>
      </c>
      <c r="D63" s="26" t="str">
        <f>IF(C63="","",Employees!B23)</f>
        <v/>
      </c>
      <c r="E63" s="26" t="str">
        <f>IF(C63="","",Employees!C23)</f>
        <v/>
      </c>
      <c r="F63" s="26">
        <f>IF(A63="","",MOD(A63-Settings!$B$6,4)+1)</f>
        <v>3</v>
      </c>
      <c r="G63" s="26" t="str">
        <f>IF(C63="","",INDEX(Rotation_Pattern!$B$4:$E$7,F63,MATCH(E63,{"A","B","C","D"},0)))</f>
        <v/>
      </c>
      <c r="H63" s="32" t="str">
        <f t="shared" si="1"/>
        <v/>
      </c>
      <c r="I63" s="32" t="str">
        <f>IF(OR(G63="Off",G63=""),"",H63+TIME(Settings!$B$8,0,0))</f>
        <v/>
      </c>
      <c r="J63" s="26">
        <f>IF(OR(G63="Off",G63=""),0,Settings!$B$8)</f>
        <v>0</v>
      </c>
      <c r="K63" s="25" t="s">
        <v>111</v>
      </c>
      <c r="L63" s="26" t="str">
        <f>IF(A63="","",IF(COUNTIF(Public_Holidays!$A$4:$A$80,A63)&gt;0,"Y","N"))</f>
        <v>N</v>
      </c>
      <c r="M63" s="26" t="str">
        <f t="shared" si="2"/>
        <v>Y</v>
      </c>
      <c r="N63" s="26" t="e">
        <f ca="1">IF(A63="","",_xludf.TEXTJOIN("; ",TRUE,IF(SUMIFS($J:$J,$C:$C,C63,$B:$B,B63)&gt;Settings!$B$9,"Weekly ordinary hrs &gt;45",""),IF(SUMIFS(Claims!$H:$H,Claims!$C:$C,C63,Claims!$B:$B,B63)&gt;Settings!$B$10,"Weekly OT &gt;10",""),IF(AND(G63&lt;&gt;"Off",COUNTIFS($C:$C,C63,$A:$A,A63-1,$G:$G,"Night")&gt;0),"Rest &lt;12h after night shift",""),IF(J63&gt;5,"Meal interval required","")))</f>
        <v>#NAME?</v>
      </c>
      <c r="O63" s="25" t="s">
        <v>112</v>
      </c>
      <c r="P63" s="25"/>
    </row>
    <row r="64" spans="1:16" x14ac:dyDescent="0.35">
      <c r="A64" s="31">
        <f>IF(3+1&lt;=Settings!$B$7,Settings!$B$6+3,"")</f>
        <v>46146</v>
      </c>
      <c r="B64" s="31">
        <f t="shared" si="0"/>
        <v>46146</v>
      </c>
      <c r="C64" s="26" t="str">
        <f>IF(Employees!A4="","",Employees!A4)</f>
        <v>E001</v>
      </c>
      <c r="D64" s="26" t="str">
        <f>IF(C64="","",Employees!B4)</f>
        <v>Musiwa Khavalani</v>
      </c>
      <c r="E64" s="26">
        <f>IF(C64="","",Employees!C4)</f>
        <v>0</v>
      </c>
      <c r="F64" s="26">
        <f>IF(A64="","",MOD(A64-Settings!$B$6,4)+1)</f>
        <v>4</v>
      </c>
      <c r="G64" s="26" t="e">
        <f>IF(C64="","",INDEX(Rotation_Pattern!$B$4:$E$7,F64,MATCH(E64,{"A","B","C","D"},0)))</f>
        <v>#N/A</v>
      </c>
      <c r="H64" s="32" t="e">
        <f t="shared" si="1"/>
        <v>#N/A</v>
      </c>
      <c r="I64" s="32" t="e">
        <f>IF(OR(G64="Off",G64=""),"",H64+TIME(Settings!$B$8,0,0))</f>
        <v>#N/A</v>
      </c>
      <c r="J64" s="26" t="e">
        <f>IF(OR(G64="Off",G64=""),0,Settings!$B$8)</f>
        <v>#N/A</v>
      </c>
      <c r="K64" s="25" t="s">
        <v>111</v>
      </c>
      <c r="L64" s="26" t="str">
        <f>IF(A64="","",IF(COUNTIF(Public_Holidays!$A$4:$A$80,A64)&gt;0,"Y","N"))</f>
        <v>N</v>
      </c>
      <c r="M64" s="26" t="str">
        <f t="shared" si="2"/>
        <v>N</v>
      </c>
      <c r="N64" s="26" t="e">
        <f ca="1">IF(A64="","",_xludf.TEXTJOIN("; ",TRUE,IF(SUMIFS($J:$J,$C:$C,C64,$B:$B,B64)&gt;Settings!$B$9,"Weekly ordinary hrs &gt;45",""),IF(SUMIFS(Claims!$H:$H,Claims!$C:$C,C64,Claims!$B:$B,B64)&gt;Settings!$B$10,"Weekly OT &gt;10",""),IF(AND(G64&lt;&gt;"Off",COUNTIFS($C:$C,C64,$A:$A,A64-1,$G:$G,"Night")&gt;0),"Rest &lt;12h after night shift",""),IF(J64&gt;5,"Meal interval required","")))</f>
        <v>#NAME?</v>
      </c>
      <c r="O64" s="25" t="s">
        <v>112</v>
      </c>
      <c r="P64" s="25"/>
    </row>
    <row r="65" spans="1:16" x14ac:dyDescent="0.35">
      <c r="A65" s="31">
        <f>IF(3+1&lt;=Settings!$B$7,Settings!$B$6+3,"")</f>
        <v>46146</v>
      </c>
      <c r="B65" s="31">
        <f t="shared" si="0"/>
        <v>46146</v>
      </c>
      <c r="C65" s="26" t="str">
        <f>IF(Employees!A5="","",Employees!A5)</f>
        <v>E002</v>
      </c>
      <c r="D65" s="26" t="str">
        <f>IF(C65="","",Employees!B5)</f>
        <v>Mpho  Nembemhia</v>
      </c>
      <c r="E65" s="26" t="str">
        <f>IF(C65="","",Employees!C5)</f>
        <v>B</v>
      </c>
      <c r="F65" s="26">
        <f>IF(A65="","",MOD(A65-Settings!$B$6,4)+1)</f>
        <v>4</v>
      </c>
      <c r="G65" s="26" t="str">
        <f>IF(C65="","",INDEX(Rotation_Pattern!$B$4:$E$7,F65,MATCH(E65,{"A","B","C","D"},0)))</f>
        <v>Night</v>
      </c>
      <c r="H65" s="32">
        <f t="shared" si="1"/>
        <v>0.91666666666666663</v>
      </c>
      <c r="I65" s="32">
        <f>IF(OR(G65="Off",G65=""),"",H65+TIME(Settings!$B$8,0,0))</f>
        <v>1.25</v>
      </c>
      <c r="J65" s="26">
        <f>IF(OR(G65="Off",G65=""),0,Settings!$B$8)</f>
        <v>8</v>
      </c>
      <c r="K65" s="25" t="s">
        <v>111</v>
      </c>
      <c r="L65" s="26" t="str">
        <f>IF(A65="","",IF(COUNTIF(Public_Holidays!$A$4:$A$80,A65)&gt;0,"Y","N"))</f>
        <v>N</v>
      </c>
      <c r="M65" s="26" t="str">
        <f t="shared" si="2"/>
        <v>N</v>
      </c>
      <c r="N65" s="26" t="e">
        <f ca="1">IF(A65="","",_xludf.TEXTJOIN("; ",TRUE,IF(SUMIFS($J:$J,$C:$C,C65,$B:$B,B65)&gt;Settings!$B$9,"Weekly ordinary hrs &gt;45",""),IF(SUMIFS(Claims!$H:$H,Claims!$C:$C,C65,Claims!$B:$B,B65)&gt;Settings!$B$10,"Weekly OT &gt;10",""),IF(AND(G65&lt;&gt;"Off",COUNTIFS($C:$C,C65,$A:$A,A65-1,$G:$G,"Night")&gt;0),"Rest &lt;12h after night shift",""),IF(J65&gt;5,"Meal interval required","")))</f>
        <v>#NAME?</v>
      </c>
      <c r="O65" s="25" t="s">
        <v>112</v>
      </c>
      <c r="P65" s="25"/>
    </row>
    <row r="66" spans="1:16" x14ac:dyDescent="0.35">
      <c r="A66" s="31">
        <f>IF(3+1&lt;=Settings!$B$7,Settings!$B$6+3,"")</f>
        <v>46146</v>
      </c>
      <c r="B66" s="31">
        <f t="shared" si="0"/>
        <v>46146</v>
      </c>
      <c r="C66" s="26" t="str">
        <f>IF(Employees!A6="","",Employees!A6)</f>
        <v>E003</v>
      </c>
      <c r="D66" s="26" t="str">
        <f>IF(C66="","",Employees!B6)</f>
        <v>Dimpho Makhafola</v>
      </c>
      <c r="E66" s="26" t="str">
        <f>IF(C66="","",Employees!C6)</f>
        <v>C</v>
      </c>
      <c r="F66" s="26">
        <f>IF(A66="","",MOD(A66-Settings!$B$6,4)+1)</f>
        <v>4</v>
      </c>
      <c r="G66" s="26" t="str">
        <f>IF(C66="","",INDEX(Rotation_Pattern!$B$4:$E$7,F66,MATCH(E66,{"A","B","C","D"},0)))</f>
        <v>Evening</v>
      </c>
      <c r="H66" s="32">
        <f t="shared" si="1"/>
        <v>0.58333333333333337</v>
      </c>
      <c r="I66" s="32">
        <f>IF(OR(G66="Off",G66=""),"",H66+TIME(Settings!$B$8,0,0))</f>
        <v>0.91666666666666674</v>
      </c>
      <c r="J66" s="26">
        <f>IF(OR(G66="Off",G66=""),0,Settings!$B$8)</f>
        <v>8</v>
      </c>
      <c r="K66" s="25" t="s">
        <v>111</v>
      </c>
      <c r="L66" s="26" t="str">
        <f>IF(A66="","",IF(COUNTIF(Public_Holidays!$A$4:$A$80,A66)&gt;0,"Y","N"))</f>
        <v>N</v>
      </c>
      <c r="M66" s="26" t="str">
        <f t="shared" si="2"/>
        <v>N</v>
      </c>
      <c r="N66" s="26" t="e">
        <f ca="1">IF(A66="","",_xludf.TEXTJOIN("; ",TRUE,IF(SUMIFS($J:$J,$C:$C,C66,$B:$B,B66)&gt;Settings!$B$9,"Weekly ordinary hrs &gt;45",""),IF(SUMIFS(Claims!$H:$H,Claims!$C:$C,C66,Claims!$B:$B,B66)&gt;Settings!$B$10,"Weekly OT &gt;10",""),IF(AND(G66&lt;&gt;"Off",COUNTIFS($C:$C,C66,$A:$A,A66-1,$G:$G,"Night")&gt;0),"Rest &lt;12h after night shift",""),IF(J66&gt;5,"Meal interval required","")))</f>
        <v>#NAME?</v>
      </c>
      <c r="O66" s="25" t="s">
        <v>112</v>
      </c>
      <c r="P66" s="25"/>
    </row>
    <row r="67" spans="1:16" x14ac:dyDescent="0.35">
      <c r="A67" s="31">
        <f>IF(3+1&lt;=Settings!$B$7,Settings!$B$6+3,"")</f>
        <v>46146</v>
      </c>
      <c r="B67" s="31">
        <f t="shared" si="0"/>
        <v>46146</v>
      </c>
      <c r="C67" s="26" t="str">
        <f>IF(Employees!A7="","",Employees!A7)</f>
        <v>E004</v>
      </c>
      <c r="D67" s="26" t="str">
        <f>IF(C67="","",Employees!B7)</f>
        <v>Bashii Fall</v>
      </c>
      <c r="E67" s="26" t="str">
        <f>IF(C67="","",Employees!C7)</f>
        <v>D</v>
      </c>
      <c r="F67" s="26">
        <f>IF(A67="","",MOD(A67-Settings!$B$6,4)+1)</f>
        <v>4</v>
      </c>
      <c r="G67" s="26" t="str">
        <f>IF(C67="","",INDEX(Rotation_Pattern!$B$4:$E$7,F67,MATCH(E67,{"A","B","C","D"},0)))</f>
        <v>Day</v>
      </c>
      <c r="H67" s="32">
        <f t="shared" si="1"/>
        <v>0.25</v>
      </c>
      <c r="I67" s="32">
        <f>IF(OR(G67="Off",G67=""),"",H67+TIME(Settings!$B$8,0,0))</f>
        <v>0.58333333333333326</v>
      </c>
      <c r="J67" s="26">
        <f>IF(OR(G67="Off",G67=""),0,Settings!$B$8)</f>
        <v>8</v>
      </c>
      <c r="K67" s="25" t="s">
        <v>111</v>
      </c>
      <c r="L67" s="26" t="str">
        <f>IF(A67="","",IF(COUNTIF(Public_Holidays!$A$4:$A$80,A67)&gt;0,"Y","N"))</f>
        <v>N</v>
      </c>
      <c r="M67" s="26" t="str">
        <f t="shared" si="2"/>
        <v>N</v>
      </c>
      <c r="N67" s="26" t="e">
        <f ca="1">IF(A67="","",_xludf.TEXTJOIN("; ",TRUE,IF(SUMIFS($J:$J,$C:$C,C67,$B:$B,B67)&gt;Settings!$B$9,"Weekly ordinary hrs &gt;45",""),IF(SUMIFS(Claims!$H:$H,Claims!$C:$C,C67,Claims!$B:$B,B67)&gt;Settings!$B$10,"Weekly OT &gt;10",""),IF(AND(G67&lt;&gt;"Off",COUNTIFS($C:$C,C67,$A:$A,A67-1,$G:$G,"Night")&gt;0),"Rest &lt;12h after night shift",""),IF(J67&gt;5,"Meal interval required","")))</f>
        <v>#NAME?</v>
      </c>
      <c r="O67" s="25" t="s">
        <v>112</v>
      </c>
      <c r="P67" s="25"/>
    </row>
    <row r="68" spans="1:16" x14ac:dyDescent="0.35">
      <c r="A68" s="31">
        <f>IF(3+1&lt;=Settings!$B$7,Settings!$B$6+3,"")</f>
        <v>46146</v>
      </c>
      <c r="B68" s="31">
        <f t="shared" ref="B68:B131" si="3">IF(A68="","",A68-WEEKDAY(A68,2)+1)</f>
        <v>46146</v>
      </c>
      <c r="C68" s="26" t="str">
        <f>IF(Employees!A8="","",Employees!A8)</f>
        <v>E005</v>
      </c>
      <c r="D68" s="26" t="str">
        <f>IF(C68="","",Employees!B8)</f>
        <v>Lesego Aphane</v>
      </c>
      <c r="E68" s="26" t="str">
        <f>IF(C68="","",Employees!C8)</f>
        <v>A</v>
      </c>
      <c r="F68" s="26">
        <f>IF(A68="","",MOD(A68-Settings!$B$6,4)+1)</f>
        <v>4</v>
      </c>
      <c r="G68" s="26" t="str">
        <f>IF(C68="","",INDEX(Rotation_Pattern!$B$4:$E$7,F68,MATCH(E68,{"A","B","C","D"},0)))</f>
        <v>Off</v>
      </c>
      <c r="H68" s="32" t="str">
        <f t="shared" ref="H68:H131" si="4">IF(OR(G68="Off",G68=""),"",IF(G68="Day",TIME(6,0,0),IF(G68="Evening",TIME(14,0,0),TIME(22,0,0))))</f>
        <v/>
      </c>
      <c r="I68" s="32" t="str">
        <f>IF(OR(G68="Off",G68=""),"",H68+TIME(Settings!$B$8,0,0))</f>
        <v/>
      </c>
      <c r="J68" s="26">
        <f>IF(OR(G68="Off",G68=""),0,Settings!$B$8)</f>
        <v>0</v>
      </c>
      <c r="K68" s="25" t="s">
        <v>111</v>
      </c>
      <c r="L68" s="26" t="str">
        <f>IF(A68="","",IF(COUNTIF(Public_Holidays!$A$4:$A$80,A68)&gt;0,"Y","N"))</f>
        <v>N</v>
      </c>
      <c r="M68" s="26" t="str">
        <f t="shared" ref="M68:M131" si="5">IF(A68="","",IF(WEEKDAY(A68,2)=7,"Y","N"))</f>
        <v>N</v>
      </c>
      <c r="N68" s="26" t="e">
        <f ca="1">IF(A68="","",_xludf.TEXTJOIN("; ",TRUE,IF(SUMIFS($J:$J,$C:$C,C68,$B:$B,B68)&gt;Settings!$B$9,"Weekly ordinary hrs &gt;45",""),IF(SUMIFS(Claims!$H:$H,Claims!$C:$C,C68,Claims!$B:$B,B68)&gt;Settings!$B$10,"Weekly OT &gt;10",""),IF(AND(G68&lt;&gt;"Off",COUNTIFS($C:$C,C68,$A:$A,A68-1,$G:$G,"Night")&gt;0),"Rest &lt;12h after night shift",""),IF(J68&gt;5,"Meal interval required","")))</f>
        <v>#NAME?</v>
      </c>
      <c r="O68" s="25" t="s">
        <v>112</v>
      </c>
      <c r="P68" s="25"/>
    </row>
    <row r="69" spans="1:16" x14ac:dyDescent="0.35">
      <c r="A69" s="31">
        <f>IF(3+1&lt;=Settings!$B$7,Settings!$B$6+3,"")</f>
        <v>46146</v>
      </c>
      <c r="B69" s="31">
        <f t="shared" si="3"/>
        <v>46146</v>
      </c>
      <c r="C69" s="26" t="str">
        <f>IF(Employees!A9="","",Employees!A9)</f>
        <v>E006</v>
      </c>
      <c r="D69" s="26" t="str">
        <f>IF(C69="","",Employees!B9)</f>
        <v>Nhalnahla</v>
      </c>
      <c r="E69" s="26" t="str">
        <f>IF(C69="","",Employees!C9)</f>
        <v>B</v>
      </c>
      <c r="F69" s="26">
        <f>IF(A69="","",MOD(A69-Settings!$B$6,4)+1)</f>
        <v>4</v>
      </c>
      <c r="G69" s="26" t="str">
        <f>IF(C69="","",INDEX(Rotation_Pattern!$B$4:$E$7,F69,MATCH(E69,{"A","B","C","D"},0)))</f>
        <v>Night</v>
      </c>
      <c r="H69" s="32">
        <f t="shared" si="4"/>
        <v>0.91666666666666663</v>
      </c>
      <c r="I69" s="32">
        <f>IF(OR(G69="Off",G69=""),"",H69+TIME(Settings!$B$8,0,0))</f>
        <v>1.25</v>
      </c>
      <c r="J69" s="26">
        <f>IF(OR(G69="Off",G69=""),0,Settings!$B$8)</f>
        <v>8</v>
      </c>
      <c r="K69" s="25" t="s">
        <v>111</v>
      </c>
      <c r="L69" s="26" t="str">
        <f>IF(A69="","",IF(COUNTIF(Public_Holidays!$A$4:$A$80,A69)&gt;0,"Y","N"))</f>
        <v>N</v>
      </c>
      <c r="M69" s="26" t="str">
        <f t="shared" si="5"/>
        <v>N</v>
      </c>
      <c r="N69" s="26" t="e">
        <f ca="1">IF(A69="","",_xludf.TEXTJOIN("; ",TRUE,IF(SUMIFS($J:$J,$C:$C,C69,$B:$B,B69)&gt;Settings!$B$9,"Weekly ordinary hrs &gt;45",""),IF(SUMIFS(Claims!$H:$H,Claims!$C:$C,C69,Claims!$B:$B,B69)&gt;Settings!$B$10,"Weekly OT &gt;10",""),IF(AND(G69&lt;&gt;"Off",COUNTIFS($C:$C,C69,$A:$A,A69-1,$G:$G,"Night")&gt;0),"Rest &lt;12h after night shift",""),IF(J69&gt;5,"Meal interval required","")))</f>
        <v>#NAME?</v>
      </c>
      <c r="O69" s="25" t="s">
        <v>112</v>
      </c>
      <c r="P69" s="25"/>
    </row>
    <row r="70" spans="1:16" x14ac:dyDescent="0.35">
      <c r="A70" s="31">
        <f>IF(3+1&lt;=Settings!$B$7,Settings!$B$6+3,"")</f>
        <v>46146</v>
      </c>
      <c r="B70" s="31">
        <f t="shared" si="3"/>
        <v>46146</v>
      </c>
      <c r="C70" s="26" t="str">
        <f>IF(Employees!A10="","",Employees!A10)</f>
        <v>E007</v>
      </c>
      <c r="D70" s="26" t="str">
        <f>IF(C70="","",Employees!B10)</f>
        <v>Joe</v>
      </c>
      <c r="E70" s="26" t="str">
        <f>IF(C70="","",Employees!C10)</f>
        <v>C</v>
      </c>
      <c r="F70" s="26">
        <f>IF(A70="","",MOD(A70-Settings!$B$6,4)+1)</f>
        <v>4</v>
      </c>
      <c r="G70" s="26" t="str">
        <f>IF(C70="","",INDEX(Rotation_Pattern!$B$4:$E$7,F70,MATCH(E70,{"A","B","C","D"},0)))</f>
        <v>Evening</v>
      </c>
      <c r="H70" s="32">
        <f t="shared" si="4"/>
        <v>0.58333333333333337</v>
      </c>
      <c r="I70" s="32">
        <f>IF(OR(G70="Off",G70=""),"",H70+TIME(Settings!$B$8,0,0))</f>
        <v>0.91666666666666674</v>
      </c>
      <c r="J70" s="26">
        <f>IF(OR(G70="Off",G70=""),0,Settings!$B$8)</f>
        <v>8</v>
      </c>
      <c r="K70" s="25" t="s">
        <v>111</v>
      </c>
      <c r="L70" s="26" t="str">
        <f>IF(A70="","",IF(COUNTIF(Public_Holidays!$A$4:$A$80,A70)&gt;0,"Y","N"))</f>
        <v>N</v>
      </c>
      <c r="M70" s="26" t="str">
        <f t="shared" si="5"/>
        <v>N</v>
      </c>
      <c r="N70" s="26" t="e">
        <f ca="1">IF(A70="","",_xludf.TEXTJOIN("; ",TRUE,IF(SUMIFS($J:$J,$C:$C,C70,$B:$B,B70)&gt;Settings!$B$9,"Weekly ordinary hrs &gt;45",""),IF(SUMIFS(Claims!$H:$H,Claims!$C:$C,C70,Claims!$B:$B,B70)&gt;Settings!$B$10,"Weekly OT &gt;10",""),IF(AND(G70&lt;&gt;"Off",COUNTIFS($C:$C,C70,$A:$A,A70-1,$G:$G,"Night")&gt;0),"Rest &lt;12h after night shift",""),IF(J70&gt;5,"Meal interval required","")))</f>
        <v>#NAME?</v>
      </c>
      <c r="O70" s="25" t="s">
        <v>112</v>
      </c>
      <c r="P70" s="25"/>
    </row>
    <row r="71" spans="1:16" x14ac:dyDescent="0.35">
      <c r="A71" s="31">
        <f>IF(3+1&lt;=Settings!$B$7,Settings!$B$6+3,"")</f>
        <v>46146</v>
      </c>
      <c r="B71" s="31">
        <f t="shared" si="3"/>
        <v>46146</v>
      </c>
      <c r="C71" s="26" t="str">
        <f>IF(Employees!A11="","",Employees!A11)</f>
        <v>E008</v>
      </c>
      <c r="D71" s="26" t="str">
        <f>IF(C71="","",Employees!B11)</f>
        <v>Tim</v>
      </c>
      <c r="E71" s="26" t="str">
        <f>IF(C71="","",Employees!C11)</f>
        <v>D</v>
      </c>
      <c r="F71" s="26">
        <f>IF(A71="","",MOD(A71-Settings!$B$6,4)+1)</f>
        <v>4</v>
      </c>
      <c r="G71" s="26" t="str">
        <f>IF(C71="","",INDEX(Rotation_Pattern!$B$4:$E$7,F71,MATCH(E71,{"A","B","C","D"},0)))</f>
        <v>Day</v>
      </c>
      <c r="H71" s="32">
        <f t="shared" si="4"/>
        <v>0.25</v>
      </c>
      <c r="I71" s="32">
        <f>IF(OR(G71="Off",G71=""),"",H71+TIME(Settings!$B$8,0,0))</f>
        <v>0.58333333333333326</v>
      </c>
      <c r="J71" s="26">
        <f>IF(OR(G71="Off",G71=""),0,Settings!$B$8)</f>
        <v>8</v>
      </c>
      <c r="K71" s="25" t="s">
        <v>111</v>
      </c>
      <c r="L71" s="26" t="str">
        <f>IF(A71="","",IF(COUNTIF(Public_Holidays!$A$4:$A$80,A71)&gt;0,"Y","N"))</f>
        <v>N</v>
      </c>
      <c r="M71" s="26" t="str">
        <f t="shared" si="5"/>
        <v>N</v>
      </c>
      <c r="N71" s="26" t="e">
        <f ca="1">IF(A71="","",_xludf.TEXTJOIN("; ",TRUE,IF(SUMIFS($J:$J,$C:$C,C71,$B:$B,B71)&gt;Settings!$B$9,"Weekly ordinary hrs &gt;45",""),IF(SUMIFS(Claims!$H:$H,Claims!$C:$C,C71,Claims!$B:$B,B71)&gt;Settings!$B$10,"Weekly OT &gt;10",""),IF(AND(G71&lt;&gt;"Off",COUNTIFS($C:$C,C71,$A:$A,A71-1,$G:$G,"Night")&gt;0),"Rest &lt;12h after night shift",""),IF(J71&gt;5,"Meal interval required","")))</f>
        <v>#NAME?</v>
      </c>
      <c r="O71" s="25" t="s">
        <v>112</v>
      </c>
      <c r="P71" s="25"/>
    </row>
    <row r="72" spans="1:16" x14ac:dyDescent="0.35">
      <c r="A72" s="31">
        <f>IF(3+1&lt;=Settings!$B$7,Settings!$B$6+3,"")</f>
        <v>46146</v>
      </c>
      <c r="B72" s="31">
        <f t="shared" si="3"/>
        <v>46146</v>
      </c>
      <c r="C72" s="26" t="str">
        <f>IF(Employees!A12="","",Employees!A12)</f>
        <v>E009</v>
      </c>
      <c r="D72" s="26" t="str">
        <f>IF(C72="","",Employees!B12)</f>
        <v>Frank</v>
      </c>
      <c r="E72" s="26" t="str">
        <f>IF(C72="","",Employees!C12)</f>
        <v>A</v>
      </c>
      <c r="F72" s="26">
        <f>IF(A72="","",MOD(A72-Settings!$B$6,4)+1)</f>
        <v>4</v>
      </c>
      <c r="G72" s="26" t="str">
        <f>IF(C72="","",INDEX(Rotation_Pattern!$B$4:$E$7,F72,MATCH(E72,{"A","B","C","D"},0)))</f>
        <v>Off</v>
      </c>
      <c r="H72" s="32" t="str">
        <f t="shared" si="4"/>
        <v/>
      </c>
      <c r="I72" s="32" t="str">
        <f>IF(OR(G72="Off",G72=""),"",H72+TIME(Settings!$B$8,0,0))</f>
        <v/>
      </c>
      <c r="J72" s="26">
        <f>IF(OR(G72="Off",G72=""),0,Settings!$B$8)</f>
        <v>0</v>
      </c>
      <c r="K72" s="25" t="s">
        <v>111</v>
      </c>
      <c r="L72" s="26" t="str">
        <f>IF(A72="","",IF(COUNTIF(Public_Holidays!$A$4:$A$80,A72)&gt;0,"Y","N"))</f>
        <v>N</v>
      </c>
      <c r="M72" s="26" t="str">
        <f t="shared" si="5"/>
        <v>N</v>
      </c>
      <c r="N72" s="26" t="e">
        <f ca="1">IF(A72="","",_xludf.TEXTJOIN("; ",TRUE,IF(SUMIFS($J:$J,$C:$C,C72,$B:$B,B72)&gt;Settings!$B$9,"Weekly ordinary hrs &gt;45",""),IF(SUMIFS(Claims!$H:$H,Claims!$C:$C,C72,Claims!$B:$B,B72)&gt;Settings!$B$10,"Weekly OT &gt;10",""),IF(AND(G72&lt;&gt;"Off",COUNTIFS($C:$C,C72,$A:$A,A72-1,$G:$G,"Night")&gt;0),"Rest &lt;12h after night shift",""),IF(J72&gt;5,"Meal interval required","")))</f>
        <v>#NAME?</v>
      </c>
      <c r="O72" s="25" t="s">
        <v>112</v>
      </c>
      <c r="P72" s="25"/>
    </row>
    <row r="73" spans="1:16" x14ac:dyDescent="0.35">
      <c r="A73" s="31">
        <f>IF(3+1&lt;=Settings!$B$7,Settings!$B$6+3,"")</f>
        <v>46146</v>
      </c>
      <c r="B73" s="31">
        <f t="shared" si="3"/>
        <v>46146</v>
      </c>
      <c r="C73" s="26" t="str">
        <f>IF(Employees!A13="","",Employees!A13)</f>
        <v/>
      </c>
      <c r="D73" s="26" t="str">
        <f>IF(C73="","",Employees!B13)</f>
        <v/>
      </c>
      <c r="E73" s="26" t="str">
        <f>IF(C73="","",Employees!C13)</f>
        <v/>
      </c>
      <c r="F73" s="26">
        <f>IF(A73="","",MOD(A73-Settings!$B$6,4)+1)</f>
        <v>4</v>
      </c>
      <c r="G73" s="26" t="str">
        <f>IF(C73="","",INDEX(Rotation_Pattern!$B$4:$E$7,F73,MATCH(E73,{"A","B","C","D"},0)))</f>
        <v/>
      </c>
      <c r="H73" s="32" t="str">
        <f t="shared" si="4"/>
        <v/>
      </c>
      <c r="I73" s="32" t="str">
        <f>IF(OR(G73="Off",G73=""),"",H73+TIME(Settings!$B$8,0,0))</f>
        <v/>
      </c>
      <c r="J73" s="26">
        <f>IF(OR(G73="Off",G73=""),0,Settings!$B$8)</f>
        <v>0</v>
      </c>
      <c r="K73" s="25" t="s">
        <v>111</v>
      </c>
      <c r="L73" s="26" t="str">
        <f>IF(A73="","",IF(COUNTIF(Public_Holidays!$A$4:$A$80,A73)&gt;0,"Y","N"))</f>
        <v>N</v>
      </c>
      <c r="M73" s="26" t="str">
        <f t="shared" si="5"/>
        <v>N</v>
      </c>
      <c r="N73" s="26" t="e">
        <f ca="1">IF(A73="","",_xludf.TEXTJOIN("; ",TRUE,IF(SUMIFS($J:$J,$C:$C,C73,$B:$B,B73)&gt;Settings!$B$9,"Weekly ordinary hrs &gt;45",""),IF(SUMIFS(Claims!$H:$H,Claims!$C:$C,C73,Claims!$B:$B,B73)&gt;Settings!$B$10,"Weekly OT &gt;10",""),IF(AND(G73&lt;&gt;"Off",COUNTIFS($C:$C,C73,$A:$A,A73-1,$G:$G,"Night")&gt;0),"Rest &lt;12h after night shift",""),IF(J73&gt;5,"Meal interval required","")))</f>
        <v>#NAME?</v>
      </c>
      <c r="O73" s="25" t="s">
        <v>112</v>
      </c>
      <c r="P73" s="25"/>
    </row>
    <row r="74" spans="1:16" x14ac:dyDescent="0.35">
      <c r="A74" s="31">
        <f>IF(3+1&lt;=Settings!$B$7,Settings!$B$6+3,"")</f>
        <v>46146</v>
      </c>
      <c r="B74" s="31">
        <f t="shared" si="3"/>
        <v>46146</v>
      </c>
      <c r="C74" s="26" t="str">
        <f>IF(Employees!A14="","",Employees!A14)</f>
        <v/>
      </c>
      <c r="D74" s="26" t="str">
        <f>IF(C74="","",Employees!B14)</f>
        <v/>
      </c>
      <c r="E74" s="26" t="str">
        <f>IF(C74="","",Employees!C14)</f>
        <v/>
      </c>
      <c r="F74" s="26">
        <f>IF(A74="","",MOD(A74-Settings!$B$6,4)+1)</f>
        <v>4</v>
      </c>
      <c r="G74" s="26" t="str">
        <f>IF(C74="","",INDEX(Rotation_Pattern!$B$4:$E$7,F74,MATCH(E74,{"A","B","C","D"},0)))</f>
        <v/>
      </c>
      <c r="H74" s="32" t="str">
        <f t="shared" si="4"/>
        <v/>
      </c>
      <c r="I74" s="32" t="str">
        <f>IF(OR(G74="Off",G74=""),"",H74+TIME(Settings!$B$8,0,0))</f>
        <v/>
      </c>
      <c r="J74" s="26">
        <f>IF(OR(G74="Off",G74=""),0,Settings!$B$8)</f>
        <v>0</v>
      </c>
      <c r="K74" s="25" t="s">
        <v>111</v>
      </c>
      <c r="L74" s="26" t="str">
        <f>IF(A74="","",IF(COUNTIF(Public_Holidays!$A$4:$A$80,A74)&gt;0,"Y","N"))</f>
        <v>N</v>
      </c>
      <c r="M74" s="26" t="str">
        <f t="shared" si="5"/>
        <v>N</v>
      </c>
      <c r="N74" s="26" t="e">
        <f ca="1">IF(A74="","",_xludf.TEXTJOIN("; ",TRUE,IF(SUMIFS($J:$J,$C:$C,C74,$B:$B,B74)&gt;Settings!$B$9,"Weekly ordinary hrs &gt;45",""),IF(SUMIFS(Claims!$H:$H,Claims!$C:$C,C74,Claims!$B:$B,B74)&gt;Settings!$B$10,"Weekly OT &gt;10",""),IF(AND(G74&lt;&gt;"Off",COUNTIFS($C:$C,C74,$A:$A,A74-1,$G:$G,"Night")&gt;0),"Rest &lt;12h after night shift",""),IF(J74&gt;5,"Meal interval required","")))</f>
        <v>#NAME?</v>
      </c>
      <c r="O74" s="25" t="s">
        <v>112</v>
      </c>
      <c r="P74" s="25"/>
    </row>
    <row r="75" spans="1:16" x14ac:dyDescent="0.35">
      <c r="A75" s="31">
        <f>IF(3+1&lt;=Settings!$B$7,Settings!$B$6+3,"")</f>
        <v>46146</v>
      </c>
      <c r="B75" s="31">
        <f t="shared" si="3"/>
        <v>46146</v>
      </c>
      <c r="C75" s="26" t="str">
        <f>IF(Employees!A15="","",Employees!A15)</f>
        <v/>
      </c>
      <c r="D75" s="26" t="str">
        <f>IF(C75="","",Employees!B15)</f>
        <v/>
      </c>
      <c r="E75" s="26" t="str">
        <f>IF(C75="","",Employees!C15)</f>
        <v/>
      </c>
      <c r="F75" s="26">
        <f>IF(A75="","",MOD(A75-Settings!$B$6,4)+1)</f>
        <v>4</v>
      </c>
      <c r="G75" s="26" t="str">
        <f>IF(C75="","",INDEX(Rotation_Pattern!$B$4:$E$7,F75,MATCH(E75,{"A","B","C","D"},0)))</f>
        <v/>
      </c>
      <c r="H75" s="32" t="str">
        <f t="shared" si="4"/>
        <v/>
      </c>
      <c r="I75" s="32" t="str">
        <f>IF(OR(G75="Off",G75=""),"",H75+TIME(Settings!$B$8,0,0))</f>
        <v/>
      </c>
      <c r="J75" s="26">
        <f>IF(OR(G75="Off",G75=""),0,Settings!$B$8)</f>
        <v>0</v>
      </c>
      <c r="K75" s="25" t="s">
        <v>111</v>
      </c>
      <c r="L75" s="26" t="str">
        <f>IF(A75="","",IF(COUNTIF(Public_Holidays!$A$4:$A$80,A75)&gt;0,"Y","N"))</f>
        <v>N</v>
      </c>
      <c r="M75" s="26" t="str">
        <f t="shared" si="5"/>
        <v>N</v>
      </c>
      <c r="N75" s="26" t="e">
        <f ca="1">IF(A75="","",_xludf.TEXTJOIN("; ",TRUE,IF(SUMIFS($J:$J,$C:$C,C75,$B:$B,B75)&gt;Settings!$B$9,"Weekly ordinary hrs &gt;45",""),IF(SUMIFS(Claims!$H:$H,Claims!$C:$C,C75,Claims!$B:$B,B75)&gt;Settings!$B$10,"Weekly OT &gt;10",""),IF(AND(G75&lt;&gt;"Off",COUNTIFS($C:$C,C75,$A:$A,A75-1,$G:$G,"Night")&gt;0),"Rest &lt;12h after night shift",""),IF(J75&gt;5,"Meal interval required","")))</f>
        <v>#NAME?</v>
      </c>
      <c r="O75" s="25" t="s">
        <v>112</v>
      </c>
      <c r="P75" s="25"/>
    </row>
    <row r="76" spans="1:16" x14ac:dyDescent="0.35">
      <c r="A76" s="31">
        <f>IF(3+1&lt;=Settings!$B$7,Settings!$B$6+3,"")</f>
        <v>46146</v>
      </c>
      <c r="B76" s="31">
        <f t="shared" si="3"/>
        <v>46146</v>
      </c>
      <c r="C76" s="26" t="str">
        <f>IF(Employees!A16="","",Employees!A16)</f>
        <v/>
      </c>
      <c r="D76" s="26" t="str">
        <f>IF(C76="","",Employees!B16)</f>
        <v/>
      </c>
      <c r="E76" s="26" t="str">
        <f>IF(C76="","",Employees!C16)</f>
        <v/>
      </c>
      <c r="F76" s="26">
        <f>IF(A76="","",MOD(A76-Settings!$B$6,4)+1)</f>
        <v>4</v>
      </c>
      <c r="G76" s="26" t="str">
        <f>IF(C76="","",INDEX(Rotation_Pattern!$B$4:$E$7,F76,MATCH(E76,{"A","B","C","D"},0)))</f>
        <v/>
      </c>
      <c r="H76" s="32" t="str">
        <f t="shared" si="4"/>
        <v/>
      </c>
      <c r="I76" s="32" t="str">
        <f>IF(OR(G76="Off",G76=""),"",H76+TIME(Settings!$B$8,0,0))</f>
        <v/>
      </c>
      <c r="J76" s="26">
        <f>IF(OR(G76="Off",G76=""),0,Settings!$B$8)</f>
        <v>0</v>
      </c>
      <c r="K76" s="25" t="s">
        <v>111</v>
      </c>
      <c r="L76" s="26" t="str">
        <f>IF(A76="","",IF(COUNTIF(Public_Holidays!$A$4:$A$80,A76)&gt;0,"Y","N"))</f>
        <v>N</v>
      </c>
      <c r="M76" s="26" t="str">
        <f t="shared" si="5"/>
        <v>N</v>
      </c>
      <c r="N76" s="26" t="e">
        <f ca="1">IF(A76="","",_xludf.TEXTJOIN("; ",TRUE,IF(SUMIFS($J:$J,$C:$C,C76,$B:$B,B76)&gt;Settings!$B$9,"Weekly ordinary hrs &gt;45",""),IF(SUMIFS(Claims!$H:$H,Claims!$C:$C,C76,Claims!$B:$B,B76)&gt;Settings!$B$10,"Weekly OT &gt;10",""),IF(AND(G76&lt;&gt;"Off",COUNTIFS($C:$C,C76,$A:$A,A76-1,$G:$G,"Night")&gt;0),"Rest &lt;12h after night shift",""),IF(J76&gt;5,"Meal interval required","")))</f>
        <v>#NAME?</v>
      </c>
      <c r="O76" s="25" t="s">
        <v>112</v>
      </c>
      <c r="P76" s="25"/>
    </row>
    <row r="77" spans="1:16" x14ac:dyDescent="0.35">
      <c r="A77" s="31">
        <f>IF(3+1&lt;=Settings!$B$7,Settings!$B$6+3,"")</f>
        <v>46146</v>
      </c>
      <c r="B77" s="31">
        <f t="shared" si="3"/>
        <v>46146</v>
      </c>
      <c r="C77" s="26" t="str">
        <f>IF(Employees!A17="","",Employees!A17)</f>
        <v/>
      </c>
      <c r="D77" s="26" t="str">
        <f>IF(C77="","",Employees!B17)</f>
        <v/>
      </c>
      <c r="E77" s="26" t="str">
        <f>IF(C77="","",Employees!C17)</f>
        <v/>
      </c>
      <c r="F77" s="26">
        <f>IF(A77="","",MOD(A77-Settings!$B$6,4)+1)</f>
        <v>4</v>
      </c>
      <c r="G77" s="26" t="str">
        <f>IF(C77="","",INDEX(Rotation_Pattern!$B$4:$E$7,F77,MATCH(E77,{"A","B","C","D"},0)))</f>
        <v/>
      </c>
      <c r="H77" s="32" t="str">
        <f t="shared" si="4"/>
        <v/>
      </c>
      <c r="I77" s="32" t="str">
        <f>IF(OR(G77="Off",G77=""),"",H77+TIME(Settings!$B$8,0,0))</f>
        <v/>
      </c>
      <c r="J77" s="26">
        <f>IF(OR(G77="Off",G77=""),0,Settings!$B$8)</f>
        <v>0</v>
      </c>
      <c r="K77" s="25" t="s">
        <v>111</v>
      </c>
      <c r="L77" s="26" t="str">
        <f>IF(A77="","",IF(COUNTIF(Public_Holidays!$A$4:$A$80,A77)&gt;0,"Y","N"))</f>
        <v>N</v>
      </c>
      <c r="M77" s="26" t="str">
        <f t="shared" si="5"/>
        <v>N</v>
      </c>
      <c r="N77" s="26" t="e">
        <f ca="1">IF(A77="","",_xludf.TEXTJOIN("; ",TRUE,IF(SUMIFS($J:$J,$C:$C,C77,$B:$B,B77)&gt;Settings!$B$9,"Weekly ordinary hrs &gt;45",""),IF(SUMIFS(Claims!$H:$H,Claims!$C:$C,C77,Claims!$B:$B,B77)&gt;Settings!$B$10,"Weekly OT &gt;10",""),IF(AND(G77&lt;&gt;"Off",COUNTIFS($C:$C,C77,$A:$A,A77-1,$G:$G,"Night")&gt;0),"Rest &lt;12h after night shift",""),IF(J77&gt;5,"Meal interval required","")))</f>
        <v>#NAME?</v>
      </c>
      <c r="O77" s="25" t="s">
        <v>112</v>
      </c>
      <c r="P77" s="25"/>
    </row>
    <row r="78" spans="1:16" x14ac:dyDescent="0.35">
      <c r="A78" s="31">
        <f>IF(3+1&lt;=Settings!$B$7,Settings!$B$6+3,"")</f>
        <v>46146</v>
      </c>
      <c r="B78" s="31">
        <f t="shared" si="3"/>
        <v>46146</v>
      </c>
      <c r="C78" s="26" t="str">
        <f>IF(Employees!A18="","",Employees!A18)</f>
        <v/>
      </c>
      <c r="D78" s="26" t="str">
        <f>IF(C78="","",Employees!B18)</f>
        <v/>
      </c>
      <c r="E78" s="26" t="str">
        <f>IF(C78="","",Employees!C18)</f>
        <v/>
      </c>
      <c r="F78" s="26">
        <f>IF(A78="","",MOD(A78-Settings!$B$6,4)+1)</f>
        <v>4</v>
      </c>
      <c r="G78" s="26" t="str">
        <f>IF(C78="","",INDEX(Rotation_Pattern!$B$4:$E$7,F78,MATCH(E78,{"A","B","C","D"},0)))</f>
        <v/>
      </c>
      <c r="H78" s="32" t="str">
        <f t="shared" si="4"/>
        <v/>
      </c>
      <c r="I78" s="32" t="str">
        <f>IF(OR(G78="Off",G78=""),"",H78+TIME(Settings!$B$8,0,0))</f>
        <v/>
      </c>
      <c r="J78" s="26">
        <f>IF(OR(G78="Off",G78=""),0,Settings!$B$8)</f>
        <v>0</v>
      </c>
      <c r="K78" s="25" t="s">
        <v>111</v>
      </c>
      <c r="L78" s="26" t="str">
        <f>IF(A78="","",IF(COUNTIF(Public_Holidays!$A$4:$A$80,A78)&gt;0,"Y","N"))</f>
        <v>N</v>
      </c>
      <c r="M78" s="26" t="str">
        <f t="shared" si="5"/>
        <v>N</v>
      </c>
      <c r="N78" s="26" t="e">
        <f ca="1">IF(A78="","",_xludf.TEXTJOIN("; ",TRUE,IF(SUMIFS($J:$J,$C:$C,C78,$B:$B,B78)&gt;Settings!$B$9,"Weekly ordinary hrs &gt;45",""),IF(SUMIFS(Claims!$H:$H,Claims!$C:$C,C78,Claims!$B:$B,B78)&gt;Settings!$B$10,"Weekly OT &gt;10",""),IF(AND(G78&lt;&gt;"Off",COUNTIFS($C:$C,C78,$A:$A,A78-1,$G:$G,"Night")&gt;0),"Rest &lt;12h after night shift",""),IF(J78&gt;5,"Meal interval required","")))</f>
        <v>#NAME?</v>
      </c>
      <c r="O78" s="25" t="s">
        <v>112</v>
      </c>
      <c r="P78" s="25"/>
    </row>
    <row r="79" spans="1:16" x14ac:dyDescent="0.35">
      <c r="A79" s="31">
        <f>IF(3+1&lt;=Settings!$B$7,Settings!$B$6+3,"")</f>
        <v>46146</v>
      </c>
      <c r="B79" s="31">
        <f t="shared" si="3"/>
        <v>46146</v>
      </c>
      <c r="C79" s="26" t="str">
        <f>IF(Employees!A19="","",Employees!A19)</f>
        <v/>
      </c>
      <c r="D79" s="26" t="str">
        <f>IF(C79="","",Employees!B19)</f>
        <v/>
      </c>
      <c r="E79" s="26" t="str">
        <f>IF(C79="","",Employees!C19)</f>
        <v/>
      </c>
      <c r="F79" s="26">
        <f>IF(A79="","",MOD(A79-Settings!$B$6,4)+1)</f>
        <v>4</v>
      </c>
      <c r="G79" s="26" t="str">
        <f>IF(C79="","",INDEX(Rotation_Pattern!$B$4:$E$7,F79,MATCH(E79,{"A","B","C","D"},0)))</f>
        <v/>
      </c>
      <c r="H79" s="32" t="str">
        <f t="shared" si="4"/>
        <v/>
      </c>
      <c r="I79" s="32" t="str">
        <f>IF(OR(G79="Off",G79=""),"",H79+TIME(Settings!$B$8,0,0))</f>
        <v/>
      </c>
      <c r="J79" s="26">
        <f>IF(OR(G79="Off",G79=""),0,Settings!$B$8)</f>
        <v>0</v>
      </c>
      <c r="K79" s="25" t="s">
        <v>111</v>
      </c>
      <c r="L79" s="26" t="str">
        <f>IF(A79="","",IF(COUNTIF(Public_Holidays!$A$4:$A$80,A79)&gt;0,"Y","N"))</f>
        <v>N</v>
      </c>
      <c r="M79" s="26" t="str">
        <f t="shared" si="5"/>
        <v>N</v>
      </c>
      <c r="N79" s="26" t="e">
        <f ca="1">IF(A79="","",_xludf.TEXTJOIN("; ",TRUE,IF(SUMIFS($J:$J,$C:$C,C79,$B:$B,B79)&gt;Settings!$B$9,"Weekly ordinary hrs &gt;45",""),IF(SUMIFS(Claims!$H:$H,Claims!$C:$C,C79,Claims!$B:$B,B79)&gt;Settings!$B$10,"Weekly OT &gt;10",""),IF(AND(G79&lt;&gt;"Off",COUNTIFS($C:$C,C79,$A:$A,A79-1,$G:$G,"Night")&gt;0),"Rest &lt;12h after night shift",""),IF(J79&gt;5,"Meal interval required","")))</f>
        <v>#NAME?</v>
      </c>
      <c r="O79" s="25" t="s">
        <v>112</v>
      </c>
      <c r="P79" s="25"/>
    </row>
    <row r="80" spans="1:16" x14ac:dyDescent="0.35">
      <c r="A80" s="31">
        <f>IF(3+1&lt;=Settings!$B$7,Settings!$B$6+3,"")</f>
        <v>46146</v>
      </c>
      <c r="B80" s="31">
        <f t="shared" si="3"/>
        <v>46146</v>
      </c>
      <c r="C80" s="26" t="str">
        <f>IF(Employees!A20="","",Employees!A20)</f>
        <v/>
      </c>
      <c r="D80" s="26" t="str">
        <f>IF(C80="","",Employees!B20)</f>
        <v/>
      </c>
      <c r="E80" s="26" t="str">
        <f>IF(C80="","",Employees!C20)</f>
        <v/>
      </c>
      <c r="F80" s="26">
        <f>IF(A80="","",MOD(A80-Settings!$B$6,4)+1)</f>
        <v>4</v>
      </c>
      <c r="G80" s="26" t="str">
        <f>IF(C80="","",INDEX(Rotation_Pattern!$B$4:$E$7,F80,MATCH(E80,{"A","B","C","D"},0)))</f>
        <v/>
      </c>
      <c r="H80" s="32" t="str">
        <f t="shared" si="4"/>
        <v/>
      </c>
      <c r="I80" s="32" t="str">
        <f>IF(OR(G80="Off",G80=""),"",H80+TIME(Settings!$B$8,0,0))</f>
        <v/>
      </c>
      <c r="J80" s="26">
        <f>IF(OR(G80="Off",G80=""),0,Settings!$B$8)</f>
        <v>0</v>
      </c>
      <c r="K80" s="25" t="s">
        <v>111</v>
      </c>
      <c r="L80" s="26" t="str">
        <f>IF(A80="","",IF(COUNTIF(Public_Holidays!$A$4:$A$80,A80)&gt;0,"Y","N"))</f>
        <v>N</v>
      </c>
      <c r="M80" s="26" t="str">
        <f t="shared" si="5"/>
        <v>N</v>
      </c>
      <c r="N80" s="26" t="e">
        <f ca="1">IF(A80="","",_xludf.TEXTJOIN("; ",TRUE,IF(SUMIFS($J:$J,$C:$C,C80,$B:$B,B80)&gt;Settings!$B$9,"Weekly ordinary hrs &gt;45",""),IF(SUMIFS(Claims!$H:$H,Claims!$C:$C,C80,Claims!$B:$B,B80)&gt;Settings!$B$10,"Weekly OT &gt;10",""),IF(AND(G80&lt;&gt;"Off",COUNTIFS($C:$C,C80,$A:$A,A80-1,$G:$G,"Night")&gt;0),"Rest &lt;12h after night shift",""),IF(J80&gt;5,"Meal interval required","")))</f>
        <v>#NAME?</v>
      </c>
      <c r="O80" s="25" t="s">
        <v>112</v>
      </c>
      <c r="P80" s="25"/>
    </row>
    <row r="81" spans="1:16" x14ac:dyDescent="0.35">
      <c r="A81" s="31">
        <f>IF(3+1&lt;=Settings!$B$7,Settings!$B$6+3,"")</f>
        <v>46146</v>
      </c>
      <c r="B81" s="31">
        <f t="shared" si="3"/>
        <v>46146</v>
      </c>
      <c r="C81" s="26" t="str">
        <f>IF(Employees!A21="","",Employees!A21)</f>
        <v/>
      </c>
      <c r="D81" s="26" t="str">
        <f>IF(C81="","",Employees!B21)</f>
        <v/>
      </c>
      <c r="E81" s="26" t="str">
        <f>IF(C81="","",Employees!C21)</f>
        <v/>
      </c>
      <c r="F81" s="26">
        <f>IF(A81="","",MOD(A81-Settings!$B$6,4)+1)</f>
        <v>4</v>
      </c>
      <c r="G81" s="26" t="str">
        <f>IF(C81="","",INDEX(Rotation_Pattern!$B$4:$E$7,F81,MATCH(E81,{"A","B","C","D"},0)))</f>
        <v/>
      </c>
      <c r="H81" s="32" t="str">
        <f t="shared" si="4"/>
        <v/>
      </c>
      <c r="I81" s="32" t="str">
        <f>IF(OR(G81="Off",G81=""),"",H81+TIME(Settings!$B$8,0,0))</f>
        <v/>
      </c>
      <c r="J81" s="26">
        <f>IF(OR(G81="Off",G81=""),0,Settings!$B$8)</f>
        <v>0</v>
      </c>
      <c r="K81" s="25" t="s">
        <v>111</v>
      </c>
      <c r="L81" s="26" t="str">
        <f>IF(A81="","",IF(COUNTIF(Public_Holidays!$A$4:$A$80,A81)&gt;0,"Y","N"))</f>
        <v>N</v>
      </c>
      <c r="M81" s="26" t="str">
        <f t="shared" si="5"/>
        <v>N</v>
      </c>
      <c r="N81" s="26" t="e">
        <f ca="1">IF(A81="","",_xludf.TEXTJOIN("; ",TRUE,IF(SUMIFS($J:$J,$C:$C,C81,$B:$B,B81)&gt;Settings!$B$9,"Weekly ordinary hrs &gt;45",""),IF(SUMIFS(Claims!$H:$H,Claims!$C:$C,C81,Claims!$B:$B,B81)&gt;Settings!$B$10,"Weekly OT &gt;10",""),IF(AND(G81&lt;&gt;"Off",COUNTIFS($C:$C,C81,$A:$A,A81-1,$G:$G,"Night")&gt;0),"Rest &lt;12h after night shift",""),IF(J81&gt;5,"Meal interval required","")))</f>
        <v>#NAME?</v>
      </c>
      <c r="O81" s="25" t="s">
        <v>112</v>
      </c>
      <c r="P81" s="25"/>
    </row>
    <row r="82" spans="1:16" x14ac:dyDescent="0.35">
      <c r="A82" s="31">
        <f>IF(3+1&lt;=Settings!$B$7,Settings!$B$6+3,"")</f>
        <v>46146</v>
      </c>
      <c r="B82" s="31">
        <f t="shared" si="3"/>
        <v>46146</v>
      </c>
      <c r="C82" s="26" t="str">
        <f>IF(Employees!A22="","",Employees!A22)</f>
        <v/>
      </c>
      <c r="D82" s="26" t="str">
        <f>IF(C82="","",Employees!B22)</f>
        <v/>
      </c>
      <c r="E82" s="26" t="str">
        <f>IF(C82="","",Employees!C22)</f>
        <v/>
      </c>
      <c r="F82" s="26">
        <f>IF(A82="","",MOD(A82-Settings!$B$6,4)+1)</f>
        <v>4</v>
      </c>
      <c r="G82" s="26" t="str">
        <f>IF(C82="","",INDEX(Rotation_Pattern!$B$4:$E$7,F82,MATCH(E82,{"A","B","C","D"},0)))</f>
        <v/>
      </c>
      <c r="H82" s="32" t="str">
        <f t="shared" si="4"/>
        <v/>
      </c>
      <c r="I82" s="32" t="str">
        <f>IF(OR(G82="Off",G82=""),"",H82+TIME(Settings!$B$8,0,0))</f>
        <v/>
      </c>
      <c r="J82" s="26">
        <f>IF(OR(G82="Off",G82=""),0,Settings!$B$8)</f>
        <v>0</v>
      </c>
      <c r="K82" s="25" t="s">
        <v>111</v>
      </c>
      <c r="L82" s="26" t="str">
        <f>IF(A82="","",IF(COUNTIF(Public_Holidays!$A$4:$A$80,A82)&gt;0,"Y","N"))</f>
        <v>N</v>
      </c>
      <c r="M82" s="26" t="str">
        <f t="shared" si="5"/>
        <v>N</v>
      </c>
      <c r="N82" s="26" t="e">
        <f ca="1">IF(A82="","",_xludf.TEXTJOIN("; ",TRUE,IF(SUMIFS($J:$J,$C:$C,C82,$B:$B,B82)&gt;Settings!$B$9,"Weekly ordinary hrs &gt;45",""),IF(SUMIFS(Claims!$H:$H,Claims!$C:$C,C82,Claims!$B:$B,B82)&gt;Settings!$B$10,"Weekly OT &gt;10",""),IF(AND(G82&lt;&gt;"Off",COUNTIFS($C:$C,C82,$A:$A,A82-1,$G:$G,"Night")&gt;0),"Rest &lt;12h after night shift",""),IF(J82&gt;5,"Meal interval required","")))</f>
        <v>#NAME?</v>
      </c>
      <c r="O82" s="25" t="s">
        <v>112</v>
      </c>
      <c r="P82" s="25"/>
    </row>
    <row r="83" spans="1:16" x14ac:dyDescent="0.35">
      <c r="A83" s="31">
        <f>IF(3+1&lt;=Settings!$B$7,Settings!$B$6+3,"")</f>
        <v>46146</v>
      </c>
      <c r="B83" s="31">
        <f t="shared" si="3"/>
        <v>46146</v>
      </c>
      <c r="C83" s="26" t="str">
        <f>IF(Employees!A23="","",Employees!A23)</f>
        <v/>
      </c>
      <c r="D83" s="26" t="str">
        <f>IF(C83="","",Employees!B23)</f>
        <v/>
      </c>
      <c r="E83" s="26" t="str">
        <f>IF(C83="","",Employees!C23)</f>
        <v/>
      </c>
      <c r="F83" s="26">
        <f>IF(A83="","",MOD(A83-Settings!$B$6,4)+1)</f>
        <v>4</v>
      </c>
      <c r="G83" s="26" t="str">
        <f>IF(C83="","",INDEX(Rotation_Pattern!$B$4:$E$7,F83,MATCH(E83,{"A","B","C","D"},0)))</f>
        <v/>
      </c>
      <c r="H83" s="32" t="str">
        <f t="shared" si="4"/>
        <v/>
      </c>
      <c r="I83" s="32" t="str">
        <f>IF(OR(G83="Off",G83=""),"",H83+TIME(Settings!$B$8,0,0))</f>
        <v/>
      </c>
      <c r="J83" s="26">
        <f>IF(OR(G83="Off",G83=""),0,Settings!$B$8)</f>
        <v>0</v>
      </c>
      <c r="K83" s="25" t="s">
        <v>111</v>
      </c>
      <c r="L83" s="26" t="str">
        <f>IF(A83="","",IF(COUNTIF(Public_Holidays!$A$4:$A$80,A83)&gt;0,"Y","N"))</f>
        <v>N</v>
      </c>
      <c r="M83" s="26" t="str">
        <f t="shared" si="5"/>
        <v>N</v>
      </c>
      <c r="N83" s="26" t="e">
        <f ca="1">IF(A83="","",_xludf.TEXTJOIN("; ",TRUE,IF(SUMIFS($J:$J,$C:$C,C83,$B:$B,B83)&gt;Settings!$B$9,"Weekly ordinary hrs &gt;45",""),IF(SUMIFS(Claims!$H:$H,Claims!$C:$C,C83,Claims!$B:$B,B83)&gt;Settings!$B$10,"Weekly OT &gt;10",""),IF(AND(G83&lt;&gt;"Off",COUNTIFS($C:$C,C83,$A:$A,A83-1,$G:$G,"Night")&gt;0),"Rest &lt;12h after night shift",""),IF(J83&gt;5,"Meal interval required","")))</f>
        <v>#NAME?</v>
      </c>
      <c r="O83" s="25" t="s">
        <v>112</v>
      </c>
      <c r="P83" s="25"/>
    </row>
    <row r="84" spans="1:16" x14ac:dyDescent="0.35">
      <c r="A84" s="31">
        <f>IF(4+1&lt;=Settings!$B$7,Settings!$B$6+4,"")</f>
        <v>46147</v>
      </c>
      <c r="B84" s="31">
        <f t="shared" si="3"/>
        <v>46146</v>
      </c>
      <c r="C84" s="26" t="str">
        <f>IF(Employees!A4="","",Employees!A4)</f>
        <v>E001</v>
      </c>
      <c r="D84" s="26" t="str">
        <f>IF(C84="","",Employees!B4)</f>
        <v>Musiwa Khavalani</v>
      </c>
      <c r="E84" s="26">
        <f>IF(C84="","",Employees!C4)</f>
        <v>0</v>
      </c>
      <c r="F84" s="26">
        <f>IF(A84="","",MOD(A84-Settings!$B$6,4)+1)</f>
        <v>1</v>
      </c>
      <c r="G84" s="26" t="e">
        <f>IF(C84="","",INDEX(Rotation_Pattern!$B$4:$E$7,F84,MATCH(E84,{"A","B","C","D"},0)))</f>
        <v>#N/A</v>
      </c>
      <c r="H84" s="32" t="e">
        <f t="shared" si="4"/>
        <v>#N/A</v>
      </c>
      <c r="I84" s="32" t="e">
        <f>IF(OR(G84="Off",G84=""),"",H84+TIME(Settings!$B$8,0,0))</f>
        <v>#N/A</v>
      </c>
      <c r="J84" s="26" t="e">
        <f>IF(OR(G84="Off",G84=""),0,Settings!$B$8)</f>
        <v>#N/A</v>
      </c>
      <c r="K84" s="25" t="s">
        <v>111</v>
      </c>
      <c r="L84" s="26" t="str">
        <f>IF(A84="","",IF(COUNTIF(Public_Holidays!$A$4:$A$80,A84)&gt;0,"Y","N"))</f>
        <v>N</v>
      </c>
      <c r="M84" s="26" t="str">
        <f t="shared" si="5"/>
        <v>N</v>
      </c>
      <c r="N84" s="26" t="e">
        <f ca="1">IF(A84="","",_xludf.TEXTJOIN("; ",TRUE,IF(SUMIFS($J:$J,$C:$C,C84,$B:$B,B84)&gt;Settings!$B$9,"Weekly ordinary hrs &gt;45",""),IF(SUMIFS(Claims!$H:$H,Claims!$C:$C,C84,Claims!$B:$B,B84)&gt;Settings!$B$10,"Weekly OT &gt;10",""),IF(AND(G84&lt;&gt;"Off",COUNTIFS($C:$C,C84,$A:$A,A84-1,$G:$G,"Night")&gt;0),"Rest &lt;12h after night shift",""),IF(J84&gt;5,"Meal interval required","")))</f>
        <v>#NAME?</v>
      </c>
      <c r="O84" s="25" t="s">
        <v>112</v>
      </c>
      <c r="P84" s="25"/>
    </row>
    <row r="85" spans="1:16" x14ac:dyDescent="0.35">
      <c r="A85" s="31">
        <f>IF(4+1&lt;=Settings!$B$7,Settings!$B$6+4,"")</f>
        <v>46147</v>
      </c>
      <c r="B85" s="31">
        <f t="shared" si="3"/>
        <v>46146</v>
      </c>
      <c r="C85" s="26" t="str">
        <f>IF(Employees!A5="","",Employees!A5)</f>
        <v>E002</v>
      </c>
      <c r="D85" s="26" t="str">
        <f>IF(C85="","",Employees!B5)</f>
        <v>Mpho  Nembemhia</v>
      </c>
      <c r="E85" s="26" t="str">
        <f>IF(C85="","",Employees!C5)</f>
        <v>B</v>
      </c>
      <c r="F85" s="26">
        <f>IF(A85="","",MOD(A85-Settings!$B$6,4)+1)</f>
        <v>1</v>
      </c>
      <c r="G85" s="26" t="str">
        <f>IF(C85="","",INDEX(Rotation_Pattern!$B$4:$E$7,F85,MATCH(E85,{"A","B","C","D"},0)))</f>
        <v>Off</v>
      </c>
      <c r="H85" s="32" t="str">
        <f t="shared" si="4"/>
        <v/>
      </c>
      <c r="I85" s="32" t="str">
        <f>IF(OR(G85="Off",G85=""),"",H85+TIME(Settings!$B$8,0,0))</f>
        <v/>
      </c>
      <c r="J85" s="26">
        <f>IF(OR(G85="Off",G85=""),0,Settings!$B$8)</f>
        <v>0</v>
      </c>
      <c r="K85" s="25" t="s">
        <v>111</v>
      </c>
      <c r="L85" s="26" t="str">
        <f>IF(A85="","",IF(COUNTIF(Public_Holidays!$A$4:$A$80,A85)&gt;0,"Y","N"))</f>
        <v>N</v>
      </c>
      <c r="M85" s="26" t="str">
        <f t="shared" si="5"/>
        <v>N</v>
      </c>
      <c r="N85" s="26" t="e">
        <f ca="1">IF(A85="","",_xludf.TEXTJOIN("; ",TRUE,IF(SUMIFS($J:$J,$C:$C,C85,$B:$B,B85)&gt;Settings!$B$9,"Weekly ordinary hrs &gt;45",""),IF(SUMIFS(Claims!$H:$H,Claims!$C:$C,C85,Claims!$B:$B,B85)&gt;Settings!$B$10,"Weekly OT &gt;10",""),IF(AND(G85&lt;&gt;"Off",COUNTIFS($C:$C,C85,$A:$A,A85-1,$G:$G,"Night")&gt;0),"Rest &lt;12h after night shift",""),IF(J85&gt;5,"Meal interval required","")))</f>
        <v>#NAME?</v>
      </c>
      <c r="O85" s="25" t="s">
        <v>112</v>
      </c>
      <c r="P85" s="25"/>
    </row>
    <row r="86" spans="1:16" x14ac:dyDescent="0.35">
      <c r="A86" s="31">
        <f>IF(4+1&lt;=Settings!$B$7,Settings!$B$6+4,"")</f>
        <v>46147</v>
      </c>
      <c r="B86" s="31">
        <f t="shared" si="3"/>
        <v>46146</v>
      </c>
      <c r="C86" s="26" t="str">
        <f>IF(Employees!A6="","",Employees!A6)</f>
        <v>E003</v>
      </c>
      <c r="D86" s="26" t="str">
        <f>IF(C86="","",Employees!B6)</f>
        <v>Dimpho Makhafola</v>
      </c>
      <c r="E86" s="26" t="str">
        <f>IF(C86="","",Employees!C6)</f>
        <v>C</v>
      </c>
      <c r="F86" s="26">
        <f>IF(A86="","",MOD(A86-Settings!$B$6,4)+1)</f>
        <v>1</v>
      </c>
      <c r="G86" s="26" t="str">
        <f>IF(C86="","",INDEX(Rotation_Pattern!$B$4:$E$7,F86,MATCH(E86,{"A","B","C","D"},0)))</f>
        <v>Evening</v>
      </c>
      <c r="H86" s="32">
        <f t="shared" si="4"/>
        <v>0.58333333333333337</v>
      </c>
      <c r="I86" s="32">
        <f>IF(OR(G86="Off",G86=""),"",H86+TIME(Settings!$B$8,0,0))</f>
        <v>0.91666666666666674</v>
      </c>
      <c r="J86" s="26">
        <f>IF(OR(G86="Off",G86=""),0,Settings!$B$8)</f>
        <v>8</v>
      </c>
      <c r="K86" s="25" t="s">
        <v>111</v>
      </c>
      <c r="L86" s="26" t="str">
        <f>IF(A86="","",IF(COUNTIF(Public_Holidays!$A$4:$A$80,A86)&gt;0,"Y","N"))</f>
        <v>N</v>
      </c>
      <c r="M86" s="26" t="str">
        <f t="shared" si="5"/>
        <v>N</v>
      </c>
      <c r="N86" s="26" t="e">
        <f ca="1">IF(A86="","",_xludf.TEXTJOIN("; ",TRUE,IF(SUMIFS($J:$J,$C:$C,C86,$B:$B,B86)&gt;Settings!$B$9,"Weekly ordinary hrs &gt;45",""),IF(SUMIFS(Claims!$H:$H,Claims!$C:$C,C86,Claims!$B:$B,B86)&gt;Settings!$B$10,"Weekly OT &gt;10",""),IF(AND(G86&lt;&gt;"Off",COUNTIFS($C:$C,C86,$A:$A,A86-1,$G:$G,"Night")&gt;0),"Rest &lt;12h after night shift",""),IF(J86&gt;5,"Meal interval required","")))</f>
        <v>#NAME?</v>
      </c>
      <c r="O86" s="25" t="s">
        <v>112</v>
      </c>
      <c r="P86" s="25"/>
    </row>
    <row r="87" spans="1:16" x14ac:dyDescent="0.35">
      <c r="A87" s="31">
        <f>IF(4+1&lt;=Settings!$B$7,Settings!$B$6+4,"")</f>
        <v>46147</v>
      </c>
      <c r="B87" s="31">
        <f t="shared" si="3"/>
        <v>46146</v>
      </c>
      <c r="C87" s="26" t="str">
        <f>IF(Employees!A7="","",Employees!A7)</f>
        <v>E004</v>
      </c>
      <c r="D87" s="26" t="str">
        <f>IF(C87="","",Employees!B7)</f>
        <v>Bashii Fall</v>
      </c>
      <c r="E87" s="26" t="str">
        <f>IF(C87="","",Employees!C7)</f>
        <v>D</v>
      </c>
      <c r="F87" s="26">
        <f>IF(A87="","",MOD(A87-Settings!$B$6,4)+1)</f>
        <v>1</v>
      </c>
      <c r="G87" s="26" t="str">
        <f>IF(C87="","",INDEX(Rotation_Pattern!$B$4:$E$7,F87,MATCH(E87,{"A","B","C","D"},0)))</f>
        <v>Night</v>
      </c>
      <c r="H87" s="32">
        <f t="shared" si="4"/>
        <v>0.91666666666666663</v>
      </c>
      <c r="I87" s="32">
        <f>IF(OR(G87="Off",G87=""),"",H87+TIME(Settings!$B$8,0,0))</f>
        <v>1.25</v>
      </c>
      <c r="J87" s="26">
        <f>IF(OR(G87="Off",G87=""),0,Settings!$B$8)</f>
        <v>8</v>
      </c>
      <c r="K87" s="25" t="s">
        <v>111</v>
      </c>
      <c r="L87" s="26" t="str">
        <f>IF(A87="","",IF(COUNTIF(Public_Holidays!$A$4:$A$80,A87)&gt;0,"Y","N"))</f>
        <v>N</v>
      </c>
      <c r="M87" s="26" t="str">
        <f t="shared" si="5"/>
        <v>N</v>
      </c>
      <c r="N87" s="26" t="e">
        <f ca="1">IF(A87="","",_xludf.TEXTJOIN("; ",TRUE,IF(SUMIFS($J:$J,$C:$C,C87,$B:$B,B87)&gt;Settings!$B$9,"Weekly ordinary hrs &gt;45",""),IF(SUMIFS(Claims!$H:$H,Claims!$C:$C,C87,Claims!$B:$B,B87)&gt;Settings!$B$10,"Weekly OT &gt;10",""),IF(AND(G87&lt;&gt;"Off",COUNTIFS($C:$C,C87,$A:$A,A87-1,$G:$G,"Night")&gt;0),"Rest &lt;12h after night shift",""),IF(J87&gt;5,"Meal interval required","")))</f>
        <v>#NAME?</v>
      </c>
      <c r="O87" s="25" t="s">
        <v>112</v>
      </c>
      <c r="P87" s="25"/>
    </row>
    <row r="88" spans="1:16" x14ac:dyDescent="0.35">
      <c r="A88" s="31">
        <f>IF(4+1&lt;=Settings!$B$7,Settings!$B$6+4,"")</f>
        <v>46147</v>
      </c>
      <c r="B88" s="31">
        <f t="shared" si="3"/>
        <v>46146</v>
      </c>
      <c r="C88" s="26" t="str">
        <f>IF(Employees!A8="","",Employees!A8)</f>
        <v>E005</v>
      </c>
      <c r="D88" s="26" t="str">
        <f>IF(C88="","",Employees!B8)</f>
        <v>Lesego Aphane</v>
      </c>
      <c r="E88" s="26" t="str">
        <f>IF(C88="","",Employees!C8)</f>
        <v>A</v>
      </c>
      <c r="F88" s="26">
        <f>IF(A88="","",MOD(A88-Settings!$B$6,4)+1)</f>
        <v>1</v>
      </c>
      <c r="G88" s="26" t="str">
        <f>IF(C88="","",INDEX(Rotation_Pattern!$B$4:$E$7,F88,MATCH(E88,{"A","B","C","D"},0)))</f>
        <v>Day</v>
      </c>
      <c r="H88" s="32">
        <f t="shared" si="4"/>
        <v>0.25</v>
      </c>
      <c r="I88" s="32">
        <f>IF(OR(G88="Off",G88=""),"",H88+TIME(Settings!$B$8,0,0))</f>
        <v>0.58333333333333326</v>
      </c>
      <c r="J88" s="26">
        <f>IF(OR(G88="Off",G88=""),0,Settings!$B$8)</f>
        <v>8</v>
      </c>
      <c r="K88" s="25" t="s">
        <v>111</v>
      </c>
      <c r="L88" s="26" t="str">
        <f>IF(A88="","",IF(COUNTIF(Public_Holidays!$A$4:$A$80,A88)&gt;0,"Y","N"))</f>
        <v>N</v>
      </c>
      <c r="M88" s="26" t="str">
        <f t="shared" si="5"/>
        <v>N</v>
      </c>
      <c r="N88" s="26" t="e">
        <f ca="1">IF(A88="","",_xludf.TEXTJOIN("; ",TRUE,IF(SUMIFS($J:$J,$C:$C,C88,$B:$B,B88)&gt;Settings!$B$9,"Weekly ordinary hrs &gt;45",""),IF(SUMIFS(Claims!$H:$H,Claims!$C:$C,C88,Claims!$B:$B,B88)&gt;Settings!$B$10,"Weekly OT &gt;10",""),IF(AND(G88&lt;&gt;"Off",COUNTIFS($C:$C,C88,$A:$A,A88-1,$G:$G,"Night")&gt;0),"Rest &lt;12h after night shift",""),IF(J88&gt;5,"Meal interval required","")))</f>
        <v>#NAME?</v>
      </c>
      <c r="O88" s="25" t="s">
        <v>112</v>
      </c>
      <c r="P88" s="25"/>
    </row>
    <row r="89" spans="1:16" x14ac:dyDescent="0.35">
      <c r="A89" s="31">
        <f>IF(4+1&lt;=Settings!$B$7,Settings!$B$6+4,"")</f>
        <v>46147</v>
      </c>
      <c r="B89" s="31">
        <f t="shared" si="3"/>
        <v>46146</v>
      </c>
      <c r="C89" s="26" t="str">
        <f>IF(Employees!A9="","",Employees!A9)</f>
        <v>E006</v>
      </c>
      <c r="D89" s="26" t="str">
        <f>IF(C89="","",Employees!B9)</f>
        <v>Nhalnahla</v>
      </c>
      <c r="E89" s="26" t="str">
        <f>IF(C89="","",Employees!C9)</f>
        <v>B</v>
      </c>
      <c r="F89" s="26">
        <f>IF(A89="","",MOD(A89-Settings!$B$6,4)+1)</f>
        <v>1</v>
      </c>
      <c r="G89" s="26" t="str">
        <f>IF(C89="","",INDEX(Rotation_Pattern!$B$4:$E$7,F89,MATCH(E89,{"A","B","C","D"},0)))</f>
        <v>Off</v>
      </c>
      <c r="H89" s="32" t="str">
        <f t="shared" si="4"/>
        <v/>
      </c>
      <c r="I89" s="32" t="str">
        <f>IF(OR(G89="Off",G89=""),"",H89+TIME(Settings!$B$8,0,0))</f>
        <v/>
      </c>
      <c r="J89" s="26">
        <f>IF(OR(G89="Off",G89=""),0,Settings!$B$8)</f>
        <v>0</v>
      </c>
      <c r="K89" s="25" t="s">
        <v>111</v>
      </c>
      <c r="L89" s="26" t="str">
        <f>IF(A89="","",IF(COUNTIF(Public_Holidays!$A$4:$A$80,A89)&gt;0,"Y","N"))</f>
        <v>N</v>
      </c>
      <c r="M89" s="26" t="str">
        <f t="shared" si="5"/>
        <v>N</v>
      </c>
      <c r="N89" s="26" t="e">
        <f ca="1">IF(A89="","",_xludf.TEXTJOIN("; ",TRUE,IF(SUMIFS($J:$J,$C:$C,C89,$B:$B,B89)&gt;Settings!$B$9,"Weekly ordinary hrs &gt;45",""),IF(SUMIFS(Claims!$H:$H,Claims!$C:$C,C89,Claims!$B:$B,B89)&gt;Settings!$B$10,"Weekly OT &gt;10",""),IF(AND(G89&lt;&gt;"Off",COUNTIFS($C:$C,C89,$A:$A,A89-1,$G:$G,"Night")&gt;0),"Rest &lt;12h after night shift",""),IF(J89&gt;5,"Meal interval required","")))</f>
        <v>#NAME?</v>
      </c>
      <c r="O89" s="25" t="s">
        <v>112</v>
      </c>
      <c r="P89" s="25"/>
    </row>
    <row r="90" spans="1:16" x14ac:dyDescent="0.35">
      <c r="A90" s="31">
        <f>IF(4+1&lt;=Settings!$B$7,Settings!$B$6+4,"")</f>
        <v>46147</v>
      </c>
      <c r="B90" s="31">
        <f t="shared" si="3"/>
        <v>46146</v>
      </c>
      <c r="C90" s="26" t="str">
        <f>IF(Employees!A10="","",Employees!A10)</f>
        <v>E007</v>
      </c>
      <c r="D90" s="26" t="str">
        <f>IF(C90="","",Employees!B10)</f>
        <v>Joe</v>
      </c>
      <c r="E90" s="26" t="str">
        <f>IF(C90="","",Employees!C10)</f>
        <v>C</v>
      </c>
      <c r="F90" s="26">
        <f>IF(A90="","",MOD(A90-Settings!$B$6,4)+1)</f>
        <v>1</v>
      </c>
      <c r="G90" s="26" t="str">
        <f>IF(C90="","",INDEX(Rotation_Pattern!$B$4:$E$7,F90,MATCH(E90,{"A","B","C","D"},0)))</f>
        <v>Evening</v>
      </c>
      <c r="H90" s="32">
        <f t="shared" si="4"/>
        <v>0.58333333333333337</v>
      </c>
      <c r="I90" s="32">
        <f>IF(OR(G90="Off",G90=""),"",H90+TIME(Settings!$B$8,0,0))</f>
        <v>0.91666666666666674</v>
      </c>
      <c r="J90" s="26">
        <f>IF(OR(G90="Off",G90=""),0,Settings!$B$8)</f>
        <v>8</v>
      </c>
      <c r="K90" s="25" t="s">
        <v>111</v>
      </c>
      <c r="L90" s="26" t="str">
        <f>IF(A90="","",IF(COUNTIF(Public_Holidays!$A$4:$A$80,A90)&gt;0,"Y","N"))</f>
        <v>N</v>
      </c>
      <c r="M90" s="26" t="str">
        <f t="shared" si="5"/>
        <v>N</v>
      </c>
      <c r="N90" s="26" t="e">
        <f ca="1">IF(A90="","",_xludf.TEXTJOIN("; ",TRUE,IF(SUMIFS($J:$J,$C:$C,C90,$B:$B,B90)&gt;Settings!$B$9,"Weekly ordinary hrs &gt;45",""),IF(SUMIFS(Claims!$H:$H,Claims!$C:$C,C90,Claims!$B:$B,B90)&gt;Settings!$B$10,"Weekly OT &gt;10",""),IF(AND(G90&lt;&gt;"Off",COUNTIFS($C:$C,C90,$A:$A,A90-1,$G:$G,"Night")&gt;0),"Rest &lt;12h after night shift",""),IF(J90&gt;5,"Meal interval required","")))</f>
        <v>#NAME?</v>
      </c>
      <c r="O90" s="25" t="s">
        <v>112</v>
      </c>
      <c r="P90" s="25"/>
    </row>
    <row r="91" spans="1:16" x14ac:dyDescent="0.35">
      <c r="A91" s="31">
        <f>IF(4+1&lt;=Settings!$B$7,Settings!$B$6+4,"")</f>
        <v>46147</v>
      </c>
      <c r="B91" s="31">
        <f t="shared" si="3"/>
        <v>46146</v>
      </c>
      <c r="C91" s="26" t="str">
        <f>IF(Employees!A11="","",Employees!A11)</f>
        <v>E008</v>
      </c>
      <c r="D91" s="26" t="str">
        <f>IF(C91="","",Employees!B11)</f>
        <v>Tim</v>
      </c>
      <c r="E91" s="26" t="str">
        <f>IF(C91="","",Employees!C11)</f>
        <v>D</v>
      </c>
      <c r="F91" s="26">
        <f>IF(A91="","",MOD(A91-Settings!$B$6,4)+1)</f>
        <v>1</v>
      </c>
      <c r="G91" s="26" t="str">
        <f>IF(C91="","",INDEX(Rotation_Pattern!$B$4:$E$7,F91,MATCH(E91,{"A","B","C","D"},0)))</f>
        <v>Night</v>
      </c>
      <c r="H91" s="32">
        <f t="shared" si="4"/>
        <v>0.91666666666666663</v>
      </c>
      <c r="I91" s="32">
        <f>IF(OR(G91="Off",G91=""),"",H91+TIME(Settings!$B$8,0,0))</f>
        <v>1.25</v>
      </c>
      <c r="J91" s="26">
        <f>IF(OR(G91="Off",G91=""),0,Settings!$B$8)</f>
        <v>8</v>
      </c>
      <c r="K91" s="25" t="s">
        <v>111</v>
      </c>
      <c r="L91" s="26" t="str">
        <f>IF(A91="","",IF(COUNTIF(Public_Holidays!$A$4:$A$80,A91)&gt;0,"Y","N"))</f>
        <v>N</v>
      </c>
      <c r="M91" s="26" t="str">
        <f t="shared" si="5"/>
        <v>N</v>
      </c>
      <c r="N91" s="26" t="e">
        <f ca="1">IF(A91="","",_xludf.TEXTJOIN("; ",TRUE,IF(SUMIFS($J:$J,$C:$C,C91,$B:$B,B91)&gt;Settings!$B$9,"Weekly ordinary hrs &gt;45",""),IF(SUMIFS(Claims!$H:$H,Claims!$C:$C,C91,Claims!$B:$B,B91)&gt;Settings!$B$10,"Weekly OT &gt;10",""),IF(AND(G91&lt;&gt;"Off",COUNTIFS($C:$C,C91,$A:$A,A91-1,$G:$G,"Night")&gt;0),"Rest &lt;12h after night shift",""),IF(J91&gt;5,"Meal interval required","")))</f>
        <v>#NAME?</v>
      </c>
      <c r="O91" s="25" t="s">
        <v>112</v>
      </c>
      <c r="P91" s="25"/>
    </row>
    <row r="92" spans="1:16" x14ac:dyDescent="0.35">
      <c r="A92" s="31">
        <f>IF(4+1&lt;=Settings!$B$7,Settings!$B$6+4,"")</f>
        <v>46147</v>
      </c>
      <c r="B92" s="31">
        <f t="shared" si="3"/>
        <v>46146</v>
      </c>
      <c r="C92" s="26" t="str">
        <f>IF(Employees!A12="","",Employees!A12)</f>
        <v>E009</v>
      </c>
      <c r="D92" s="26" t="str">
        <f>IF(C92="","",Employees!B12)</f>
        <v>Frank</v>
      </c>
      <c r="E92" s="26" t="str">
        <f>IF(C92="","",Employees!C12)</f>
        <v>A</v>
      </c>
      <c r="F92" s="26">
        <f>IF(A92="","",MOD(A92-Settings!$B$6,4)+1)</f>
        <v>1</v>
      </c>
      <c r="G92" s="26" t="str">
        <f>IF(C92="","",INDEX(Rotation_Pattern!$B$4:$E$7,F92,MATCH(E92,{"A","B","C","D"},0)))</f>
        <v>Day</v>
      </c>
      <c r="H92" s="32">
        <f t="shared" si="4"/>
        <v>0.25</v>
      </c>
      <c r="I92" s="32">
        <f>IF(OR(G92="Off",G92=""),"",H92+TIME(Settings!$B$8,0,0))</f>
        <v>0.58333333333333326</v>
      </c>
      <c r="J92" s="26">
        <f>IF(OR(G92="Off",G92=""),0,Settings!$B$8)</f>
        <v>8</v>
      </c>
      <c r="K92" s="25" t="s">
        <v>111</v>
      </c>
      <c r="L92" s="26" t="str">
        <f>IF(A92="","",IF(COUNTIF(Public_Holidays!$A$4:$A$80,A92)&gt;0,"Y","N"))</f>
        <v>N</v>
      </c>
      <c r="M92" s="26" t="str">
        <f t="shared" si="5"/>
        <v>N</v>
      </c>
      <c r="N92" s="26" t="e">
        <f ca="1">IF(A92="","",_xludf.TEXTJOIN("; ",TRUE,IF(SUMIFS($J:$J,$C:$C,C92,$B:$B,B92)&gt;Settings!$B$9,"Weekly ordinary hrs &gt;45",""),IF(SUMIFS(Claims!$H:$H,Claims!$C:$C,C92,Claims!$B:$B,B92)&gt;Settings!$B$10,"Weekly OT &gt;10",""),IF(AND(G92&lt;&gt;"Off",COUNTIFS($C:$C,C92,$A:$A,A92-1,$G:$G,"Night")&gt;0),"Rest &lt;12h after night shift",""),IF(J92&gt;5,"Meal interval required","")))</f>
        <v>#NAME?</v>
      </c>
      <c r="O92" s="25" t="s">
        <v>112</v>
      </c>
      <c r="P92" s="25"/>
    </row>
    <row r="93" spans="1:16" x14ac:dyDescent="0.35">
      <c r="A93" s="31">
        <f>IF(4+1&lt;=Settings!$B$7,Settings!$B$6+4,"")</f>
        <v>46147</v>
      </c>
      <c r="B93" s="31">
        <f t="shared" si="3"/>
        <v>46146</v>
      </c>
      <c r="C93" s="26" t="str">
        <f>IF(Employees!A13="","",Employees!A13)</f>
        <v/>
      </c>
      <c r="D93" s="26" t="str">
        <f>IF(C93="","",Employees!B13)</f>
        <v/>
      </c>
      <c r="E93" s="26" t="str">
        <f>IF(C93="","",Employees!C13)</f>
        <v/>
      </c>
      <c r="F93" s="26">
        <f>IF(A93="","",MOD(A93-Settings!$B$6,4)+1)</f>
        <v>1</v>
      </c>
      <c r="G93" s="26" t="str">
        <f>IF(C93="","",INDEX(Rotation_Pattern!$B$4:$E$7,F93,MATCH(E93,{"A","B","C","D"},0)))</f>
        <v/>
      </c>
      <c r="H93" s="32" t="str">
        <f t="shared" si="4"/>
        <v/>
      </c>
      <c r="I93" s="32" t="str">
        <f>IF(OR(G93="Off",G93=""),"",H93+TIME(Settings!$B$8,0,0))</f>
        <v/>
      </c>
      <c r="J93" s="26">
        <f>IF(OR(G93="Off",G93=""),0,Settings!$B$8)</f>
        <v>0</v>
      </c>
      <c r="K93" s="25" t="s">
        <v>111</v>
      </c>
      <c r="L93" s="26" t="str">
        <f>IF(A93="","",IF(COUNTIF(Public_Holidays!$A$4:$A$80,A93)&gt;0,"Y","N"))</f>
        <v>N</v>
      </c>
      <c r="M93" s="26" t="str">
        <f t="shared" si="5"/>
        <v>N</v>
      </c>
      <c r="N93" s="26" t="e">
        <f ca="1">IF(A93="","",_xludf.TEXTJOIN("; ",TRUE,IF(SUMIFS($J:$J,$C:$C,C93,$B:$B,B93)&gt;Settings!$B$9,"Weekly ordinary hrs &gt;45",""),IF(SUMIFS(Claims!$H:$H,Claims!$C:$C,C93,Claims!$B:$B,B93)&gt;Settings!$B$10,"Weekly OT &gt;10",""),IF(AND(G93&lt;&gt;"Off",COUNTIFS($C:$C,C93,$A:$A,A93-1,$G:$G,"Night")&gt;0),"Rest &lt;12h after night shift",""),IF(J93&gt;5,"Meal interval required","")))</f>
        <v>#NAME?</v>
      </c>
      <c r="O93" s="25" t="s">
        <v>112</v>
      </c>
      <c r="P93" s="25"/>
    </row>
    <row r="94" spans="1:16" x14ac:dyDescent="0.35">
      <c r="A94" s="31">
        <f>IF(4+1&lt;=Settings!$B$7,Settings!$B$6+4,"")</f>
        <v>46147</v>
      </c>
      <c r="B94" s="31">
        <f t="shared" si="3"/>
        <v>46146</v>
      </c>
      <c r="C94" s="26" t="str">
        <f>IF(Employees!A14="","",Employees!A14)</f>
        <v/>
      </c>
      <c r="D94" s="26" t="str">
        <f>IF(C94="","",Employees!B14)</f>
        <v/>
      </c>
      <c r="E94" s="26" t="str">
        <f>IF(C94="","",Employees!C14)</f>
        <v/>
      </c>
      <c r="F94" s="26">
        <f>IF(A94="","",MOD(A94-Settings!$B$6,4)+1)</f>
        <v>1</v>
      </c>
      <c r="G94" s="26" t="str">
        <f>IF(C94="","",INDEX(Rotation_Pattern!$B$4:$E$7,F94,MATCH(E94,{"A","B","C","D"},0)))</f>
        <v/>
      </c>
      <c r="H94" s="32" t="str">
        <f t="shared" si="4"/>
        <v/>
      </c>
      <c r="I94" s="32" t="str">
        <f>IF(OR(G94="Off",G94=""),"",H94+TIME(Settings!$B$8,0,0))</f>
        <v/>
      </c>
      <c r="J94" s="26">
        <f>IF(OR(G94="Off",G94=""),0,Settings!$B$8)</f>
        <v>0</v>
      </c>
      <c r="K94" s="25" t="s">
        <v>111</v>
      </c>
      <c r="L94" s="26" t="str">
        <f>IF(A94="","",IF(COUNTIF(Public_Holidays!$A$4:$A$80,A94)&gt;0,"Y","N"))</f>
        <v>N</v>
      </c>
      <c r="M94" s="26" t="str">
        <f t="shared" si="5"/>
        <v>N</v>
      </c>
      <c r="N94" s="26" t="e">
        <f ca="1">IF(A94="","",_xludf.TEXTJOIN("; ",TRUE,IF(SUMIFS($J:$J,$C:$C,C94,$B:$B,B94)&gt;Settings!$B$9,"Weekly ordinary hrs &gt;45",""),IF(SUMIFS(Claims!$H:$H,Claims!$C:$C,C94,Claims!$B:$B,B94)&gt;Settings!$B$10,"Weekly OT &gt;10",""),IF(AND(G94&lt;&gt;"Off",COUNTIFS($C:$C,C94,$A:$A,A94-1,$G:$G,"Night")&gt;0),"Rest &lt;12h after night shift",""),IF(J94&gt;5,"Meal interval required","")))</f>
        <v>#NAME?</v>
      </c>
      <c r="O94" s="25" t="s">
        <v>112</v>
      </c>
      <c r="P94" s="25"/>
    </row>
    <row r="95" spans="1:16" x14ac:dyDescent="0.35">
      <c r="A95" s="31">
        <f>IF(4+1&lt;=Settings!$B$7,Settings!$B$6+4,"")</f>
        <v>46147</v>
      </c>
      <c r="B95" s="31">
        <f t="shared" si="3"/>
        <v>46146</v>
      </c>
      <c r="C95" s="26" t="str">
        <f>IF(Employees!A15="","",Employees!A15)</f>
        <v/>
      </c>
      <c r="D95" s="26" t="str">
        <f>IF(C95="","",Employees!B15)</f>
        <v/>
      </c>
      <c r="E95" s="26" t="str">
        <f>IF(C95="","",Employees!C15)</f>
        <v/>
      </c>
      <c r="F95" s="26">
        <f>IF(A95="","",MOD(A95-Settings!$B$6,4)+1)</f>
        <v>1</v>
      </c>
      <c r="G95" s="26" t="str">
        <f>IF(C95="","",INDEX(Rotation_Pattern!$B$4:$E$7,F95,MATCH(E95,{"A","B","C","D"},0)))</f>
        <v/>
      </c>
      <c r="H95" s="32" t="str">
        <f t="shared" si="4"/>
        <v/>
      </c>
      <c r="I95" s="32" t="str">
        <f>IF(OR(G95="Off",G95=""),"",H95+TIME(Settings!$B$8,0,0))</f>
        <v/>
      </c>
      <c r="J95" s="26">
        <f>IF(OR(G95="Off",G95=""),0,Settings!$B$8)</f>
        <v>0</v>
      </c>
      <c r="K95" s="25" t="s">
        <v>111</v>
      </c>
      <c r="L95" s="26" t="str">
        <f>IF(A95="","",IF(COUNTIF(Public_Holidays!$A$4:$A$80,A95)&gt;0,"Y","N"))</f>
        <v>N</v>
      </c>
      <c r="M95" s="26" t="str">
        <f t="shared" si="5"/>
        <v>N</v>
      </c>
      <c r="N95" s="26" t="e">
        <f ca="1">IF(A95="","",_xludf.TEXTJOIN("; ",TRUE,IF(SUMIFS($J:$J,$C:$C,C95,$B:$B,B95)&gt;Settings!$B$9,"Weekly ordinary hrs &gt;45",""),IF(SUMIFS(Claims!$H:$H,Claims!$C:$C,C95,Claims!$B:$B,B95)&gt;Settings!$B$10,"Weekly OT &gt;10",""),IF(AND(G95&lt;&gt;"Off",COUNTIFS($C:$C,C95,$A:$A,A95-1,$G:$G,"Night")&gt;0),"Rest &lt;12h after night shift",""),IF(J95&gt;5,"Meal interval required","")))</f>
        <v>#NAME?</v>
      </c>
      <c r="O95" s="25" t="s">
        <v>112</v>
      </c>
      <c r="P95" s="25"/>
    </row>
    <row r="96" spans="1:16" x14ac:dyDescent="0.35">
      <c r="A96" s="31">
        <f>IF(4+1&lt;=Settings!$B$7,Settings!$B$6+4,"")</f>
        <v>46147</v>
      </c>
      <c r="B96" s="31">
        <f t="shared" si="3"/>
        <v>46146</v>
      </c>
      <c r="C96" s="26" t="str">
        <f>IF(Employees!A16="","",Employees!A16)</f>
        <v/>
      </c>
      <c r="D96" s="26" t="str">
        <f>IF(C96="","",Employees!B16)</f>
        <v/>
      </c>
      <c r="E96" s="26" t="str">
        <f>IF(C96="","",Employees!C16)</f>
        <v/>
      </c>
      <c r="F96" s="26">
        <f>IF(A96="","",MOD(A96-Settings!$B$6,4)+1)</f>
        <v>1</v>
      </c>
      <c r="G96" s="26" t="str">
        <f>IF(C96="","",INDEX(Rotation_Pattern!$B$4:$E$7,F96,MATCH(E96,{"A","B","C","D"},0)))</f>
        <v/>
      </c>
      <c r="H96" s="32" t="str">
        <f t="shared" si="4"/>
        <v/>
      </c>
      <c r="I96" s="32" t="str">
        <f>IF(OR(G96="Off",G96=""),"",H96+TIME(Settings!$B$8,0,0))</f>
        <v/>
      </c>
      <c r="J96" s="26">
        <f>IF(OR(G96="Off",G96=""),0,Settings!$B$8)</f>
        <v>0</v>
      </c>
      <c r="K96" s="25" t="s">
        <v>111</v>
      </c>
      <c r="L96" s="26" t="str">
        <f>IF(A96="","",IF(COUNTIF(Public_Holidays!$A$4:$A$80,A96)&gt;0,"Y","N"))</f>
        <v>N</v>
      </c>
      <c r="M96" s="26" t="str">
        <f t="shared" si="5"/>
        <v>N</v>
      </c>
      <c r="N96" s="26" t="e">
        <f ca="1">IF(A96="","",_xludf.TEXTJOIN("; ",TRUE,IF(SUMIFS($J:$J,$C:$C,C96,$B:$B,B96)&gt;Settings!$B$9,"Weekly ordinary hrs &gt;45",""),IF(SUMIFS(Claims!$H:$H,Claims!$C:$C,C96,Claims!$B:$B,B96)&gt;Settings!$B$10,"Weekly OT &gt;10",""),IF(AND(G96&lt;&gt;"Off",COUNTIFS($C:$C,C96,$A:$A,A96-1,$G:$G,"Night")&gt;0),"Rest &lt;12h after night shift",""),IF(J96&gt;5,"Meal interval required","")))</f>
        <v>#NAME?</v>
      </c>
      <c r="O96" s="25" t="s">
        <v>112</v>
      </c>
      <c r="P96" s="25"/>
    </row>
    <row r="97" spans="1:16" x14ac:dyDescent="0.35">
      <c r="A97" s="31">
        <f>IF(4+1&lt;=Settings!$B$7,Settings!$B$6+4,"")</f>
        <v>46147</v>
      </c>
      <c r="B97" s="31">
        <f t="shared" si="3"/>
        <v>46146</v>
      </c>
      <c r="C97" s="26" t="str">
        <f>IF(Employees!A17="","",Employees!A17)</f>
        <v/>
      </c>
      <c r="D97" s="26" t="str">
        <f>IF(C97="","",Employees!B17)</f>
        <v/>
      </c>
      <c r="E97" s="26" t="str">
        <f>IF(C97="","",Employees!C17)</f>
        <v/>
      </c>
      <c r="F97" s="26">
        <f>IF(A97="","",MOD(A97-Settings!$B$6,4)+1)</f>
        <v>1</v>
      </c>
      <c r="G97" s="26" t="str">
        <f>IF(C97="","",INDEX(Rotation_Pattern!$B$4:$E$7,F97,MATCH(E97,{"A","B","C","D"},0)))</f>
        <v/>
      </c>
      <c r="H97" s="32" t="str">
        <f t="shared" si="4"/>
        <v/>
      </c>
      <c r="I97" s="32" t="str">
        <f>IF(OR(G97="Off",G97=""),"",H97+TIME(Settings!$B$8,0,0))</f>
        <v/>
      </c>
      <c r="J97" s="26">
        <f>IF(OR(G97="Off",G97=""),0,Settings!$B$8)</f>
        <v>0</v>
      </c>
      <c r="K97" s="25" t="s">
        <v>111</v>
      </c>
      <c r="L97" s="26" t="str">
        <f>IF(A97="","",IF(COUNTIF(Public_Holidays!$A$4:$A$80,A97)&gt;0,"Y","N"))</f>
        <v>N</v>
      </c>
      <c r="M97" s="26" t="str">
        <f t="shared" si="5"/>
        <v>N</v>
      </c>
      <c r="N97" s="26" t="e">
        <f ca="1">IF(A97="","",_xludf.TEXTJOIN("; ",TRUE,IF(SUMIFS($J:$J,$C:$C,C97,$B:$B,B97)&gt;Settings!$B$9,"Weekly ordinary hrs &gt;45",""),IF(SUMIFS(Claims!$H:$H,Claims!$C:$C,C97,Claims!$B:$B,B97)&gt;Settings!$B$10,"Weekly OT &gt;10",""),IF(AND(G97&lt;&gt;"Off",COUNTIFS($C:$C,C97,$A:$A,A97-1,$G:$G,"Night")&gt;0),"Rest &lt;12h after night shift",""),IF(J97&gt;5,"Meal interval required","")))</f>
        <v>#NAME?</v>
      </c>
      <c r="O97" s="25" t="s">
        <v>112</v>
      </c>
      <c r="P97" s="25"/>
    </row>
    <row r="98" spans="1:16" x14ac:dyDescent="0.35">
      <c r="A98" s="31">
        <f>IF(4+1&lt;=Settings!$B$7,Settings!$B$6+4,"")</f>
        <v>46147</v>
      </c>
      <c r="B98" s="31">
        <f t="shared" si="3"/>
        <v>46146</v>
      </c>
      <c r="C98" s="26" t="str">
        <f>IF(Employees!A18="","",Employees!A18)</f>
        <v/>
      </c>
      <c r="D98" s="26" t="str">
        <f>IF(C98="","",Employees!B18)</f>
        <v/>
      </c>
      <c r="E98" s="26" t="str">
        <f>IF(C98="","",Employees!C18)</f>
        <v/>
      </c>
      <c r="F98" s="26">
        <f>IF(A98="","",MOD(A98-Settings!$B$6,4)+1)</f>
        <v>1</v>
      </c>
      <c r="G98" s="26" t="str">
        <f>IF(C98="","",INDEX(Rotation_Pattern!$B$4:$E$7,F98,MATCH(E98,{"A","B","C","D"},0)))</f>
        <v/>
      </c>
      <c r="H98" s="32" t="str">
        <f t="shared" si="4"/>
        <v/>
      </c>
      <c r="I98" s="32" t="str">
        <f>IF(OR(G98="Off",G98=""),"",H98+TIME(Settings!$B$8,0,0))</f>
        <v/>
      </c>
      <c r="J98" s="26">
        <f>IF(OR(G98="Off",G98=""),0,Settings!$B$8)</f>
        <v>0</v>
      </c>
      <c r="K98" s="25" t="s">
        <v>111</v>
      </c>
      <c r="L98" s="26" t="str">
        <f>IF(A98="","",IF(COUNTIF(Public_Holidays!$A$4:$A$80,A98)&gt;0,"Y","N"))</f>
        <v>N</v>
      </c>
      <c r="M98" s="26" t="str">
        <f t="shared" si="5"/>
        <v>N</v>
      </c>
      <c r="N98" s="26" t="e">
        <f ca="1">IF(A98="","",_xludf.TEXTJOIN("; ",TRUE,IF(SUMIFS($J:$J,$C:$C,C98,$B:$B,B98)&gt;Settings!$B$9,"Weekly ordinary hrs &gt;45",""),IF(SUMIFS(Claims!$H:$H,Claims!$C:$C,C98,Claims!$B:$B,B98)&gt;Settings!$B$10,"Weekly OT &gt;10",""),IF(AND(G98&lt;&gt;"Off",COUNTIFS($C:$C,C98,$A:$A,A98-1,$G:$G,"Night")&gt;0),"Rest &lt;12h after night shift",""),IF(J98&gt;5,"Meal interval required","")))</f>
        <v>#NAME?</v>
      </c>
      <c r="O98" s="25" t="s">
        <v>112</v>
      </c>
      <c r="P98" s="25"/>
    </row>
    <row r="99" spans="1:16" x14ac:dyDescent="0.35">
      <c r="A99" s="31">
        <f>IF(4+1&lt;=Settings!$B$7,Settings!$B$6+4,"")</f>
        <v>46147</v>
      </c>
      <c r="B99" s="31">
        <f t="shared" si="3"/>
        <v>46146</v>
      </c>
      <c r="C99" s="26" t="str">
        <f>IF(Employees!A19="","",Employees!A19)</f>
        <v/>
      </c>
      <c r="D99" s="26" t="str">
        <f>IF(C99="","",Employees!B19)</f>
        <v/>
      </c>
      <c r="E99" s="26" t="str">
        <f>IF(C99="","",Employees!C19)</f>
        <v/>
      </c>
      <c r="F99" s="26">
        <f>IF(A99="","",MOD(A99-Settings!$B$6,4)+1)</f>
        <v>1</v>
      </c>
      <c r="G99" s="26" t="str">
        <f>IF(C99="","",INDEX(Rotation_Pattern!$B$4:$E$7,F99,MATCH(E99,{"A","B","C","D"},0)))</f>
        <v/>
      </c>
      <c r="H99" s="32" t="str">
        <f t="shared" si="4"/>
        <v/>
      </c>
      <c r="I99" s="32" t="str">
        <f>IF(OR(G99="Off",G99=""),"",H99+TIME(Settings!$B$8,0,0))</f>
        <v/>
      </c>
      <c r="J99" s="26">
        <f>IF(OR(G99="Off",G99=""),0,Settings!$B$8)</f>
        <v>0</v>
      </c>
      <c r="K99" s="25" t="s">
        <v>111</v>
      </c>
      <c r="L99" s="26" t="str">
        <f>IF(A99="","",IF(COUNTIF(Public_Holidays!$A$4:$A$80,A99)&gt;0,"Y","N"))</f>
        <v>N</v>
      </c>
      <c r="M99" s="26" t="str">
        <f t="shared" si="5"/>
        <v>N</v>
      </c>
      <c r="N99" s="26" t="e">
        <f ca="1">IF(A99="","",_xludf.TEXTJOIN("; ",TRUE,IF(SUMIFS($J:$J,$C:$C,C99,$B:$B,B99)&gt;Settings!$B$9,"Weekly ordinary hrs &gt;45",""),IF(SUMIFS(Claims!$H:$H,Claims!$C:$C,C99,Claims!$B:$B,B99)&gt;Settings!$B$10,"Weekly OT &gt;10",""),IF(AND(G99&lt;&gt;"Off",COUNTIFS($C:$C,C99,$A:$A,A99-1,$G:$G,"Night")&gt;0),"Rest &lt;12h after night shift",""),IF(J99&gt;5,"Meal interval required","")))</f>
        <v>#NAME?</v>
      </c>
      <c r="O99" s="25" t="s">
        <v>112</v>
      </c>
      <c r="P99" s="25"/>
    </row>
    <row r="100" spans="1:16" x14ac:dyDescent="0.35">
      <c r="A100" s="31">
        <f>IF(4+1&lt;=Settings!$B$7,Settings!$B$6+4,"")</f>
        <v>46147</v>
      </c>
      <c r="B100" s="31">
        <f t="shared" si="3"/>
        <v>46146</v>
      </c>
      <c r="C100" s="26" t="str">
        <f>IF(Employees!A20="","",Employees!A20)</f>
        <v/>
      </c>
      <c r="D100" s="26" t="str">
        <f>IF(C100="","",Employees!B20)</f>
        <v/>
      </c>
      <c r="E100" s="26" t="str">
        <f>IF(C100="","",Employees!C20)</f>
        <v/>
      </c>
      <c r="F100" s="26">
        <f>IF(A100="","",MOD(A100-Settings!$B$6,4)+1)</f>
        <v>1</v>
      </c>
      <c r="G100" s="26" t="str">
        <f>IF(C100="","",INDEX(Rotation_Pattern!$B$4:$E$7,F100,MATCH(E100,{"A","B","C","D"},0)))</f>
        <v/>
      </c>
      <c r="H100" s="32" t="str">
        <f t="shared" si="4"/>
        <v/>
      </c>
      <c r="I100" s="32" t="str">
        <f>IF(OR(G100="Off",G100=""),"",H100+TIME(Settings!$B$8,0,0))</f>
        <v/>
      </c>
      <c r="J100" s="26">
        <f>IF(OR(G100="Off",G100=""),0,Settings!$B$8)</f>
        <v>0</v>
      </c>
      <c r="K100" s="25" t="s">
        <v>111</v>
      </c>
      <c r="L100" s="26" t="str">
        <f>IF(A100="","",IF(COUNTIF(Public_Holidays!$A$4:$A$80,A100)&gt;0,"Y","N"))</f>
        <v>N</v>
      </c>
      <c r="M100" s="26" t="str">
        <f t="shared" si="5"/>
        <v>N</v>
      </c>
      <c r="N100" s="26" t="e">
        <f ca="1">IF(A100="","",_xludf.TEXTJOIN("; ",TRUE,IF(SUMIFS($J:$J,$C:$C,C100,$B:$B,B100)&gt;Settings!$B$9,"Weekly ordinary hrs &gt;45",""),IF(SUMIFS(Claims!$H:$H,Claims!$C:$C,C100,Claims!$B:$B,B100)&gt;Settings!$B$10,"Weekly OT &gt;10",""),IF(AND(G100&lt;&gt;"Off",COUNTIFS($C:$C,C100,$A:$A,A100-1,$G:$G,"Night")&gt;0),"Rest &lt;12h after night shift",""),IF(J100&gt;5,"Meal interval required","")))</f>
        <v>#NAME?</v>
      </c>
      <c r="O100" s="25" t="s">
        <v>112</v>
      </c>
      <c r="P100" s="25"/>
    </row>
    <row r="101" spans="1:16" x14ac:dyDescent="0.35">
      <c r="A101" s="31">
        <f>IF(4+1&lt;=Settings!$B$7,Settings!$B$6+4,"")</f>
        <v>46147</v>
      </c>
      <c r="B101" s="31">
        <f t="shared" si="3"/>
        <v>46146</v>
      </c>
      <c r="C101" s="26" t="str">
        <f>IF(Employees!A21="","",Employees!A21)</f>
        <v/>
      </c>
      <c r="D101" s="26" t="str">
        <f>IF(C101="","",Employees!B21)</f>
        <v/>
      </c>
      <c r="E101" s="26" t="str">
        <f>IF(C101="","",Employees!C21)</f>
        <v/>
      </c>
      <c r="F101" s="26">
        <f>IF(A101="","",MOD(A101-Settings!$B$6,4)+1)</f>
        <v>1</v>
      </c>
      <c r="G101" s="26" t="str">
        <f>IF(C101="","",INDEX(Rotation_Pattern!$B$4:$E$7,F101,MATCH(E101,{"A","B","C","D"},0)))</f>
        <v/>
      </c>
      <c r="H101" s="32" t="str">
        <f t="shared" si="4"/>
        <v/>
      </c>
      <c r="I101" s="32" t="str">
        <f>IF(OR(G101="Off",G101=""),"",H101+TIME(Settings!$B$8,0,0))</f>
        <v/>
      </c>
      <c r="J101" s="26">
        <f>IF(OR(G101="Off",G101=""),0,Settings!$B$8)</f>
        <v>0</v>
      </c>
      <c r="K101" s="25" t="s">
        <v>111</v>
      </c>
      <c r="L101" s="26" t="str">
        <f>IF(A101="","",IF(COUNTIF(Public_Holidays!$A$4:$A$80,A101)&gt;0,"Y","N"))</f>
        <v>N</v>
      </c>
      <c r="M101" s="26" t="str">
        <f t="shared" si="5"/>
        <v>N</v>
      </c>
      <c r="N101" s="26" t="e">
        <f ca="1">IF(A101="","",_xludf.TEXTJOIN("; ",TRUE,IF(SUMIFS($J:$J,$C:$C,C101,$B:$B,B101)&gt;Settings!$B$9,"Weekly ordinary hrs &gt;45",""),IF(SUMIFS(Claims!$H:$H,Claims!$C:$C,C101,Claims!$B:$B,B101)&gt;Settings!$B$10,"Weekly OT &gt;10",""),IF(AND(G101&lt;&gt;"Off",COUNTIFS($C:$C,C101,$A:$A,A101-1,$G:$G,"Night")&gt;0),"Rest &lt;12h after night shift",""),IF(J101&gt;5,"Meal interval required","")))</f>
        <v>#NAME?</v>
      </c>
      <c r="O101" s="25" t="s">
        <v>112</v>
      </c>
      <c r="P101" s="25"/>
    </row>
    <row r="102" spans="1:16" x14ac:dyDescent="0.35">
      <c r="A102" s="31">
        <f>IF(4+1&lt;=Settings!$B$7,Settings!$B$6+4,"")</f>
        <v>46147</v>
      </c>
      <c r="B102" s="31">
        <f t="shared" si="3"/>
        <v>46146</v>
      </c>
      <c r="C102" s="26" t="str">
        <f>IF(Employees!A22="","",Employees!A22)</f>
        <v/>
      </c>
      <c r="D102" s="26" t="str">
        <f>IF(C102="","",Employees!B22)</f>
        <v/>
      </c>
      <c r="E102" s="26" t="str">
        <f>IF(C102="","",Employees!C22)</f>
        <v/>
      </c>
      <c r="F102" s="26">
        <f>IF(A102="","",MOD(A102-Settings!$B$6,4)+1)</f>
        <v>1</v>
      </c>
      <c r="G102" s="26" t="str">
        <f>IF(C102="","",INDEX(Rotation_Pattern!$B$4:$E$7,F102,MATCH(E102,{"A","B","C","D"},0)))</f>
        <v/>
      </c>
      <c r="H102" s="32" t="str">
        <f t="shared" si="4"/>
        <v/>
      </c>
      <c r="I102" s="32" t="str">
        <f>IF(OR(G102="Off",G102=""),"",H102+TIME(Settings!$B$8,0,0))</f>
        <v/>
      </c>
      <c r="J102" s="26">
        <f>IF(OR(G102="Off",G102=""),0,Settings!$B$8)</f>
        <v>0</v>
      </c>
      <c r="K102" s="25" t="s">
        <v>111</v>
      </c>
      <c r="L102" s="26" t="str">
        <f>IF(A102="","",IF(COUNTIF(Public_Holidays!$A$4:$A$80,A102)&gt;0,"Y","N"))</f>
        <v>N</v>
      </c>
      <c r="M102" s="26" t="str">
        <f t="shared" si="5"/>
        <v>N</v>
      </c>
      <c r="N102" s="26" t="e">
        <f ca="1">IF(A102="","",_xludf.TEXTJOIN("; ",TRUE,IF(SUMIFS($J:$J,$C:$C,C102,$B:$B,B102)&gt;Settings!$B$9,"Weekly ordinary hrs &gt;45",""),IF(SUMIFS(Claims!$H:$H,Claims!$C:$C,C102,Claims!$B:$B,B102)&gt;Settings!$B$10,"Weekly OT &gt;10",""),IF(AND(G102&lt;&gt;"Off",COUNTIFS($C:$C,C102,$A:$A,A102-1,$G:$G,"Night")&gt;0),"Rest &lt;12h after night shift",""),IF(J102&gt;5,"Meal interval required","")))</f>
        <v>#NAME?</v>
      </c>
      <c r="O102" s="25" t="s">
        <v>112</v>
      </c>
      <c r="P102" s="25"/>
    </row>
    <row r="103" spans="1:16" x14ac:dyDescent="0.35">
      <c r="A103" s="31">
        <f>IF(4+1&lt;=Settings!$B$7,Settings!$B$6+4,"")</f>
        <v>46147</v>
      </c>
      <c r="B103" s="31">
        <f t="shared" si="3"/>
        <v>46146</v>
      </c>
      <c r="C103" s="26" t="str">
        <f>IF(Employees!A23="","",Employees!A23)</f>
        <v/>
      </c>
      <c r="D103" s="26" t="str">
        <f>IF(C103="","",Employees!B23)</f>
        <v/>
      </c>
      <c r="E103" s="26" t="str">
        <f>IF(C103="","",Employees!C23)</f>
        <v/>
      </c>
      <c r="F103" s="26">
        <f>IF(A103="","",MOD(A103-Settings!$B$6,4)+1)</f>
        <v>1</v>
      </c>
      <c r="G103" s="26" t="str">
        <f>IF(C103="","",INDEX(Rotation_Pattern!$B$4:$E$7,F103,MATCH(E103,{"A","B","C","D"},0)))</f>
        <v/>
      </c>
      <c r="H103" s="32" t="str">
        <f t="shared" si="4"/>
        <v/>
      </c>
      <c r="I103" s="32" t="str">
        <f>IF(OR(G103="Off",G103=""),"",H103+TIME(Settings!$B$8,0,0))</f>
        <v/>
      </c>
      <c r="J103" s="26">
        <f>IF(OR(G103="Off",G103=""),0,Settings!$B$8)</f>
        <v>0</v>
      </c>
      <c r="K103" s="25" t="s">
        <v>111</v>
      </c>
      <c r="L103" s="26" t="str">
        <f>IF(A103="","",IF(COUNTIF(Public_Holidays!$A$4:$A$80,A103)&gt;0,"Y","N"))</f>
        <v>N</v>
      </c>
      <c r="M103" s="26" t="str">
        <f t="shared" si="5"/>
        <v>N</v>
      </c>
      <c r="N103" s="26" t="e">
        <f ca="1">IF(A103="","",_xludf.TEXTJOIN("; ",TRUE,IF(SUMIFS($J:$J,$C:$C,C103,$B:$B,B103)&gt;Settings!$B$9,"Weekly ordinary hrs &gt;45",""),IF(SUMIFS(Claims!$H:$H,Claims!$C:$C,C103,Claims!$B:$B,B103)&gt;Settings!$B$10,"Weekly OT &gt;10",""),IF(AND(G103&lt;&gt;"Off",COUNTIFS($C:$C,C103,$A:$A,A103-1,$G:$G,"Night")&gt;0),"Rest &lt;12h after night shift",""),IF(J103&gt;5,"Meal interval required","")))</f>
        <v>#NAME?</v>
      </c>
      <c r="O103" s="25" t="s">
        <v>112</v>
      </c>
      <c r="P103" s="25"/>
    </row>
    <row r="104" spans="1:16" x14ac:dyDescent="0.35">
      <c r="A104" s="31">
        <f>IF(5+1&lt;=Settings!$B$7,Settings!$B$6+5,"")</f>
        <v>46148</v>
      </c>
      <c r="B104" s="31">
        <f t="shared" si="3"/>
        <v>46146</v>
      </c>
      <c r="C104" s="26" t="str">
        <f>IF(Employees!A4="","",Employees!A4)</f>
        <v>E001</v>
      </c>
      <c r="D104" s="26" t="str">
        <f>IF(C104="","",Employees!B4)</f>
        <v>Musiwa Khavalani</v>
      </c>
      <c r="E104" s="26">
        <f>IF(C104="","",Employees!C4)</f>
        <v>0</v>
      </c>
      <c r="F104" s="26">
        <f>IF(A104="","",MOD(A104-Settings!$B$6,4)+1)</f>
        <v>2</v>
      </c>
      <c r="G104" s="26" t="e">
        <f>IF(C104="","",INDEX(Rotation_Pattern!$B$4:$E$7,F104,MATCH(E104,{"A","B","C","D"},0)))</f>
        <v>#N/A</v>
      </c>
      <c r="H104" s="32" t="e">
        <f t="shared" si="4"/>
        <v>#N/A</v>
      </c>
      <c r="I104" s="32" t="e">
        <f>IF(OR(G104="Off",G104=""),"",H104+TIME(Settings!$B$8,0,0))</f>
        <v>#N/A</v>
      </c>
      <c r="J104" s="26" t="e">
        <f>IF(OR(G104="Off",G104=""),0,Settings!$B$8)</f>
        <v>#N/A</v>
      </c>
      <c r="K104" s="25" t="s">
        <v>111</v>
      </c>
      <c r="L104" s="26" t="str">
        <f>IF(A104="","",IF(COUNTIF(Public_Holidays!$A$4:$A$80,A104)&gt;0,"Y","N"))</f>
        <v>N</v>
      </c>
      <c r="M104" s="26" t="str">
        <f t="shared" si="5"/>
        <v>N</v>
      </c>
      <c r="N104" s="26" t="e">
        <f ca="1">IF(A104="","",_xludf.TEXTJOIN("; ",TRUE,IF(SUMIFS($J:$J,$C:$C,C104,$B:$B,B104)&gt;Settings!$B$9,"Weekly ordinary hrs &gt;45",""),IF(SUMIFS(Claims!$H:$H,Claims!$C:$C,C104,Claims!$B:$B,B104)&gt;Settings!$B$10,"Weekly OT &gt;10",""),IF(AND(G104&lt;&gt;"Off",COUNTIFS($C:$C,C104,$A:$A,A104-1,$G:$G,"Night")&gt;0),"Rest &lt;12h after night shift",""),IF(J104&gt;5,"Meal interval required","")))</f>
        <v>#NAME?</v>
      </c>
      <c r="O104" s="25" t="s">
        <v>112</v>
      </c>
      <c r="P104" s="25"/>
    </row>
    <row r="105" spans="1:16" x14ac:dyDescent="0.35">
      <c r="A105" s="31">
        <f>IF(5+1&lt;=Settings!$B$7,Settings!$B$6+5,"")</f>
        <v>46148</v>
      </c>
      <c r="B105" s="31">
        <f t="shared" si="3"/>
        <v>46146</v>
      </c>
      <c r="C105" s="26" t="str">
        <f>IF(Employees!A5="","",Employees!A5)</f>
        <v>E002</v>
      </c>
      <c r="D105" s="26" t="str">
        <f>IF(C105="","",Employees!B5)</f>
        <v>Mpho  Nembemhia</v>
      </c>
      <c r="E105" s="26" t="str">
        <f>IF(C105="","",Employees!C5)</f>
        <v>B</v>
      </c>
      <c r="F105" s="26">
        <f>IF(A105="","",MOD(A105-Settings!$B$6,4)+1)</f>
        <v>2</v>
      </c>
      <c r="G105" s="26" t="str">
        <f>IF(C105="","",INDEX(Rotation_Pattern!$B$4:$E$7,F105,MATCH(E105,{"A","B","C","D"},0)))</f>
        <v>Day</v>
      </c>
      <c r="H105" s="32">
        <f t="shared" si="4"/>
        <v>0.25</v>
      </c>
      <c r="I105" s="32">
        <f>IF(OR(G105="Off",G105=""),"",H105+TIME(Settings!$B$8,0,0))</f>
        <v>0.58333333333333326</v>
      </c>
      <c r="J105" s="26">
        <f>IF(OR(G105="Off",G105=""),0,Settings!$B$8)</f>
        <v>8</v>
      </c>
      <c r="K105" s="25" t="s">
        <v>111</v>
      </c>
      <c r="L105" s="26" t="str">
        <f>IF(A105="","",IF(COUNTIF(Public_Holidays!$A$4:$A$80,A105)&gt;0,"Y","N"))</f>
        <v>N</v>
      </c>
      <c r="M105" s="26" t="str">
        <f t="shared" si="5"/>
        <v>N</v>
      </c>
      <c r="N105" s="26" t="e">
        <f ca="1">IF(A105="","",_xludf.TEXTJOIN("; ",TRUE,IF(SUMIFS($J:$J,$C:$C,C105,$B:$B,B105)&gt;Settings!$B$9,"Weekly ordinary hrs &gt;45",""),IF(SUMIFS(Claims!$H:$H,Claims!$C:$C,C105,Claims!$B:$B,B105)&gt;Settings!$B$10,"Weekly OT &gt;10",""),IF(AND(G105&lt;&gt;"Off",COUNTIFS($C:$C,C105,$A:$A,A105-1,$G:$G,"Night")&gt;0),"Rest &lt;12h after night shift",""),IF(J105&gt;5,"Meal interval required","")))</f>
        <v>#NAME?</v>
      </c>
      <c r="O105" s="25" t="s">
        <v>112</v>
      </c>
      <c r="P105" s="25"/>
    </row>
    <row r="106" spans="1:16" x14ac:dyDescent="0.35">
      <c r="A106" s="31">
        <f>IF(5+1&lt;=Settings!$B$7,Settings!$B$6+5,"")</f>
        <v>46148</v>
      </c>
      <c r="B106" s="31">
        <f t="shared" si="3"/>
        <v>46146</v>
      </c>
      <c r="C106" s="26" t="str">
        <f>IF(Employees!A6="","",Employees!A6)</f>
        <v>E003</v>
      </c>
      <c r="D106" s="26" t="str">
        <f>IF(C106="","",Employees!B6)</f>
        <v>Dimpho Makhafola</v>
      </c>
      <c r="E106" s="26" t="str">
        <f>IF(C106="","",Employees!C6)</f>
        <v>C</v>
      </c>
      <c r="F106" s="26">
        <f>IF(A106="","",MOD(A106-Settings!$B$6,4)+1)</f>
        <v>2</v>
      </c>
      <c r="G106" s="26" t="str">
        <f>IF(C106="","",INDEX(Rotation_Pattern!$B$4:$E$7,F106,MATCH(E106,{"A","B","C","D"},0)))</f>
        <v>Off</v>
      </c>
      <c r="H106" s="32" t="str">
        <f t="shared" si="4"/>
        <v/>
      </c>
      <c r="I106" s="32" t="str">
        <f>IF(OR(G106="Off",G106=""),"",H106+TIME(Settings!$B$8,0,0))</f>
        <v/>
      </c>
      <c r="J106" s="26">
        <f>IF(OR(G106="Off",G106=""),0,Settings!$B$8)</f>
        <v>0</v>
      </c>
      <c r="K106" s="25" t="s">
        <v>111</v>
      </c>
      <c r="L106" s="26" t="str">
        <f>IF(A106="","",IF(COUNTIF(Public_Holidays!$A$4:$A$80,A106)&gt;0,"Y","N"))</f>
        <v>N</v>
      </c>
      <c r="M106" s="26" t="str">
        <f t="shared" si="5"/>
        <v>N</v>
      </c>
      <c r="N106" s="26" t="e">
        <f ca="1">IF(A106="","",_xludf.TEXTJOIN("; ",TRUE,IF(SUMIFS($J:$J,$C:$C,C106,$B:$B,B106)&gt;Settings!$B$9,"Weekly ordinary hrs &gt;45",""),IF(SUMIFS(Claims!$H:$H,Claims!$C:$C,C106,Claims!$B:$B,B106)&gt;Settings!$B$10,"Weekly OT &gt;10",""),IF(AND(G106&lt;&gt;"Off",COUNTIFS($C:$C,C106,$A:$A,A106-1,$G:$G,"Night")&gt;0),"Rest &lt;12h after night shift",""),IF(J106&gt;5,"Meal interval required","")))</f>
        <v>#NAME?</v>
      </c>
      <c r="O106" s="25" t="s">
        <v>112</v>
      </c>
      <c r="P106" s="25"/>
    </row>
    <row r="107" spans="1:16" x14ac:dyDescent="0.35">
      <c r="A107" s="31">
        <f>IF(5+1&lt;=Settings!$B$7,Settings!$B$6+5,"")</f>
        <v>46148</v>
      </c>
      <c r="B107" s="31">
        <f t="shared" si="3"/>
        <v>46146</v>
      </c>
      <c r="C107" s="26" t="str">
        <f>IF(Employees!A7="","",Employees!A7)</f>
        <v>E004</v>
      </c>
      <c r="D107" s="26" t="str">
        <f>IF(C107="","",Employees!B7)</f>
        <v>Bashii Fall</v>
      </c>
      <c r="E107" s="26" t="str">
        <f>IF(C107="","",Employees!C7)</f>
        <v>D</v>
      </c>
      <c r="F107" s="26">
        <f>IF(A107="","",MOD(A107-Settings!$B$6,4)+1)</f>
        <v>2</v>
      </c>
      <c r="G107" s="26" t="str">
        <f>IF(C107="","",INDEX(Rotation_Pattern!$B$4:$E$7,F107,MATCH(E107,{"A","B","C","D"},0)))</f>
        <v>Night</v>
      </c>
      <c r="H107" s="32">
        <f t="shared" si="4"/>
        <v>0.91666666666666663</v>
      </c>
      <c r="I107" s="32">
        <f>IF(OR(G107="Off",G107=""),"",H107+TIME(Settings!$B$8,0,0))</f>
        <v>1.25</v>
      </c>
      <c r="J107" s="26">
        <f>IF(OR(G107="Off",G107=""),0,Settings!$B$8)</f>
        <v>8</v>
      </c>
      <c r="K107" s="25" t="s">
        <v>111</v>
      </c>
      <c r="L107" s="26" t="str">
        <f>IF(A107="","",IF(COUNTIF(Public_Holidays!$A$4:$A$80,A107)&gt;0,"Y","N"))</f>
        <v>N</v>
      </c>
      <c r="M107" s="26" t="str">
        <f t="shared" si="5"/>
        <v>N</v>
      </c>
      <c r="N107" s="26" t="e">
        <f ca="1">IF(A107="","",_xludf.TEXTJOIN("; ",TRUE,IF(SUMIFS($J:$J,$C:$C,C107,$B:$B,B107)&gt;Settings!$B$9,"Weekly ordinary hrs &gt;45",""),IF(SUMIFS(Claims!$H:$H,Claims!$C:$C,C107,Claims!$B:$B,B107)&gt;Settings!$B$10,"Weekly OT &gt;10",""),IF(AND(G107&lt;&gt;"Off",COUNTIFS($C:$C,C107,$A:$A,A107-1,$G:$G,"Night")&gt;0),"Rest &lt;12h after night shift",""),IF(J107&gt;5,"Meal interval required","")))</f>
        <v>#NAME?</v>
      </c>
      <c r="O107" s="25" t="s">
        <v>112</v>
      </c>
      <c r="P107" s="25"/>
    </row>
    <row r="108" spans="1:16" x14ac:dyDescent="0.35">
      <c r="A108" s="31">
        <f>IF(5+1&lt;=Settings!$B$7,Settings!$B$6+5,"")</f>
        <v>46148</v>
      </c>
      <c r="B108" s="31">
        <f t="shared" si="3"/>
        <v>46146</v>
      </c>
      <c r="C108" s="26" t="str">
        <f>IF(Employees!A8="","",Employees!A8)</f>
        <v>E005</v>
      </c>
      <c r="D108" s="26" t="str">
        <f>IF(C108="","",Employees!B8)</f>
        <v>Lesego Aphane</v>
      </c>
      <c r="E108" s="26" t="str">
        <f>IF(C108="","",Employees!C8)</f>
        <v>A</v>
      </c>
      <c r="F108" s="26">
        <f>IF(A108="","",MOD(A108-Settings!$B$6,4)+1)</f>
        <v>2</v>
      </c>
      <c r="G108" s="26" t="str">
        <f>IF(C108="","",INDEX(Rotation_Pattern!$B$4:$E$7,F108,MATCH(E108,{"A","B","C","D"},0)))</f>
        <v>Evening</v>
      </c>
      <c r="H108" s="32">
        <f t="shared" si="4"/>
        <v>0.58333333333333337</v>
      </c>
      <c r="I108" s="32">
        <f>IF(OR(G108="Off",G108=""),"",H108+TIME(Settings!$B$8,0,0))</f>
        <v>0.91666666666666674</v>
      </c>
      <c r="J108" s="26">
        <f>IF(OR(G108="Off",G108=""),0,Settings!$B$8)</f>
        <v>8</v>
      </c>
      <c r="K108" s="25" t="s">
        <v>111</v>
      </c>
      <c r="L108" s="26" t="str">
        <f>IF(A108="","",IF(COUNTIF(Public_Holidays!$A$4:$A$80,A108)&gt;0,"Y","N"))</f>
        <v>N</v>
      </c>
      <c r="M108" s="26" t="str">
        <f t="shared" si="5"/>
        <v>N</v>
      </c>
      <c r="N108" s="26" t="e">
        <f ca="1">IF(A108="","",_xludf.TEXTJOIN("; ",TRUE,IF(SUMIFS($J:$J,$C:$C,C108,$B:$B,B108)&gt;Settings!$B$9,"Weekly ordinary hrs &gt;45",""),IF(SUMIFS(Claims!$H:$H,Claims!$C:$C,C108,Claims!$B:$B,B108)&gt;Settings!$B$10,"Weekly OT &gt;10",""),IF(AND(G108&lt;&gt;"Off",COUNTIFS($C:$C,C108,$A:$A,A108-1,$G:$G,"Night")&gt;0),"Rest &lt;12h after night shift",""),IF(J108&gt;5,"Meal interval required","")))</f>
        <v>#NAME?</v>
      </c>
      <c r="O108" s="25" t="s">
        <v>112</v>
      </c>
      <c r="P108" s="25"/>
    </row>
    <row r="109" spans="1:16" x14ac:dyDescent="0.35">
      <c r="A109" s="31">
        <f>IF(5+1&lt;=Settings!$B$7,Settings!$B$6+5,"")</f>
        <v>46148</v>
      </c>
      <c r="B109" s="31">
        <f t="shared" si="3"/>
        <v>46146</v>
      </c>
      <c r="C109" s="26" t="str">
        <f>IF(Employees!A9="","",Employees!A9)</f>
        <v>E006</v>
      </c>
      <c r="D109" s="26" t="str">
        <f>IF(C109="","",Employees!B9)</f>
        <v>Nhalnahla</v>
      </c>
      <c r="E109" s="26" t="str">
        <f>IF(C109="","",Employees!C9)</f>
        <v>B</v>
      </c>
      <c r="F109" s="26">
        <f>IF(A109="","",MOD(A109-Settings!$B$6,4)+1)</f>
        <v>2</v>
      </c>
      <c r="G109" s="26" t="str">
        <f>IF(C109="","",INDEX(Rotation_Pattern!$B$4:$E$7,F109,MATCH(E109,{"A","B","C","D"},0)))</f>
        <v>Day</v>
      </c>
      <c r="H109" s="32">
        <f t="shared" si="4"/>
        <v>0.25</v>
      </c>
      <c r="I109" s="32">
        <f>IF(OR(G109="Off",G109=""),"",H109+TIME(Settings!$B$8,0,0))</f>
        <v>0.58333333333333326</v>
      </c>
      <c r="J109" s="26">
        <f>IF(OR(G109="Off",G109=""),0,Settings!$B$8)</f>
        <v>8</v>
      </c>
      <c r="K109" s="25" t="s">
        <v>111</v>
      </c>
      <c r="L109" s="26" t="str">
        <f>IF(A109="","",IF(COUNTIF(Public_Holidays!$A$4:$A$80,A109)&gt;0,"Y","N"))</f>
        <v>N</v>
      </c>
      <c r="M109" s="26" t="str">
        <f t="shared" si="5"/>
        <v>N</v>
      </c>
      <c r="N109" s="26" t="e">
        <f ca="1">IF(A109="","",_xludf.TEXTJOIN("; ",TRUE,IF(SUMIFS($J:$J,$C:$C,C109,$B:$B,B109)&gt;Settings!$B$9,"Weekly ordinary hrs &gt;45",""),IF(SUMIFS(Claims!$H:$H,Claims!$C:$C,C109,Claims!$B:$B,B109)&gt;Settings!$B$10,"Weekly OT &gt;10",""),IF(AND(G109&lt;&gt;"Off",COUNTIFS($C:$C,C109,$A:$A,A109-1,$G:$G,"Night")&gt;0),"Rest &lt;12h after night shift",""),IF(J109&gt;5,"Meal interval required","")))</f>
        <v>#NAME?</v>
      </c>
      <c r="O109" s="25" t="s">
        <v>112</v>
      </c>
      <c r="P109" s="25"/>
    </row>
    <row r="110" spans="1:16" x14ac:dyDescent="0.35">
      <c r="A110" s="31">
        <f>IF(5+1&lt;=Settings!$B$7,Settings!$B$6+5,"")</f>
        <v>46148</v>
      </c>
      <c r="B110" s="31">
        <f t="shared" si="3"/>
        <v>46146</v>
      </c>
      <c r="C110" s="26" t="str">
        <f>IF(Employees!A10="","",Employees!A10)</f>
        <v>E007</v>
      </c>
      <c r="D110" s="26" t="str">
        <f>IF(C110="","",Employees!B10)</f>
        <v>Joe</v>
      </c>
      <c r="E110" s="26" t="str">
        <f>IF(C110="","",Employees!C10)</f>
        <v>C</v>
      </c>
      <c r="F110" s="26">
        <f>IF(A110="","",MOD(A110-Settings!$B$6,4)+1)</f>
        <v>2</v>
      </c>
      <c r="G110" s="26" t="str">
        <f>IF(C110="","",INDEX(Rotation_Pattern!$B$4:$E$7,F110,MATCH(E110,{"A","B","C","D"},0)))</f>
        <v>Off</v>
      </c>
      <c r="H110" s="32" t="str">
        <f t="shared" si="4"/>
        <v/>
      </c>
      <c r="I110" s="32" t="str">
        <f>IF(OR(G110="Off",G110=""),"",H110+TIME(Settings!$B$8,0,0))</f>
        <v/>
      </c>
      <c r="J110" s="26">
        <f>IF(OR(G110="Off",G110=""),0,Settings!$B$8)</f>
        <v>0</v>
      </c>
      <c r="K110" s="25" t="s">
        <v>111</v>
      </c>
      <c r="L110" s="26" t="str">
        <f>IF(A110="","",IF(COUNTIF(Public_Holidays!$A$4:$A$80,A110)&gt;0,"Y","N"))</f>
        <v>N</v>
      </c>
      <c r="M110" s="26" t="str">
        <f t="shared" si="5"/>
        <v>N</v>
      </c>
      <c r="N110" s="26" t="e">
        <f ca="1">IF(A110="","",_xludf.TEXTJOIN("; ",TRUE,IF(SUMIFS($J:$J,$C:$C,C110,$B:$B,B110)&gt;Settings!$B$9,"Weekly ordinary hrs &gt;45",""),IF(SUMIFS(Claims!$H:$H,Claims!$C:$C,C110,Claims!$B:$B,B110)&gt;Settings!$B$10,"Weekly OT &gt;10",""),IF(AND(G110&lt;&gt;"Off",COUNTIFS($C:$C,C110,$A:$A,A110-1,$G:$G,"Night")&gt;0),"Rest &lt;12h after night shift",""),IF(J110&gt;5,"Meal interval required","")))</f>
        <v>#NAME?</v>
      </c>
      <c r="O110" s="25" t="s">
        <v>112</v>
      </c>
      <c r="P110" s="25"/>
    </row>
    <row r="111" spans="1:16" x14ac:dyDescent="0.35">
      <c r="A111" s="31">
        <f>IF(5+1&lt;=Settings!$B$7,Settings!$B$6+5,"")</f>
        <v>46148</v>
      </c>
      <c r="B111" s="31">
        <f t="shared" si="3"/>
        <v>46146</v>
      </c>
      <c r="C111" s="26" t="str">
        <f>IF(Employees!A11="","",Employees!A11)</f>
        <v>E008</v>
      </c>
      <c r="D111" s="26" t="str">
        <f>IF(C111="","",Employees!B11)</f>
        <v>Tim</v>
      </c>
      <c r="E111" s="26" t="str">
        <f>IF(C111="","",Employees!C11)</f>
        <v>D</v>
      </c>
      <c r="F111" s="26">
        <f>IF(A111="","",MOD(A111-Settings!$B$6,4)+1)</f>
        <v>2</v>
      </c>
      <c r="G111" s="26" t="str">
        <f>IF(C111="","",INDEX(Rotation_Pattern!$B$4:$E$7,F111,MATCH(E111,{"A","B","C","D"},0)))</f>
        <v>Night</v>
      </c>
      <c r="H111" s="32">
        <f t="shared" si="4"/>
        <v>0.91666666666666663</v>
      </c>
      <c r="I111" s="32">
        <f>IF(OR(G111="Off",G111=""),"",H111+TIME(Settings!$B$8,0,0))</f>
        <v>1.25</v>
      </c>
      <c r="J111" s="26">
        <f>IF(OR(G111="Off",G111=""),0,Settings!$B$8)</f>
        <v>8</v>
      </c>
      <c r="K111" s="25" t="s">
        <v>111</v>
      </c>
      <c r="L111" s="26" t="str">
        <f>IF(A111="","",IF(COUNTIF(Public_Holidays!$A$4:$A$80,A111)&gt;0,"Y","N"))</f>
        <v>N</v>
      </c>
      <c r="M111" s="26" t="str">
        <f t="shared" si="5"/>
        <v>N</v>
      </c>
      <c r="N111" s="26" t="e">
        <f ca="1">IF(A111="","",_xludf.TEXTJOIN("; ",TRUE,IF(SUMIFS($J:$J,$C:$C,C111,$B:$B,B111)&gt;Settings!$B$9,"Weekly ordinary hrs &gt;45",""),IF(SUMIFS(Claims!$H:$H,Claims!$C:$C,C111,Claims!$B:$B,B111)&gt;Settings!$B$10,"Weekly OT &gt;10",""),IF(AND(G111&lt;&gt;"Off",COUNTIFS($C:$C,C111,$A:$A,A111-1,$G:$G,"Night")&gt;0),"Rest &lt;12h after night shift",""),IF(J111&gt;5,"Meal interval required","")))</f>
        <v>#NAME?</v>
      </c>
      <c r="O111" s="25" t="s">
        <v>112</v>
      </c>
      <c r="P111" s="25"/>
    </row>
    <row r="112" spans="1:16" x14ac:dyDescent="0.35">
      <c r="A112" s="31">
        <f>IF(5+1&lt;=Settings!$B$7,Settings!$B$6+5,"")</f>
        <v>46148</v>
      </c>
      <c r="B112" s="31">
        <f t="shared" si="3"/>
        <v>46146</v>
      </c>
      <c r="C112" s="26" t="str">
        <f>IF(Employees!A12="","",Employees!A12)</f>
        <v>E009</v>
      </c>
      <c r="D112" s="26" t="str">
        <f>IF(C112="","",Employees!B12)</f>
        <v>Frank</v>
      </c>
      <c r="E112" s="26" t="str">
        <f>IF(C112="","",Employees!C12)</f>
        <v>A</v>
      </c>
      <c r="F112" s="26">
        <f>IF(A112="","",MOD(A112-Settings!$B$6,4)+1)</f>
        <v>2</v>
      </c>
      <c r="G112" s="26" t="str">
        <f>IF(C112="","",INDEX(Rotation_Pattern!$B$4:$E$7,F112,MATCH(E112,{"A","B","C","D"},0)))</f>
        <v>Evening</v>
      </c>
      <c r="H112" s="32">
        <f t="shared" si="4"/>
        <v>0.58333333333333337</v>
      </c>
      <c r="I112" s="32">
        <f>IF(OR(G112="Off",G112=""),"",H112+TIME(Settings!$B$8,0,0))</f>
        <v>0.91666666666666674</v>
      </c>
      <c r="J112" s="26">
        <f>IF(OR(G112="Off",G112=""),0,Settings!$B$8)</f>
        <v>8</v>
      </c>
      <c r="K112" s="25" t="s">
        <v>111</v>
      </c>
      <c r="L112" s="26" t="str">
        <f>IF(A112="","",IF(COUNTIF(Public_Holidays!$A$4:$A$80,A112)&gt;0,"Y","N"))</f>
        <v>N</v>
      </c>
      <c r="M112" s="26" t="str">
        <f t="shared" si="5"/>
        <v>N</v>
      </c>
      <c r="N112" s="26" t="e">
        <f ca="1">IF(A112="","",_xludf.TEXTJOIN("; ",TRUE,IF(SUMIFS($J:$J,$C:$C,C112,$B:$B,B112)&gt;Settings!$B$9,"Weekly ordinary hrs &gt;45",""),IF(SUMIFS(Claims!$H:$H,Claims!$C:$C,C112,Claims!$B:$B,B112)&gt;Settings!$B$10,"Weekly OT &gt;10",""),IF(AND(G112&lt;&gt;"Off",COUNTIFS($C:$C,C112,$A:$A,A112-1,$G:$G,"Night")&gt;0),"Rest &lt;12h after night shift",""),IF(J112&gt;5,"Meal interval required","")))</f>
        <v>#NAME?</v>
      </c>
      <c r="O112" s="25" t="s">
        <v>112</v>
      </c>
      <c r="P112" s="25"/>
    </row>
    <row r="113" spans="1:16" x14ac:dyDescent="0.35">
      <c r="A113" s="31">
        <f>IF(5+1&lt;=Settings!$B$7,Settings!$B$6+5,"")</f>
        <v>46148</v>
      </c>
      <c r="B113" s="31">
        <f t="shared" si="3"/>
        <v>46146</v>
      </c>
      <c r="C113" s="26" t="str">
        <f>IF(Employees!A13="","",Employees!A13)</f>
        <v/>
      </c>
      <c r="D113" s="26" t="str">
        <f>IF(C113="","",Employees!B13)</f>
        <v/>
      </c>
      <c r="E113" s="26" t="str">
        <f>IF(C113="","",Employees!C13)</f>
        <v/>
      </c>
      <c r="F113" s="26">
        <f>IF(A113="","",MOD(A113-Settings!$B$6,4)+1)</f>
        <v>2</v>
      </c>
      <c r="G113" s="26" t="str">
        <f>IF(C113="","",INDEX(Rotation_Pattern!$B$4:$E$7,F113,MATCH(E113,{"A","B","C","D"},0)))</f>
        <v/>
      </c>
      <c r="H113" s="32" t="str">
        <f t="shared" si="4"/>
        <v/>
      </c>
      <c r="I113" s="32" t="str">
        <f>IF(OR(G113="Off",G113=""),"",H113+TIME(Settings!$B$8,0,0))</f>
        <v/>
      </c>
      <c r="J113" s="26">
        <f>IF(OR(G113="Off",G113=""),0,Settings!$B$8)</f>
        <v>0</v>
      </c>
      <c r="K113" s="25" t="s">
        <v>111</v>
      </c>
      <c r="L113" s="26" t="str">
        <f>IF(A113="","",IF(COUNTIF(Public_Holidays!$A$4:$A$80,A113)&gt;0,"Y","N"))</f>
        <v>N</v>
      </c>
      <c r="M113" s="26" t="str">
        <f t="shared" si="5"/>
        <v>N</v>
      </c>
      <c r="N113" s="26" t="e">
        <f ca="1">IF(A113="","",_xludf.TEXTJOIN("; ",TRUE,IF(SUMIFS($J:$J,$C:$C,C113,$B:$B,B113)&gt;Settings!$B$9,"Weekly ordinary hrs &gt;45",""),IF(SUMIFS(Claims!$H:$H,Claims!$C:$C,C113,Claims!$B:$B,B113)&gt;Settings!$B$10,"Weekly OT &gt;10",""),IF(AND(G113&lt;&gt;"Off",COUNTIFS($C:$C,C113,$A:$A,A113-1,$G:$G,"Night")&gt;0),"Rest &lt;12h after night shift",""),IF(J113&gt;5,"Meal interval required","")))</f>
        <v>#NAME?</v>
      </c>
      <c r="O113" s="25" t="s">
        <v>112</v>
      </c>
      <c r="P113" s="25"/>
    </row>
    <row r="114" spans="1:16" x14ac:dyDescent="0.35">
      <c r="A114" s="31">
        <f>IF(5+1&lt;=Settings!$B$7,Settings!$B$6+5,"")</f>
        <v>46148</v>
      </c>
      <c r="B114" s="31">
        <f t="shared" si="3"/>
        <v>46146</v>
      </c>
      <c r="C114" s="26" t="str">
        <f>IF(Employees!A14="","",Employees!A14)</f>
        <v/>
      </c>
      <c r="D114" s="26" t="str">
        <f>IF(C114="","",Employees!B14)</f>
        <v/>
      </c>
      <c r="E114" s="26" t="str">
        <f>IF(C114="","",Employees!C14)</f>
        <v/>
      </c>
      <c r="F114" s="26">
        <f>IF(A114="","",MOD(A114-Settings!$B$6,4)+1)</f>
        <v>2</v>
      </c>
      <c r="G114" s="26" t="str">
        <f>IF(C114="","",INDEX(Rotation_Pattern!$B$4:$E$7,F114,MATCH(E114,{"A","B","C","D"},0)))</f>
        <v/>
      </c>
      <c r="H114" s="32" t="str">
        <f t="shared" si="4"/>
        <v/>
      </c>
      <c r="I114" s="32" t="str">
        <f>IF(OR(G114="Off",G114=""),"",H114+TIME(Settings!$B$8,0,0))</f>
        <v/>
      </c>
      <c r="J114" s="26">
        <f>IF(OR(G114="Off",G114=""),0,Settings!$B$8)</f>
        <v>0</v>
      </c>
      <c r="K114" s="25" t="s">
        <v>111</v>
      </c>
      <c r="L114" s="26" t="str">
        <f>IF(A114="","",IF(COUNTIF(Public_Holidays!$A$4:$A$80,A114)&gt;0,"Y","N"))</f>
        <v>N</v>
      </c>
      <c r="M114" s="26" t="str">
        <f t="shared" si="5"/>
        <v>N</v>
      </c>
      <c r="N114" s="26" t="e">
        <f ca="1">IF(A114="","",_xludf.TEXTJOIN("; ",TRUE,IF(SUMIFS($J:$J,$C:$C,C114,$B:$B,B114)&gt;Settings!$B$9,"Weekly ordinary hrs &gt;45",""),IF(SUMIFS(Claims!$H:$H,Claims!$C:$C,C114,Claims!$B:$B,B114)&gt;Settings!$B$10,"Weekly OT &gt;10",""),IF(AND(G114&lt;&gt;"Off",COUNTIFS($C:$C,C114,$A:$A,A114-1,$G:$G,"Night")&gt;0),"Rest &lt;12h after night shift",""),IF(J114&gt;5,"Meal interval required","")))</f>
        <v>#NAME?</v>
      </c>
      <c r="O114" s="25" t="s">
        <v>112</v>
      </c>
      <c r="P114" s="25"/>
    </row>
    <row r="115" spans="1:16" x14ac:dyDescent="0.35">
      <c r="A115" s="31">
        <f>IF(5+1&lt;=Settings!$B$7,Settings!$B$6+5,"")</f>
        <v>46148</v>
      </c>
      <c r="B115" s="31">
        <f t="shared" si="3"/>
        <v>46146</v>
      </c>
      <c r="C115" s="26" t="str">
        <f>IF(Employees!A15="","",Employees!A15)</f>
        <v/>
      </c>
      <c r="D115" s="26" t="str">
        <f>IF(C115="","",Employees!B15)</f>
        <v/>
      </c>
      <c r="E115" s="26" t="str">
        <f>IF(C115="","",Employees!C15)</f>
        <v/>
      </c>
      <c r="F115" s="26">
        <f>IF(A115="","",MOD(A115-Settings!$B$6,4)+1)</f>
        <v>2</v>
      </c>
      <c r="G115" s="26" t="str">
        <f>IF(C115="","",INDEX(Rotation_Pattern!$B$4:$E$7,F115,MATCH(E115,{"A","B","C","D"},0)))</f>
        <v/>
      </c>
      <c r="H115" s="32" t="str">
        <f t="shared" si="4"/>
        <v/>
      </c>
      <c r="I115" s="32" t="str">
        <f>IF(OR(G115="Off",G115=""),"",H115+TIME(Settings!$B$8,0,0))</f>
        <v/>
      </c>
      <c r="J115" s="26">
        <f>IF(OR(G115="Off",G115=""),0,Settings!$B$8)</f>
        <v>0</v>
      </c>
      <c r="K115" s="25" t="s">
        <v>111</v>
      </c>
      <c r="L115" s="26" t="str">
        <f>IF(A115="","",IF(COUNTIF(Public_Holidays!$A$4:$A$80,A115)&gt;0,"Y","N"))</f>
        <v>N</v>
      </c>
      <c r="M115" s="26" t="str">
        <f t="shared" si="5"/>
        <v>N</v>
      </c>
      <c r="N115" s="26" t="e">
        <f ca="1">IF(A115="","",_xludf.TEXTJOIN("; ",TRUE,IF(SUMIFS($J:$J,$C:$C,C115,$B:$B,B115)&gt;Settings!$B$9,"Weekly ordinary hrs &gt;45",""),IF(SUMIFS(Claims!$H:$H,Claims!$C:$C,C115,Claims!$B:$B,B115)&gt;Settings!$B$10,"Weekly OT &gt;10",""),IF(AND(G115&lt;&gt;"Off",COUNTIFS($C:$C,C115,$A:$A,A115-1,$G:$G,"Night")&gt;0),"Rest &lt;12h after night shift",""),IF(J115&gt;5,"Meal interval required","")))</f>
        <v>#NAME?</v>
      </c>
      <c r="O115" s="25" t="s">
        <v>112</v>
      </c>
      <c r="P115" s="25"/>
    </row>
    <row r="116" spans="1:16" x14ac:dyDescent="0.35">
      <c r="A116" s="31">
        <f>IF(5+1&lt;=Settings!$B$7,Settings!$B$6+5,"")</f>
        <v>46148</v>
      </c>
      <c r="B116" s="31">
        <f t="shared" si="3"/>
        <v>46146</v>
      </c>
      <c r="C116" s="26" t="str">
        <f>IF(Employees!A16="","",Employees!A16)</f>
        <v/>
      </c>
      <c r="D116" s="26" t="str">
        <f>IF(C116="","",Employees!B16)</f>
        <v/>
      </c>
      <c r="E116" s="26" t="str">
        <f>IF(C116="","",Employees!C16)</f>
        <v/>
      </c>
      <c r="F116" s="26">
        <f>IF(A116="","",MOD(A116-Settings!$B$6,4)+1)</f>
        <v>2</v>
      </c>
      <c r="G116" s="26" t="str">
        <f>IF(C116="","",INDEX(Rotation_Pattern!$B$4:$E$7,F116,MATCH(E116,{"A","B","C","D"},0)))</f>
        <v/>
      </c>
      <c r="H116" s="32" t="str">
        <f t="shared" si="4"/>
        <v/>
      </c>
      <c r="I116" s="32" t="str">
        <f>IF(OR(G116="Off",G116=""),"",H116+TIME(Settings!$B$8,0,0))</f>
        <v/>
      </c>
      <c r="J116" s="26">
        <f>IF(OR(G116="Off",G116=""),0,Settings!$B$8)</f>
        <v>0</v>
      </c>
      <c r="K116" s="25" t="s">
        <v>111</v>
      </c>
      <c r="L116" s="26" t="str">
        <f>IF(A116="","",IF(COUNTIF(Public_Holidays!$A$4:$A$80,A116)&gt;0,"Y","N"))</f>
        <v>N</v>
      </c>
      <c r="M116" s="26" t="str">
        <f t="shared" si="5"/>
        <v>N</v>
      </c>
      <c r="N116" s="26" t="e">
        <f ca="1">IF(A116="","",_xludf.TEXTJOIN("; ",TRUE,IF(SUMIFS($J:$J,$C:$C,C116,$B:$B,B116)&gt;Settings!$B$9,"Weekly ordinary hrs &gt;45",""),IF(SUMIFS(Claims!$H:$H,Claims!$C:$C,C116,Claims!$B:$B,B116)&gt;Settings!$B$10,"Weekly OT &gt;10",""),IF(AND(G116&lt;&gt;"Off",COUNTIFS($C:$C,C116,$A:$A,A116-1,$G:$G,"Night")&gt;0),"Rest &lt;12h after night shift",""),IF(J116&gt;5,"Meal interval required","")))</f>
        <v>#NAME?</v>
      </c>
      <c r="O116" s="25" t="s">
        <v>112</v>
      </c>
      <c r="P116" s="25"/>
    </row>
    <row r="117" spans="1:16" x14ac:dyDescent="0.35">
      <c r="A117" s="31">
        <f>IF(5+1&lt;=Settings!$B$7,Settings!$B$6+5,"")</f>
        <v>46148</v>
      </c>
      <c r="B117" s="31">
        <f t="shared" si="3"/>
        <v>46146</v>
      </c>
      <c r="C117" s="26" t="str">
        <f>IF(Employees!A17="","",Employees!A17)</f>
        <v/>
      </c>
      <c r="D117" s="26" t="str">
        <f>IF(C117="","",Employees!B17)</f>
        <v/>
      </c>
      <c r="E117" s="26" t="str">
        <f>IF(C117="","",Employees!C17)</f>
        <v/>
      </c>
      <c r="F117" s="26">
        <f>IF(A117="","",MOD(A117-Settings!$B$6,4)+1)</f>
        <v>2</v>
      </c>
      <c r="G117" s="26" t="str">
        <f>IF(C117="","",INDEX(Rotation_Pattern!$B$4:$E$7,F117,MATCH(E117,{"A","B","C","D"},0)))</f>
        <v/>
      </c>
      <c r="H117" s="32" t="str">
        <f t="shared" si="4"/>
        <v/>
      </c>
      <c r="I117" s="32" t="str">
        <f>IF(OR(G117="Off",G117=""),"",H117+TIME(Settings!$B$8,0,0))</f>
        <v/>
      </c>
      <c r="J117" s="26">
        <f>IF(OR(G117="Off",G117=""),0,Settings!$B$8)</f>
        <v>0</v>
      </c>
      <c r="K117" s="25" t="s">
        <v>111</v>
      </c>
      <c r="L117" s="26" t="str">
        <f>IF(A117="","",IF(COUNTIF(Public_Holidays!$A$4:$A$80,A117)&gt;0,"Y","N"))</f>
        <v>N</v>
      </c>
      <c r="M117" s="26" t="str">
        <f t="shared" si="5"/>
        <v>N</v>
      </c>
      <c r="N117" s="26" t="e">
        <f ca="1">IF(A117="","",_xludf.TEXTJOIN("; ",TRUE,IF(SUMIFS($J:$J,$C:$C,C117,$B:$B,B117)&gt;Settings!$B$9,"Weekly ordinary hrs &gt;45",""),IF(SUMIFS(Claims!$H:$H,Claims!$C:$C,C117,Claims!$B:$B,B117)&gt;Settings!$B$10,"Weekly OT &gt;10",""),IF(AND(G117&lt;&gt;"Off",COUNTIFS($C:$C,C117,$A:$A,A117-1,$G:$G,"Night")&gt;0),"Rest &lt;12h after night shift",""),IF(J117&gt;5,"Meal interval required","")))</f>
        <v>#NAME?</v>
      </c>
      <c r="O117" s="25" t="s">
        <v>112</v>
      </c>
      <c r="P117" s="25"/>
    </row>
    <row r="118" spans="1:16" x14ac:dyDescent="0.35">
      <c r="A118" s="31">
        <f>IF(5+1&lt;=Settings!$B$7,Settings!$B$6+5,"")</f>
        <v>46148</v>
      </c>
      <c r="B118" s="31">
        <f t="shared" si="3"/>
        <v>46146</v>
      </c>
      <c r="C118" s="26" t="str">
        <f>IF(Employees!A18="","",Employees!A18)</f>
        <v/>
      </c>
      <c r="D118" s="26" t="str">
        <f>IF(C118="","",Employees!B18)</f>
        <v/>
      </c>
      <c r="E118" s="26" t="str">
        <f>IF(C118="","",Employees!C18)</f>
        <v/>
      </c>
      <c r="F118" s="26">
        <f>IF(A118="","",MOD(A118-Settings!$B$6,4)+1)</f>
        <v>2</v>
      </c>
      <c r="G118" s="26" t="str">
        <f>IF(C118="","",INDEX(Rotation_Pattern!$B$4:$E$7,F118,MATCH(E118,{"A","B","C","D"},0)))</f>
        <v/>
      </c>
      <c r="H118" s="32" t="str">
        <f t="shared" si="4"/>
        <v/>
      </c>
      <c r="I118" s="32" t="str">
        <f>IF(OR(G118="Off",G118=""),"",H118+TIME(Settings!$B$8,0,0))</f>
        <v/>
      </c>
      <c r="J118" s="26">
        <f>IF(OR(G118="Off",G118=""),0,Settings!$B$8)</f>
        <v>0</v>
      </c>
      <c r="K118" s="25" t="s">
        <v>111</v>
      </c>
      <c r="L118" s="26" t="str">
        <f>IF(A118="","",IF(COUNTIF(Public_Holidays!$A$4:$A$80,A118)&gt;0,"Y","N"))</f>
        <v>N</v>
      </c>
      <c r="M118" s="26" t="str">
        <f t="shared" si="5"/>
        <v>N</v>
      </c>
      <c r="N118" s="26" t="e">
        <f ca="1">IF(A118="","",_xludf.TEXTJOIN("; ",TRUE,IF(SUMIFS($J:$J,$C:$C,C118,$B:$B,B118)&gt;Settings!$B$9,"Weekly ordinary hrs &gt;45",""),IF(SUMIFS(Claims!$H:$H,Claims!$C:$C,C118,Claims!$B:$B,B118)&gt;Settings!$B$10,"Weekly OT &gt;10",""),IF(AND(G118&lt;&gt;"Off",COUNTIFS($C:$C,C118,$A:$A,A118-1,$G:$G,"Night")&gt;0),"Rest &lt;12h after night shift",""),IF(J118&gt;5,"Meal interval required","")))</f>
        <v>#NAME?</v>
      </c>
      <c r="O118" s="25" t="s">
        <v>112</v>
      </c>
      <c r="P118" s="25"/>
    </row>
    <row r="119" spans="1:16" x14ac:dyDescent="0.35">
      <c r="A119" s="31">
        <f>IF(5+1&lt;=Settings!$B$7,Settings!$B$6+5,"")</f>
        <v>46148</v>
      </c>
      <c r="B119" s="31">
        <f t="shared" si="3"/>
        <v>46146</v>
      </c>
      <c r="C119" s="26" t="str">
        <f>IF(Employees!A19="","",Employees!A19)</f>
        <v/>
      </c>
      <c r="D119" s="26" t="str">
        <f>IF(C119="","",Employees!B19)</f>
        <v/>
      </c>
      <c r="E119" s="26" t="str">
        <f>IF(C119="","",Employees!C19)</f>
        <v/>
      </c>
      <c r="F119" s="26">
        <f>IF(A119="","",MOD(A119-Settings!$B$6,4)+1)</f>
        <v>2</v>
      </c>
      <c r="G119" s="26" t="str">
        <f>IF(C119="","",INDEX(Rotation_Pattern!$B$4:$E$7,F119,MATCH(E119,{"A","B","C","D"},0)))</f>
        <v/>
      </c>
      <c r="H119" s="32" t="str">
        <f t="shared" si="4"/>
        <v/>
      </c>
      <c r="I119" s="32" t="str">
        <f>IF(OR(G119="Off",G119=""),"",H119+TIME(Settings!$B$8,0,0))</f>
        <v/>
      </c>
      <c r="J119" s="26">
        <f>IF(OR(G119="Off",G119=""),0,Settings!$B$8)</f>
        <v>0</v>
      </c>
      <c r="K119" s="25" t="s">
        <v>111</v>
      </c>
      <c r="L119" s="26" t="str">
        <f>IF(A119="","",IF(COUNTIF(Public_Holidays!$A$4:$A$80,A119)&gt;0,"Y","N"))</f>
        <v>N</v>
      </c>
      <c r="M119" s="26" t="str">
        <f t="shared" si="5"/>
        <v>N</v>
      </c>
      <c r="N119" s="26" t="e">
        <f ca="1">IF(A119="","",_xludf.TEXTJOIN("; ",TRUE,IF(SUMIFS($J:$J,$C:$C,C119,$B:$B,B119)&gt;Settings!$B$9,"Weekly ordinary hrs &gt;45",""),IF(SUMIFS(Claims!$H:$H,Claims!$C:$C,C119,Claims!$B:$B,B119)&gt;Settings!$B$10,"Weekly OT &gt;10",""),IF(AND(G119&lt;&gt;"Off",COUNTIFS($C:$C,C119,$A:$A,A119-1,$G:$G,"Night")&gt;0),"Rest &lt;12h after night shift",""),IF(J119&gt;5,"Meal interval required","")))</f>
        <v>#NAME?</v>
      </c>
      <c r="O119" s="25" t="s">
        <v>112</v>
      </c>
      <c r="P119" s="25"/>
    </row>
    <row r="120" spans="1:16" x14ac:dyDescent="0.35">
      <c r="A120" s="31">
        <f>IF(5+1&lt;=Settings!$B$7,Settings!$B$6+5,"")</f>
        <v>46148</v>
      </c>
      <c r="B120" s="31">
        <f t="shared" si="3"/>
        <v>46146</v>
      </c>
      <c r="C120" s="26" t="str">
        <f>IF(Employees!A20="","",Employees!A20)</f>
        <v/>
      </c>
      <c r="D120" s="26" t="str">
        <f>IF(C120="","",Employees!B20)</f>
        <v/>
      </c>
      <c r="E120" s="26" t="str">
        <f>IF(C120="","",Employees!C20)</f>
        <v/>
      </c>
      <c r="F120" s="26">
        <f>IF(A120="","",MOD(A120-Settings!$B$6,4)+1)</f>
        <v>2</v>
      </c>
      <c r="G120" s="26" t="str">
        <f>IF(C120="","",INDEX(Rotation_Pattern!$B$4:$E$7,F120,MATCH(E120,{"A","B","C","D"},0)))</f>
        <v/>
      </c>
      <c r="H120" s="32" t="str">
        <f t="shared" si="4"/>
        <v/>
      </c>
      <c r="I120" s="32" t="str">
        <f>IF(OR(G120="Off",G120=""),"",H120+TIME(Settings!$B$8,0,0))</f>
        <v/>
      </c>
      <c r="J120" s="26">
        <f>IF(OR(G120="Off",G120=""),0,Settings!$B$8)</f>
        <v>0</v>
      </c>
      <c r="K120" s="25" t="s">
        <v>111</v>
      </c>
      <c r="L120" s="26" t="str">
        <f>IF(A120="","",IF(COUNTIF(Public_Holidays!$A$4:$A$80,A120)&gt;0,"Y","N"))</f>
        <v>N</v>
      </c>
      <c r="M120" s="26" t="str">
        <f t="shared" si="5"/>
        <v>N</v>
      </c>
      <c r="N120" s="26" t="e">
        <f ca="1">IF(A120="","",_xludf.TEXTJOIN("; ",TRUE,IF(SUMIFS($J:$J,$C:$C,C120,$B:$B,B120)&gt;Settings!$B$9,"Weekly ordinary hrs &gt;45",""),IF(SUMIFS(Claims!$H:$H,Claims!$C:$C,C120,Claims!$B:$B,B120)&gt;Settings!$B$10,"Weekly OT &gt;10",""),IF(AND(G120&lt;&gt;"Off",COUNTIFS($C:$C,C120,$A:$A,A120-1,$G:$G,"Night")&gt;0),"Rest &lt;12h after night shift",""),IF(J120&gt;5,"Meal interval required","")))</f>
        <v>#NAME?</v>
      </c>
      <c r="O120" s="25" t="s">
        <v>112</v>
      </c>
      <c r="P120" s="25"/>
    </row>
    <row r="121" spans="1:16" x14ac:dyDescent="0.35">
      <c r="A121" s="31">
        <f>IF(5+1&lt;=Settings!$B$7,Settings!$B$6+5,"")</f>
        <v>46148</v>
      </c>
      <c r="B121" s="31">
        <f t="shared" si="3"/>
        <v>46146</v>
      </c>
      <c r="C121" s="26" t="str">
        <f>IF(Employees!A21="","",Employees!A21)</f>
        <v/>
      </c>
      <c r="D121" s="26" t="str">
        <f>IF(C121="","",Employees!B21)</f>
        <v/>
      </c>
      <c r="E121" s="26" t="str">
        <f>IF(C121="","",Employees!C21)</f>
        <v/>
      </c>
      <c r="F121" s="26">
        <f>IF(A121="","",MOD(A121-Settings!$B$6,4)+1)</f>
        <v>2</v>
      </c>
      <c r="G121" s="26" t="str">
        <f>IF(C121="","",INDEX(Rotation_Pattern!$B$4:$E$7,F121,MATCH(E121,{"A","B","C","D"},0)))</f>
        <v/>
      </c>
      <c r="H121" s="32" t="str">
        <f t="shared" si="4"/>
        <v/>
      </c>
      <c r="I121" s="32" t="str">
        <f>IF(OR(G121="Off",G121=""),"",H121+TIME(Settings!$B$8,0,0))</f>
        <v/>
      </c>
      <c r="J121" s="26">
        <f>IF(OR(G121="Off",G121=""),0,Settings!$B$8)</f>
        <v>0</v>
      </c>
      <c r="K121" s="25" t="s">
        <v>111</v>
      </c>
      <c r="L121" s="26" t="str">
        <f>IF(A121="","",IF(COUNTIF(Public_Holidays!$A$4:$A$80,A121)&gt;0,"Y","N"))</f>
        <v>N</v>
      </c>
      <c r="M121" s="26" t="str">
        <f t="shared" si="5"/>
        <v>N</v>
      </c>
      <c r="N121" s="26" t="e">
        <f ca="1">IF(A121="","",_xludf.TEXTJOIN("; ",TRUE,IF(SUMIFS($J:$J,$C:$C,C121,$B:$B,B121)&gt;Settings!$B$9,"Weekly ordinary hrs &gt;45",""),IF(SUMIFS(Claims!$H:$H,Claims!$C:$C,C121,Claims!$B:$B,B121)&gt;Settings!$B$10,"Weekly OT &gt;10",""),IF(AND(G121&lt;&gt;"Off",COUNTIFS($C:$C,C121,$A:$A,A121-1,$G:$G,"Night")&gt;0),"Rest &lt;12h after night shift",""),IF(J121&gt;5,"Meal interval required","")))</f>
        <v>#NAME?</v>
      </c>
      <c r="O121" s="25" t="s">
        <v>112</v>
      </c>
      <c r="P121" s="25"/>
    </row>
    <row r="122" spans="1:16" x14ac:dyDescent="0.35">
      <c r="A122" s="31">
        <f>IF(5+1&lt;=Settings!$B$7,Settings!$B$6+5,"")</f>
        <v>46148</v>
      </c>
      <c r="B122" s="31">
        <f t="shared" si="3"/>
        <v>46146</v>
      </c>
      <c r="C122" s="26" t="str">
        <f>IF(Employees!A22="","",Employees!A22)</f>
        <v/>
      </c>
      <c r="D122" s="26" t="str">
        <f>IF(C122="","",Employees!B22)</f>
        <v/>
      </c>
      <c r="E122" s="26" t="str">
        <f>IF(C122="","",Employees!C22)</f>
        <v/>
      </c>
      <c r="F122" s="26">
        <f>IF(A122="","",MOD(A122-Settings!$B$6,4)+1)</f>
        <v>2</v>
      </c>
      <c r="G122" s="26" t="str">
        <f>IF(C122="","",INDEX(Rotation_Pattern!$B$4:$E$7,F122,MATCH(E122,{"A","B","C","D"},0)))</f>
        <v/>
      </c>
      <c r="H122" s="32" t="str">
        <f t="shared" si="4"/>
        <v/>
      </c>
      <c r="I122" s="32" t="str">
        <f>IF(OR(G122="Off",G122=""),"",H122+TIME(Settings!$B$8,0,0))</f>
        <v/>
      </c>
      <c r="J122" s="26">
        <f>IF(OR(G122="Off",G122=""),0,Settings!$B$8)</f>
        <v>0</v>
      </c>
      <c r="K122" s="25" t="s">
        <v>111</v>
      </c>
      <c r="L122" s="26" t="str">
        <f>IF(A122="","",IF(COUNTIF(Public_Holidays!$A$4:$A$80,A122)&gt;0,"Y","N"))</f>
        <v>N</v>
      </c>
      <c r="M122" s="26" t="str">
        <f t="shared" si="5"/>
        <v>N</v>
      </c>
      <c r="N122" s="26" t="e">
        <f ca="1">IF(A122="","",_xludf.TEXTJOIN("; ",TRUE,IF(SUMIFS($J:$J,$C:$C,C122,$B:$B,B122)&gt;Settings!$B$9,"Weekly ordinary hrs &gt;45",""),IF(SUMIFS(Claims!$H:$H,Claims!$C:$C,C122,Claims!$B:$B,B122)&gt;Settings!$B$10,"Weekly OT &gt;10",""),IF(AND(G122&lt;&gt;"Off",COUNTIFS($C:$C,C122,$A:$A,A122-1,$G:$G,"Night")&gt;0),"Rest &lt;12h after night shift",""),IF(J122&gt;5,"Meal interval required","")))</f>
        <v>#NAME?</v>
      </c>
      <c r="O122" s="25" t="s">
        <v>112</v>
      </c>
      <c r="P122" s="25"/>
    </row>
    <row r="123" spans="1:16" x14ac:dyDescent="0.35">
      <c r="A123" s="31">
        <f>IF(5+1&lt;=Settings!$B$7,Settings!$B$6+5,"")</f>
        <v>46148</v>
      </c>
      <c r="B123" s="31">
        <f t="shared" si="3"/>
        <v>46146</v>
      </c>
      <c r="C123" s="26" t="str">
        <f>IF(Employees!A23="","",Employees!A23)</f>
        <v/>
      </c>
      <c r="D123" s="26" t="str">
        <f>IF(C123="","",Employees!B23)</f>
        <v/>
      </c>
      <c r="E123" s="26" t="str">
        <f>IF(C123="","",Employees!C23)</f>
        <v/>
      </c>
      <c r="F123" s="26">
        <f>IF(A123="","",MOD(A123-Settings!$B$6,4)+1)</f>
        <v>2</v>
      </c>
      <c r="G123" s="26" t="str">
        <f>IF(C123="","",INDEX(Rotation_Pattern!$B$4:$E$7,F123,MATCH(E123,{"A","B","C","D"},0)))</f>
        <v/>
      </c>
      <c r="H123" s="32" t="str">
        <f t="shared" si="4"/>
        <v/>
      </c>
      <c r="I123" s="32" t="str">
        <f>IF(OR(G123="Off",G123=""),"",H123+TIME(Settings!$B$8,0,0))</f>
        <v/>
      </c>
      <c r="J123" s="26">
        <f>IF(OR(G123="Off",G123=""),0,Settings!$B$8)</f>
        <v>0</v>
      </c>
      <c r="K123" s="25" t="s">
        <v>111</v>
      </c>
      <c r="L123" s="26" t="str">
        <f>IF(A123="","",IF(COUNTIF(Public_Holidays!$A$4:$A$80,A123)&gt;0,"Y","N"))</f>
        <v>N</v>
      </c>
      <c r="M123" s="26" t="str">
        <f t="shared" si="5"/>
        <v>N</v>
      </c>
      <c r="N123" s="26" t="e">
        <f ca="1">IF(A123="","",_xludf.TEXTJOIN("; ",TRUE,IF(SUMIFS($J:$J,$C:$C,C123,$B:$B,B123)&gt;Settings!$B$9,"Weekly ordinary hrs &gt;45",""),IF(SUMIFS(Claims!$H:$H,Claims!$C:$C,C123,Claims!$B:$B,B123)&gt;Settings!$B$10,"Weekly OT &gt;10",""),IF(AND(G123&lt;&gt;"Off",COUNTIFS($C:$C,C123,$A:$A,A123-1,$G:$G,"Night")&gt;0),"Rest &lt;12h after night shift",""),IF(J123&gt;5,"Meal interval required","")))</f>
        <v>#NAME?</v>
      </c>
      <c r="O123" s="25" t="s">
        <v>112</v>
      </c>
      <c r="P123" s="25"/>
    </row>
    <row r="124" spans="1:16" x14ac:dyDescent="0.35">
      <c r="A124" s="31">
        <f>IF(6+1&lt;=Settings!$B$7,Settings!$B$6+6,"")</f>
        <v>46149</v>
      </c>
      <c r="B124" s="31">
        <f t="shared" si="3"/>
        <v>46146</v>
      </c>
      <c r="C124" s="26" t="str">
        <f>IF(Employees!A4="","",Employees!A4)</f>
        <v>E001</v>
      </c>
      <c r="D124" s="26" t="str">
        <f>IF(C124="","",Employees!B4)</f>
        <v>Musiwa Khavalani</v>
      </c>
      <c r="E124" s="26">
        <f>IF(C124="","",Employees!C4)</f>
        <v>0</v>
      </c>
      <c r="F124" s="26">
        <f>IF(A124="","",MOD(A124-Settings!$B$6,4)+1)</f>
        <v>3</v>
      </c>
      <c r="G124" s="26" t="e">
        <f>IF(C124="","",INDEX(Rotation_Pattern!$B$4:$E$7,F124,MATCH(E124,{"A","B","C","D"},0)))</f>
        <v>#N/A</v>
      </c>
      <c r="H124" s="32" t="e">
        <f t="shared" si="4"/>
        <v>#N/A</v>
      </c>
      <c r="I124" s="32" t="e">
        <f>IF(OR(G124="Off",G124=""),"",H124+TIME(Settings!$B$8,0,0))</f>
        <v>#N/A</v>
      </c>
      <c r="J124" s="26" t="e">
        <f>IF(OR(G124="Off",G124=""),0,Settings!$B$8)</f>
        <v>#N/A</v>
      </c>
      <c r="K124" s="25" t="s">
        <v>111</v>
      </c>
      <c r="L124" s="26" t="str">
        <f>IF(A124="","",IF(COUNTIF(Public_Holidays!$A$4:$A$80,A124)&gt;0,"Y","N"))</f>
        <v>N</v>
      </c>
      <c r="M124" s="26" t="str">
        <f t="shared" si="5"/>
        <v>N</v>
      </c>
      <c r="N124" s="26" t="e">
        <f ca="1">IF(A124="","",_xludf.TEXTJOIN("; ",TRUE,IF(SUMIFS($J:$J,$C:$C,C124,$B:$B,B124)&gt;Settings!$B$9,"Weekly ordinary hrs &gt;45",""),IF(SUMIFS(Claims!$H:$H,Claims!$C:$C,C124,Claims!$B:$B,B124)&gt;Settings!$B$10,"Weekly OT &gt;10",""),IF(AND(G124&lt;&gt;"Off",COUNTIFS($C:$C,C124,$A:$A,A124-1,$G:$G,"Night")&gt;0),"Rest &lt;12h after night shift",""),IF(J124&gt;5,"Meal interval required","")))</f>
        <v>#NAME?</v>
      </c>
      <c r="O124" s="25" t="s">
        <v>112</v>
      </c>
      <c r="P124" s="25"/>
    </row>
    <row r="125" spans="1:16" x14ac:dyDescent="0.35">
      <c r="A125" s="31">
        <f>IF(6+1&lt;=Settings!$B$7,Settings!$B$6+6,"")</f>
        <v>46149</v>
      </c>
      <c r="B125" s="31">
        <f t="shared" si="3"/>
        <v>46146</v>
      </c>
      <c r="C125" s="26" t="str">
        <f>IF(Employees!A5="","",Employees!A5)</f>
        <v>E002</v>
      </c>
      <c r="D125" s="26" t="str">
        <f>IF(C125="","",Employees!B5)</f>
        <v>Mpho  Nembemhia</v>
      </c>
      <c r="E125" s="26" t="str">
        <f>IF(C125="","",Employees!C5)</f>
        <v>B</v>
      </c>
      <c r="F125" s="26">
        <f>IF(A125="","",MOD(A125-Settings!$B$6,4)+1)</f>
        <v>3</v>
      </c>
      <c r="G125" s="26" t="str">
        <f>IF(C125="","",INDEX(Rotation_Pattern!$B$4:$E$7,F125,MATCH(E125,{"A","B","C","D"},0)))</f>
        <v>Evening</v>
      </c>
      <c r="H125" s="32">
        <f t="shared" si="4"/>
        <v>0.58333333333333337</v>
      </c>
      <c r="I125" s="32">
        <f>IF(OR(G125="Off",G125=""),"",H125+TIME(Settings!$B$8,0,0))</f>
        <v>0.91666666666666674</v>
      </c>
      <c r="J125" s="26">
        <f>IF(OR(G125="Off",G125=""),0,Settings!$B$8)</f>
        <v>8</v>
      </c>
      <c r="K125" s="25" t="s">
        <v>111</v>
      </c>
      <c r="L125" s="26" t="str">
        <f>IF(A125="","",IF(COUNTIF(Public_Holidays!$A$4:$A$80,A125)&gt;0,"Y","N"))</f>
        <v>N</v>
      </c>
      <c r="M125" s="26" t="str">
        <f t="shared" si="5"/>
        <v>N</v>
      </c>
      <c r="N125" s="26" t="e">
        <f ca="1">IF(A125="","",_xludf.TEXTJOIN("; ",TRUE,IF(SUMIFS($J:$J,$C:$C,C125,$B:$B,B125)&gt;Settings!$B$9,"Weekly ordinary hrs &gt;45",""),IF(SUMIFS(Claims!$H:$H,Claims!$C:$C,C125,Claims!$B:$B,B125)&gt;Settings!$B$10,"Weekly OT &gt;10",""),IF(AND(G125&lt;&gt;"Off",COUNTIFS($C:$C,C125,$A:$A,A125-1,$G:$G,"Night")&gt;0),"Rest &lt;12h after night shift",""),IF(J125&gt;5,"Meal interval required","")))</f>
        <v>#NAME?</v>
      </c>
      <c r="O125" s="25" t="s">
        <v>112</v>
      </c>
      <c r="P125" s="25"/>
    </row>
    <row r="126" spans="1:16" x14ac:dyDescent="0.35">
      <c r="A126" s="31">
        <f>IF(6+1&lt;=Settings!$B$7,Settings!$B$6+6,"")</f>
        <v>46149</v>
      </c>
      <c r="B126" s="31">
        <f t="shared" si="3"/>
        <v>46146</v>
      </c>
      <c r="C126" s="26" t="str">
        <f>IF(Employees!A6="","",Employees!A6)</f>
        <v>E003</v>
      </c>
      <c r="D126" s="26" t="str">
        <f>IF(C126="","",Employees!B6)</f>
        <v>Dimpho Makhafola</v>
      </c>
      <c r="E126" s="26" t="str">
        <f>IF(C126="","",Employees!C6)</f>
        <v>C</v>
      </c>
      <c r="F126" s="26">
        <f>IF(A126="","",MOD(A126-Settings!$B$6,4)+1)</f>
        <v>3</v>
      </c>
      <c r="G126" s="26" t="str">
        <f>IF(C126="","",INDEX(Rotation_Pattern!$B$4:$E$7,F126,MATCH(E126,{"A","B","C","D"},0)))</f>
        <v>Day</v>
      </c>
      <c r="H126" s="32">
        <f t="shared" si="4"/>
        <v>0.25</v>
      </c>
      <c r="I126" s="32">
        <f>IF(OR(G126="Off",G126=""),"",H126+TIME(Settings!$B$8,0,0))</f>
        <v>0.58333333333333326</v>
      </c>
      <c r="J126" s="26">
        <f>IF(OR(G126="Off",G126=""),0,Settings!$B$8)</f>
        <v>8</v>
      </c>
      <c r="K126" s="25" t="s">
        <v>111</v>
      </c>
      <c r="L126" s="26" t="str">
        <f>IF(A126="","",IF(COUNTIF(Public_Holidays!$A$4:$A$80,A126)&gt;0,"Y","N"))</f>
        <v>N</v>
      </c>
      <c r="M126" s="26" t="str">
        <f t="shared" si="5"/>
        <v>N</v>
      </c>
      <c r="N126" s="26" t="e">
        <f ca="1">IF(A126="","",_xludf.TEXTJOIN("; ",TRUE,IF(SUMIFS($J:$J,$C:$C,C126,$B:$B,B126)&gt;Settings!$B$9,"Weekly ordinary hrs &gt;45",""),IF(SUMIFS(Claims!$H:$H,Claims!$C:$C,C126,Claims!$B:$B,B126)&gt;Settings!$B$10,"Weekly OT &gt;10",""),IF(AND(G126&lt;&gt;"Off",COUNTIFS($C:$C,C126,$A:$A,A126-1,$G:$G,"Night")&gt;0),"Rest &lt;12h after night shift",""),IF(J126&gt;5,"Meal interval required","")))</f>
        <v>#NAME?</v>
      </c>
      <c r="O126" s="25" t="s">
        <v>112</v>
      </c>
      <c r="P126" s="25"/>
    </row>
    <row r="127" spans="1:16" x14ac:dyDescent="0.35">
      <c r="A127" s="31">
        <f>IF(6+1&lt;=Settings!$B$7,Settings!$B$6+6,"")</f>
        <v>46149</v>
      </c>
      <c r="B127" s="31">
        <f t="shared" si="3"/>
        <v>46146</v>
      </c>
      <c r="C127" s="26" t="str">
        <f>IF(Employees!A7="","",Employees!A7)</f>
        <v>E004</v>
      </c>
      <c r="D127" s="26" t="str">
        <f>IF(C127="","",Employees!B7)</f>
        <v>Bashii Fall</v>
      </c>
      <c r="E127" s="26" t="str">
        <f>IF(C127="","",Employees!C7)</f>
        <v>D</v>
      </c>
      <c r="F127" s="26">
        <f>IF(A127="","",MOD(A127-Settings!$B$6,4)+1)</f>
        <v>3</v>
      </c>
      <c r="G127" s="26" t="str">
        <f>IF(C127="","",INDEX(Rotation_Pattern!$B$4:$E$7,F127,MATCH(E127,{"A","B","C","D"},0)))</f>
        <v>Off</v>
      </c>
      <c r="H127" s="32" t="str">
        <f t="shared" si="4"/>
        <v/>
      </c>
      <c r="I127" s="32" t="str">
        <f>IF(OR(G127="Off",G127=""),"",H127+TIME(Settings!$B$8,0,0))</f>
        <v/>
      </c>
      <c r="J127" s="26">
        <f>IF(OR(G127="Off",G127=""),0,Settings!$B$8)</f>
        <v>0</v>
      </c>
      <c r="K127" s="25" t="s">
        <v>111</v>
      </c>
      <c r="L127" s="26" t="str">
        <f>IF(A127="","",IF(COUNTIF(Public_Holidays!$A$4:$A$80,A127)&gt;0,"Y","N"))</f>
        <v>N</v>
      </c>
      <c r="M127" s="26" t="str">
        <f t="shared" si="5"/>
        <v>N</v>
      </c>
      <c r="N127" s="26" t="e">
        <f ca="1">IF(A127="","",_xludf.TEXTJOIN("; ",TRUE,IF(SUMIFS($J:$J,$C:$C,C127,$B:$B,B127)&gt;Settings!$B$9,"Weekly ordinary hrs &gt;45",""),IF(SUMIFS(Claims!$H:$H,Claims!$C:$C,C127,Claims!$B:$B,B127)&gt;Settings!$B$10,"Weekly OT &gt;10",""),IF(AND(G127&lt;&gt;"Off",COUNTIFS($C:$C,C127,$A:$A,A127-1,$G:$G,"Night")&gt;0),"Rest &lt;12h after night shift",""),IF(J127&gt;5,"Meal interval required","")))</f>
        <v>#NAME?</v>
      </c>
      <c r="O127" s="25" t="s">
        <v>112</v>
      </c>
      <c r="P127" s="25"/>
    </row>
    <row r="128" spans="1:16" x14ac:dyDescent="0.35">
      <c r="A128" s="31">
        <f>IF(6+1&lt;=Settings!$B$7,Settings!$B$6+6,"")</f>
        <v>46149</v>
      </c>
      <c r="B128" s="31">
        <f t="shared" si="3"/>
        <v>46146</v>
      </c>
      <c r="C128" s="26" t="str">
        <f>IF(Employees!A8="","",Employees!A8)</f>
        <v>E005</v>
      </c>
      <c r="D128" s="26" t="str">
        <f>IF(C128="","",Employees!B8)</f>
        <v>Lesego Aphane</v>
      </c>
      <c r="E128" s="26" t="str">
        <f>IF(C128="","",Employees!C8)</f>
        <v>A</v>
      </c>
      <c r="F128" s="26">
        <f>IF(A128="","",MOD(A128-Settings!$B$6,4)+1)</f>
        <v>3</v>
      </c>
      <c r="G128" s="26" t="str">
        <f>IF(C128="","",INDEX(Rotation_Pattern!$B$4:$E$7,F128,MATCH(E128,{"A","B","C","D"},0)))</f>
        <v>Night</v>
      </c>
      <c r="H128" s="32">
        <f t="shared" si="4"/>
        <v>0.91666666666666663</v>
      </c>
      <c r="I128" s="32">
        <f>IF(OR(G128="Off",G128=""),"",H128+TIME(Settings!$B$8,0,0))</f>
        <v>1.25</v>
      </c>
      <c r="J128" s="26">
        <f>IF(OR(G128="Off",G128=""),0,Settings!$B$8)</f>
        <v>8</v>
      </c>
      <c r="K128" s="25" t="s">
        <v>111</v>
      </c>
      <c r="L128" s="26" t="str">
        <f>IF(A128="","",IF(COUNTIF(Public_Holidays!$A$4:$A$80,A128)&gt;0,"Y","N"))</f>
        <v>N</v>
      </c>
      <c r="M128" s="26" t="str">
        <f t="shared" si="5"/>
        <v>N</v>
      </c>
      <c r="N128" s="26" t="e">
        <f ca="1">IF(A128="","",_xludf.TEXTJOIN("; ",TRUE,IF(SUMIFS($J:$J,$C:$C,C128,$B:$B,B128)&gt;Settings!$B$9,"Weekly ordinary hrs &gt;45",""),IF(SUMIFS(Claims!$H:$H,Claims!$C:$C,C128,Claims!$B:$B,B128)&gt;Settings!$B$10,"Weekly OT &gt;10",""),IF(AND(G128&lt;&gt;"Off",COUNTIFS($C:$C,C128,$A:$A,A128-1,$G:$G,"Night")&gt;0),"Rest &lt;12h after night shift",""),IF(J128&gt;5,"Meal interval required","")))</f>
        <v>#NAME?</v>
      </c>
      <c r="O128" s="25" t="s">
        <v>112</v>
      </c>
      <c r="P128" s="25"/>
    </row>
    <row r="129" spans="1:16" x14ac:dyDescent="0.35">
      <c r="A129" s="31">
        <f>IF(6+1&lt;=Settings!$B$7,Settings!$B$6+6,"")</f>
        <v>46149</v>
      </c>
      <c r="B129" s="31">
        <f t="shared" si="3"/>
        <v>46146</v>
      </c>
      <c r="C129" s="26" t="str">
        <f>IF(Employees!A9="","",Employees!A9)</f>
        <v>E006</v>
      </c>
      <c r="D129" s="26" t="str">
        <f>IF(C129="","",Employees!B9)</f>
        <v>Nhalnahla</v>
      </c>
      <c r="E129" s="26" t="str">
        <f>IF(C129="","",Employees!C9)</f>
        <v>B</v>
      </c>
      <c r="F129" s="26">
        <f>IF(A129="","",MOD(A129-Settings!$B$6,4)+1)</f>
        <v>3</v>
      </c>
      <c r="G129" s="26" t="str">
        <f>IF(C129="","",INDEX(Rotation_Pattern!$B$4:$E$7,F129,MATCH(E129,{"A","B","C","D"},0)))</f>
        <v>Evening</v>
      </c>
      <c r="H129" s="32">
        <f t="shared" si="4"/>
        <v>0.58333333333333337</v>
      </c>
      <c r="I129" s="32">
        <f>IF(OR(G129="Off",G129=""),"",H129+TIME(Settings!$B$8,0,0))</f>
        <v>0.91666666666666674</v>
      </c>
      <c r="J129" s="26">
        <f>IF(OR(G129="Off",G129=""),0,Settings!$B$8)</f>
        <v>8</v>
      </c>
      <c r="K129" s="25" t="s">
        <v>111</v>
      </c>
      <c r="L129" s="26" t="str">
        <f>IF(A129="","",IF(COUNTIF(Public_Holidays!$A$4:$A$80,A129)&gt;0,"Y","N"))</f>
        <v>N</v>
      </c>
      <c r="M129" s="26" t="str">
        <f t="shared" si="5"/>
        <v>N</v>
      </c>
      <c r="N129" s="26" t="e">
        <f ca="1">IF(A129="","",_xludf.TEXTJOIN("; ",TRUE,IF(SUMIFS($J:$J,$C:$C,C129,$B:$B,B129)&gt;Settings!$B$9,"Weekly ordinary hrs &gt;45",""),IF(SUMIFS(Claims!$H:$H,Claims!$C:$C,C129,Claims!$B:$B,B129)&gt;Settings!$B$10,"Weekly OT &gt;10",""),IF(AND(G129&lt;&gt;"Off",COUNTIFS($C:$C,C129,$A:$A,A129-1,$G:$G,"Night")&gt;0),"Rest &lt;12h after night shift",""),IF(J129&gt;5,"Meal interval required","")))</f>
        <v>#NAME?</v>
      </c>
      <c r="O129" s="25" t="s">
        <v>112</v>
      </c>
      <c r="P129" s="25"/>
    </row>
    <row r="130" spans="1:16" x14ac:dyDescent="0.35">
      <c r="A130" s="31">
        <f>IF(6+1&lt;=Settings!$B$7,Settings!$B$6+6,"")</f>
        <v>46149</v>
      </c>
      <c r="B130" s="31">
        <f t="shared" si="3"/>
        <v>46146</v>
      </c>
      <c r="C130" s="26" t="str">
        <f>IF(Employees!A10="","",Employees!A10)</f>
        <v>E007</v>
      </c>
      <c r="D130" s="26" t="str">
        <f>IF(C130="","",Employees!B10)</f>
        <v>Joe</v>
      </c>
      <c r="E130" s="26" t="str">
        <f>IF(C130="","",Employees!C10)</f>
        <v>C</v>
      </c>
      <c r="F130" s="26">
        <f>IF(A130="","",MOD(A130-Settings!$B$6,4)+1)</f>
        <v>3</v>
      </c>
      <c r="G130" s="26" t="str">
        <f>IF(C130="","",INDEX(Rotation_Pattern!$B$4:$E$7,F130,MATCH(E130,{"A","B","C","D"},0)))</f>
        <v>Day</v>
      </c>
      <c r="H130" s="32">
        <f t="shared" si="4"/>
        <v>0.25</v>
      </c>
      <c r="I130" s="32">
        <f>IF(OR(G130="Off",G130=""),"",H130+TIME(Settings!$B$8,0,0))</f>
        <v>0.58333333333333326</v>
      </c>
      <c r="J130" s="26">
        <f>IF(OR(G130="Off",G130=""),0,Settings!$B$8)</f>
        <v>8</v>
      </c>
      <c r="K130" s="25" t="s">
        <v>111</v>
      </c>
      <c r="L130" s="26" t="str">
        <f>IF(A130="","",IF(COUNTIF(Public_Holidays!$A$4:$A$80,A130)&gt;0,"Y","N"))</f>
        <v>N</v>
      </c>
      <c r="M130" s="26" t="str">
        <f t="shared" si="5"/>
        <v>N</v>
      </c>
      <c r="N130" s="26" t="e">
        <f ca="1">IF(A130="","",_xludf.TEXTJOIN("; ",TRUE,IF(SUMIFS($J:$J,$C:$C,C130,$B:$B,B130)&gt;Settings!$B$9,"Weekly ordinary hrs &gt;45",""),IF(SUMIFS(Claims!$H:$H,Claims!$C:$C,C130,Claims!$B:$B,B130)&gt;Settings!$B$10,"Weekly OT &gt;10",""),IF(AND(G130&lt;&gt;"Off",COUNTIFS($C:$C,C130,$A:$A,A130-1,$G:$G,"Night")&gt;0),"Rest &lt;12h after night shift",""),IF(J130&gt;5,"Meal interval required","")))</f>
        <v>#NAME?</v>
      </c>
      <c r="O130" s="25" t="s">
        <v>112</v>
      </c>
      <c r="P130" s="25"/>
    </row>
    <row r="131" spans="1:16" x14ac:dyDescent="0.35">
      <c r="A131" s="31">
        <f>IF(6+1&lt;=Settings!$B$7,Settings!$B$6+6,"")</f>
        <v>46149</v>
      </c>
      <c r="B131" s="31">
        <f t="shared" si="3"/>
        <v>46146</v>
      </c>
      <c r="C131" s="26" t="str">
        <f>IF(Employees!A11="","",Employees!A11)</f>
        <v>E008</v>
      </c>
      <c r="D131" s="26" t="str">
        <f>IF(C131="","",Employees!B11)</f>
        <v>Tim</v>
      </c>
      <c r="E131" s="26" t="str">
        <f>IF(C131="","",Employees!C11)</f>
        <v>D</v>
      </c>
      <c r="F131" s="26">
        <f>IF(A131="","",MOD(A131-Settings!$B$6,4)+1)</f>
        <v>3</v>
      </c>
      <c r="G131" s="26" t="str">
        <f>IF(C131="","",INDEX(Rotation_Pattern!$B$4:$E$7,F131,MATCH(E131,{"A","B","C","D"},0)))</f>
        <v>Off</v>
      </c>
      <c r="H131" s="32" t="str">
        <f t="shared" si="4"/>
        <v/>
      </c>
      <c r="I131" s="32" t="str">
        <f>IF(OR(G131="Off",G131=""),"",H131+TIME(Settings!$B$8,0,0))</f>
        <v/>
      </c>
      <c r="J131" s="26">
        <f>IF(OR(G131="Off",G131=""),0,Settings!$B$8)</f>
        <v>0</v>
      </c>
      <c r="K131" s="25" t="s">
        <v>111</v>
      </c>
      <c r="L131" s="26" t="str">
        <f>IF(A131="","",IF(COUNTIF(Public_Holidays!$A$4:$A$80,A131)&gt;0,"Y","N"))</f>
        <v>N</v>
      </c>
      <c r="M131" s="26" t="str">
        <f t="shared" si="5"/>
        <v>N</v>
      </c>
      <c r="N131" s="26" t="e">
        <f ca="1">IF(A131="","",_xludf.TEXTJOIN("; ",TRUE,IF(SUMIFS($J:$J,$C:$C,C131,$B:$B,B131)&gt;Settings!$B$9,"Weekly ordinary hrs &gt;45",""),IF(SUMIFS(Claims!$H:$H,Claims!$C:$C,C131,Claims!$B:$B,B131)&gt;Settings!$B$10,"Weekly OT &gt;10",""),IF(AND(G131&lt;&gt;"Off",COUNTIFS($C:$C,C131,$A:$A,A131-1,$G:$G,"Night")&gt;0),"Rest &lt;12h after night shift",""),IF(J131&gt;5,"Meal interval required","")))</f>
        <v>#NAME?</v>
      </c>
      <c r="O131" s="25" t="s">
        <v>112</v>
      </c>
      <c r="P131" s="25"/>
    </row>
    <row r="132" spans="1:16" x14ac:dyDescent="0.35">
      <c r="A132" s="31">
        <f>IF(6+1&lt;=Settings!$B$7,Settings!$B$6+6,"")</f>
        <v>46149</v>
      </c>
      <c r="B132" s="31">
        <f t="shared" ref="B132:B195" si="6">IF(A132="","",A132-WEEKDAY(A132,2)+1)</f>
        <v>46146</v>
      </c>
      <c r="C132" s="26" t="str">
        <f>IF(Employees!A12="","",Employees!A12)</f>
        <v>E009</v>
      </c>
      <c r="D132" s="26" t="str">
        <f>IF(C132="","",Employees!B12)</f>
        <v>Frank</v>
      </c>
      <c r="E132" s="26" t="str">
        <f>IF(C132="","",Employees!C12)</f>
        <v>A</v>
      </c>
      <c r="F132" s="26">
        <f>IF(A132="","",MOD(A132-Settings!$B$6,4)+1)</f>
        <v>3</v>
      </c>
      <c r="G132" s="26" t="str">
        <f>IF(C132="","",INDEX(Rotation_Pattern!$B$4:$E$7,F132,MATCH(E132,{"A","B","C","D"},0)))</f>
        <v>Night</v>
      </c>
      <c r="H132" s="32">
        <f t="shared" ref="H132:H195" si="7">IF(OR(G132="Off",G132=""),"",IF(G132="Day",TIME(6,0,0),IF(G132="Evening",TIME(14,0,0),TIME(22,0,0))))</f>
        <v>0.91666666666666663</v>
      </c>
      <c r="I132" s="32">
        <f>IF(OR(G132="Off",G132=""),"",H132+TIME(Settings!$B$8,0,0))</f>
        <v>1.25</v>
      </c>
      <c r="J132" s="26">
        <f>IF(OR(G132="Off",G132=""),0,Settings!$B$8)</f>
        <v>8</v>
      </c>
      <c r="K132" s="25" t="s">
        <v>111</v>
      </c>
      <c r="L132" s="26" t="str">
        <f>IF(A132="","",IF(COUNTIF(Public_Holidays!$A$4:$A$80,A132)&gt;0,"Y","N"))</f>
        <v>N</v>
      </c>
      <c r="M132" s="26" t="str">
        <f t="shared" ref="M132:M195" si="8">IF(A132="","",IF(WEEKDAY(A132,2)=7,"Y","N"))</f>
        <v>N</v>
      </c>
      <c r="N132" s="26" t="e">
        <f ca="1">IF(A132="","",_xludf.TEXTJOIN("; ",TRUE,IF(SUMIFS($J:$J,$C:$C,C132,$B:$B,B132)&gt;Settings!$B$9,"Weekly ordinary hrs &gt;45",""),IF(SUMIFS(Claims!$H:$H,Claims!$C:$C,C132,Claims!$B:$B,B132)&gt;Settings!$B$10,"Weekly OT &gt;10",""),IF(AND(G132&lt;&gt;"Off",COUNTIFS($C:$C,C132,$A:$A,A132-1,$G:$G,"Night")&gt;0),"Rest &lt;12h after night shift",""),IF(J132&gt;5,"Meal interval required","")))</f>
        <v>#NAME?</v>
      </c>
      <c r="O132" s="25" t="s">
        <v>112</v>
      </c>
      <c r="P132" s="25"/>
    </row>
    <row r="133" spans="1:16" x14ac:dyDescent="0.35">
      <c r="A133" s="31">
        <f>IF(6+1&lt;=Settings!$B$7,Settings!$B$6+6,"")</f>
        <v>46149</v>
      </c>
      <c r="B133" s="31">
        <f t="shared" si="6"/>
        <v>46146</v>
      </c>
      <c r="C133" s="26" t="str">
        <f>IF(Employees!A13="","",Employees!A13)</f>
        <v/>
      </c>
      <c r="D133" s="26" t="str">
        <f>IF(C133="","",Employees!B13)</f>
        <v/>
      </c>
      <c r="E133" s="26" t="str">
        <f>IF(C133="","",Employees!C13)</f>
        <v/>
      </c>
      <c r="F133" s="26">
        <f>IF(A133="","",MOD(A133-Settings!$B$6,4)+1)</f>
        <v>3</v>
      </c>
      <c r="G133" s="26" t="str">
        <f>IF(C133="","",INDEX(Rotation_Pattern!$B$4:$E$7,F133,MATCH(E133,{"A","B","C","D"},0)))</f>
        <v/>
      </c>
      <c r="H133" s="32" t="str">
        <f t="shared" si="7"/>
        <v/>
      </c>
      <c r="I133" s="32" t="str">
        <f>IF(OR(G133="Off",G133=""),"",H133+TIME(Settings!$B$8,0,0))</f>
        <v/>
      </c>
      <c r="J133" s="26">
        <f>IF(OR(G133="Off",G133=""),0,Settings!$B$8)</f>
        <v>0</v>
      </c>
      <c r="K133" s="25" t="s">
        <v>111</v>
      </c>
      <c r="L133" s="26" t="str">
        <f>IF(A133="","",IF(COUNTIF(Public_Holidays!$A$4:$A$80,A133)&gt;0,"Y","N"))</f>
        <v>N</v>
      </c>
      <c r="M133" s="26" t="str">
        <f t="shared" si="8"/>
        <v>N</v>
      </c>
      <c r="N133" s="26" t="e">
        <f ca="1">IF(A133="","",_xludf.TEXTJOIN("; ",TRUE,IF(SUMIFS($J:$J,$C:$C,C133,$B:$B,B133)&gt;Settings!$B$9,"Weekly ordinary hrs &gt;45",""),IF(SUMIFS(Claims!$H:$H,Claims!$C:$C,C133,Claims!$B:$B,B133)&gt;Settings!$B$10,"Weekly OT &gt;10",""),IF(AND(G133&lt;&gt;"Off",COUNTIFS($C:$C,C133,$A:$A,A133-1,$G:$G,"Night")&gt;0),"Rest &lt;12h after night shift",""),IF(J133&gt;5,"Meal interval required","")))</f>
        <v>#NAME?</v>
      </c>
      <c r="O133" s="25" t="s">
        <v>112</v>
      </c>
      <c r="P133" s="25"/>
    </row>
    <row r="134" spans="1:16" x14ac:dyDescent="0.35">
      <c r="A134" s="31">
        <f>IF(6+1&lt;=Settings!$B$7,Settings!$B$6+6,"")</f>
        <v>46149</v>
      </c>
      <c r="B134" s="31">
        <f t="shared" si="6"/>
        <v>46146</v>
      </c>
      <c r="C134" s="26" t="str">
        <f>IF(Employees!A14="","",Employees!A14)</f>
        <v/>
      </c>
      <c r="D134" s="26" t="str">
        <f>IF(C134="","",Employees!B14)</f>
        <v/>
      </c>
      <c r="E134" s="26" t="str">
        <f>IF(C134="","",Employees!C14)</f>
        <v/>
      </c>
      <c r="F134" s="26">
        <f>IF(A134="","",MOD(A134-Settings!$B$6,4)+1)</f>
        <v>3</v>
      </c>
      <c r="G134" s="26" t="str">
        <f>IF(C134="","",INDEX(Rotation_Pattern!$B$4:$E$7,F134,MATCH(E134,{"A","B","C","D"},0)))</f>
        <v/>
      </c>
      <c r="H134" s="32" t="str">
        <f t="shared" si="7"/>
        <v/>
      </c>
      <c r="I134" s="32" t="str">
        <f>IF(OR(G134="Off",G134=""),"",H134+TIME(Settings!$B$8,0,0))</f>
        <v/>
      </c>
      <c r="J134" s="26">
        <f>IF(OR(G134="Off",G134=""),0,Settings!$B$8)</f>
        <v>0</v>
      </c>
      <c r="K134" s="25" t="s">
        <v>111</v>
      </c>
      <c r="L134" s="26" t="str">
        <f>IF(A134="","",IF(COUNTIF(Public_Holidays!$A$4:$A$80,A134)&gt;0,"Y","N"))</f>
        <v>N</v>
      </c>
      <c r="M134" s="26" t="str">
        <f t="shared" si="8"/>
        <v>N</v>
      </c>
      <c r="N134" s="26" t="e">
        <f ca="1">IF(A134="","",_xludf.TEXTJOIN("; ",TRUE,IF(SUMIFS($J:$J,$C:$C,C134,$B:$B,B134)&gt;Settings!$B$9,"Weekly ordinary hrs &gt;45",""),IF(SUMIFS(Claims!$H:$H,Claims!$C:$C,C134,Claims!$B:$B,B134)&gt;Settings!$B$10,"Weekly OT &gt;10",""),IF(AND(G134&lt;&gt;"Off",COUNTIFS($C:$C,C134,$A:$A,A134-1,$G:$G,"Night")&gt;0),"Rest &lt;12h after night shift",""),IF(J134&gt;5,"Meal interval required","")))</f>
        <v>#NAME?</v>
      </c>
      <c r="O134" s="25" t="s">
        <v>112</v>
      </c>
      <c r="P134" s="25"/>
    </row>
    <row r="135" spans="1:16" x14ac:dyDescent="0.35">
      <c r="A135" s="31">
        <f>IF(6+1&lt;=Settings!$B$7,Settings!$B$6+6,"")</f>
        <v>46149</v>
      </c>
      <c r="B135" s="31">
        <f t="shared" si="6"/>
        <v>46146</v>
      </c>
      <c r="C135" s="26" t="str">
        <f>IF(Employees!A15="","",Employees!A15)</f>
        <v/>
      </c>
      <c r="D135" s="26" t="str">
        <f>IF(C135="","",Employees!B15)</f>
        <v/>
      </c>
      <c r="E135" s="26" t="str">
        <f>IF(C135="","",Employees!C15)</f>
        <v/>
      </c>
      <c r="F135" s="26">
        <f>IF(A135="","",MOD(A135-Settings!$B$6,4)+1)</f>
        <v>3</v>
      </c>
      <c r="G135" s="26" t="str">
        <f>IF(C135="","",INDEX(Rotation_Pattern!$B$4:$E$7,F135,MATCH(E135,{"A","B","C","D"},0)))</f>
        <v/>
      </c>
      <c r="H135" s="32" t="str">
        <f t="shared" si="7"/>
        <v/>
      </c>
      <c r="I135" s="32" t="str">
        <f>IF(OR(G135="Off",G135=""),"",H135+TIME(Settings!$B$8,0,0))</f>
        <v/>
      </c>
      <c r="J135" s="26">
        <f>IF(OR(G135="Off",G135=""),0,Settings!$B$8)</f>
        <v>0</v>
      </c>
      <c r="K135" s="25" t="s">
        <v>111</v>
      </c>
      <c r="L135" s="26" t="str">
        <f>IF(A135="","",IF(COUNTIF(Public_Holidays!$A$4:$A$80,A135)&gt;0,"Y","N"))</f>
        <v>N</v>
      </c>
      <c r="M135" s="26" t="str">
        <f t="shared" si="8"/>
        <v>N</v>
      </c>
      <c r="N135" s="26" t="e">
        <f ca="1">IF(A135="","",_xludf.TEXTJOIN("; ",TRUE,IF(SUMIFS($J:$J,$C:$C,C135,$B:$B,B135)&gt;Settings!$B$9,"Weekly ordinary hrs &gt;45",""),IF(SUMIFS(Claims!$H:$H,Claims!$C:$C,C135,Claims!$B:$B,B135)&gt;Settings!$B$10,"Weekly OT &gt;10",""),IF(AND(G135&lt;&gt;"Off",COUNTIFS($C:$C,C135,$A:$A,A135-1,$G:$G,"Night")&gt;0),"Rest &lt;12h after night shift",""),IF(J135&gt;5,"Meal interval required","")))</f>
        <v>#NAME?</v>
      </c>
      <c r="O135" s="25" t="s">
        <v>112</v>
      </c>
      <c r="P135" s="25"/>
    </row>
    <row r="136" spans="1:16" x14ac:dyDescent="0.35">
      <c r="A136" s="31">
        <f>IF(6+1&lt;=Settings!$B$7,Settings!$B$6+6,"")</f>
        <v>46149</v>
      </c>
      <c r="B136" s="31">
        <f t="shared" si="6"/>
        <v>46146</v>
      </c>
      <c r="C136" s="26" t="str">
        <f>IF(Employees!A16="","",Employees!A16)</f>
        <v/>
      </c>
      <c r="D136" s="26" t="str">
        <f>IF(C136="","",Employees!B16)</f>
        <v/>
      </c>
      <c r="E136" s="26" t="str">
        <f>IF(C136="","",Employees!C16)</f>
        <v/>
      </c>
      <c r="F136" s="26">
        <f>IF(A136="","",MOD(A136-Settings!$B$6,4)+1)</f>
        <v>3</v>
      </c>
      <c r="G136" s="26" t="str">
        <f>IF(C136="","",INDEX(Rotation_Pattern!$B$4:$E$7,F136,MATCH(E136,{"A","B","C","D"},0)))</f>
        <v/>
      </c>
      <c r="H136" s="32" t="str">
        <f t="shared" si="7"/>
        <v/>
      </c>
      <c r="I136" s="32" t="str">
        <f>IF(OR(G136="Off",G136=""),"",H136+TIME(Settings!$B$8,0,0))</f>
        <v/>
      </c>
      <c r="J136" s="26">
        <f>IF(OR(G136="Off",G136=""),0,Settings!$B$8)</f>
        <v>0</v>
      </c>
      <c r="K136" s="25" t="s">
        <v>111</v>
      </c>
      <c r="L136" s="26" t="str">
        <f>IF(A136="","",IF(COUNTIF(Public_Holidays!$A$4:$A$80,A136)&gt;0,"Y","N"))</f>
        <v>N</v>
      </c>
      <c r="M136" s="26" t="str">
        <f t="shared" si="8"/>
        <v>N</v>
      </c>
      <c r="N136" s="26" t="e">
        <f ca="1">IF(A136="","",_xludf.TEXTJOIN("; ",TRUE,IF(SUMIFS($J:$J,$C:$C,C136,$B:$B,B136)&gt;Settings!$B$9,"Weekly ordinary hrs &gt;45",""),IF(SUMIFS(Claims!$H:$H,Claims!$C:$C,C136,Claims!$B:$B,B136)&gt;Settings!$B$10,"Weekly OT &gt;10",""),IF(AND(G136&lt;&gt;"Off",COUNTIFS($C:$C,C136,$A:$A,A136-1,$G:$G,"Night")&gt;0),"Rest &lt;12h after night shift",""),IF(J136&gt;5,"Meal interval required","")))</f>
        <v>#NAME?</v>
      </c>
      <c r="O136" s="25" t="s">
        <v>112</v>
      </c>
      <c r="P136" s="25"/>
    </row>
    <row r="137" spans="1:16" x14ac:dyDescent="0.35">
      <c r="A137" s="31">
        <f>IF(6+1&lt;=Settings!$B$7,Settings!$B$6+6,"")</f>
        <v>46149</v>
      </c>
      <c r="B137" s="31">
        <f t="shared" si="6"/>
        <v>46146</v>
      </c>
      <c r="C137" s="26" t="str">
        <f>IF(Employees!A17="","",Employees!A17)</f>
        <v/>
      </c>
      <c r="D137" s="26" t="str">
        <f>IF(C137="","",Employees!B17)</f>
        <v/>
      </c>
      <c r="E137" s="26" t="str">
        <f>IF(C137="","",Employees!C17)</f>
        <v/>
      </c>
      <c r="F137" s="26">
        <f>IF(A137="","",MOD(A137-Settings!$B$6,4)+1)</f>
        <v>3</v>
      </c>
      <c r="G137" s="26" t="str">
        <f>IF(C137="","",INDEX(Rotation_Pattern!$B$4:$E$7,F137,MATCH(E137,{"A","B","C","D"},0)))</f>
        <v/>
      </c>
      <c r="H137" s="32" t="str">
        <f t="shared" si="7"/>
        <v/>
      </c>
      <c r="I137" s="32" t="str">
        <f>IF(OR(G137="Off",G137=""),"",H137+TIME(Settings!$B$8,0,0))</f>
        <v/>
      </c>
      <c r="J137" s="26">
        <f>IF(OR(G137="Off",G137=""),0,Settings!$B$8)</f>
        <v>0</v>
      </c>
      <c r="K137" s="25" t="s">
        <v>111</v>
      </c>
      <c r="L137" s="26" t="str">
        <f>IF(A137="","",IF(COUNTIF(Public_Holidays!$A$4:$A$80,A137)&gt;0,"Y","N"))</f>
        <v>N</v>
      </c>
      <c r="M137" s="26" t="str">
        <f t="shared" si="8"/>
        <v>N</v>
      </c>
      <c r="N137" s="26" t="e">
        <f ca="1">IF(A137="","",_xludf.TEXTJOIN("; ",TRUE,IF(SUMIFS($J:$J,$C:$C,C137,$B:$B,B137)&gt;Settings!$B$9,"Weekly ordinary hrs &gt;45",""),IF(SUMIFS(Claims!$H:$H,Claims!$C:$C,C137,Claims!$B:$B,B137)&gt;Settings!$B$10,"Weekly OT &gt;10",""),IF(AND(G137&lt;&gt;"Off",COUNTIFS($C:$C,C137,$A:$A,A137-1,$G:$G,"Night")&gt;0),"Rest &lt;12h after night shift",""),IF(J137&gt;5,"Meal interval required","")))</f>
        <v>#NAME?</v>
      </c>
      <c r="O137" s="25" t="s">
        <v>112</v>
      </c>
      <c r="P137" s="25"/>
    </row>
    <row r="138" spans="1:16" x14ac:dyDescent="0.35">
      <c r="A138" s="31">
        <f>IF(6+1&lt;=Settings!$B$7,Settings!$B$6+6,"")</f>
        <v>46149</v>
      </c>
      <c r="B138" s="31">
        <f t="shared" si="6"/>
        <v>46146</v>
      </c>
      <c r="C138" s="26" t="str">
        <f>IF(Employees!A18="","",Employees!A18)</f>
        <v/>
      </c>
      <c r="D138" s="26" t="str">
        <f>IF(C138="","",Employees!B18)</f>
        <v/>
      </c>
      <c r="E138" s="26" t="str">
        <f>IF(C138="","",Employees!C18)</f>
        <v/>
      </c>
      <c r="F138" s="26">
        <f>IF(A138="","",MOD(A138-Settings!$B$6,4)+1)</f>
        <v>3</v>
      </c>
      <c r="G138" s="26" t="str">
        <f>IF(C138="","",INDEX(Rotation_Pattern!$B$4:$E$7,F138,MATCH(E138,{"A","B","C","D"},0)))</f>
        <v/>
      </c>
      <c r="H138" s="32" t="str">
        <f t="shared" si="7"/>
        <v/>
      </c>
      <c r="I138" s="32" t="str">
        <f>IF(OR(G138="Off",G138=""),"",H138+TIME(Settings!$B$8,0,0))</f>
        <v/>
      </c>
      <c r="J138" s="26">
        <f>IF(OR(G138="Off",G138=""),0,Settings!$B$8)</f>
        <v>0</v>
      </c>
      <c r="K138" s="25" t="s">
        <v>111</v>
      </c>
      <c r="L138" s="26" t="str">
        <f>IF(A138="","",IF(COUNTIF(Public_Holidays!$A$4:$A$80,A138)&gt;0,"Y","N"))</f>
        <v>N</v>
      </c>
      <c r="M138" s="26" t="str">
        <f t="shared" si="8"/>
        <v>N</v>
      </c>
      <c r="N138" s="26" t="e">
        <f ca="1">IF(A138="","",_xludf.TEXTJOIN("; ",TRUE,IF(SUMIFS($J:$J,$C:$C,C138,$B:$B,B138)&gt;Settings!$B$9,"Weekly ordinary hrs &gt;45",""),IF(SUMIFS(Claims!$H:$H,Claims!$C:$C,C138,Claims!$B:$B,B138)&gt;Settings!$B$10,"Weekly OT &gt;10",""),IF(AND(G138&lt;&gt;"Off",COUNTIFS($C:$C,C138,$A:$A,A138-1,$G:$G,"Night")&gt;0),"Rest &lt;12h after night shift",""),IF(J138&gt;5,"Meal interval required","")))</f>
        <v>#NAME?</v>
      </c>
      <c r="O138" s="25" t="s">
        <v>112</v>
      </c>
      <c r="P138" s="25"/>
    </row>
    <row r="139" spans="1:16" x14ac:dyDescent="0.35">
      <c r="A139" s="31">
        <f>IF(6+1&lt;=Settings!$B$7,Settings!$B$6+6,"")</f>
        <v>46149</v>
      </c>
      <c r="B139" s="31">
        <f t="shared" si="6"/>
        <v>46146</v>
      </c>
      <c r="C139" s="26" t="str">
        <f>IF(Employees!A19="","",Employees!A19)</f>
        <v/>
      </c>
      <c r="D139" s="26" t="str">
        <f>IF(C139="","",Employees!B19)</f>
        <v/>
      </c>
      <c r="E139" s="26" t="str">
        <f>IF(C139="","",Employees!C19)</f>
        <v/>
      </c>
      <c r="F139" s="26">
        <f>IF(A139="","",MOD(A139-Settings!$B$6,4)+1)</f>
        <v>3</v>
      </c>
      <c r="G139" s="26" t="str">
        <f>IF(C139="","",INDEX(Rotation_Pattern!$B$4:$E$7,F139,MATCH(E139,{"A","B","C","D"},0)))</f>
        <v/>
      </c>
      <c r="H139" s="32" t="str">
        <f t="shared" si="7"/>
        <v/>
      </c>
      <c r="I139" s="32" t="str">
        <f>IF(OR(G139="Off",G139=""),"",H139+TIME(Settings!$B$8,0,0))</f>
        <v/>
      </c>
      <c r="J139" s="26">
        <f>IF(OR(G139="Off",G139=""),0,Settings!$B$8)</f>
        <v>0</v>
      </c>
      <c r="K139" s="25" t="s">
        <v>111</v>
      </c>
      <c r="L139" s="26" t="str">
        <f>IF(A139="","",IF(COUNTIF(Public_Holidays!$A$4:$A$80,A139)&gt;0,"Y","N"))</f>
        <v>N</v>
      </c>
      <c r="M139" s="26" t="str">
        <f t="shared" si="8"/>
        <v>N</v>
      </c>
      <c r="N139" s="26" t="e">
        <f ca="1">IF(A139="","",_xludf.TEXTJOIN("; ",TRUE,IF(SUMIFS($J:$J,$C:$C,C139,$B:$B,B139)&gt;Settings!$B$9,"Weekly ordinary hrs &gt;45",""),IF(SUMIFS(Claims!$H:$H,Claims!$C:$C,C139,Claims!$B:$B,B139)&gt;Settings!$B$10,"Weekly OT &gt;10",""),IF(AND(G139&lt;&gt;"Off",COUNTIFS($C:$C,C139,$A:$A,A139-1,$G:$G,"Night")&gt;0),"Rest &lt;12h after night shift",""),IF(J139&gt;5,"Meal interval required","")))</f>
        <v>#NAME?</v>
      </c>
      <c r="O139" s="25" t="s">
        <v>112</v>
      </c>
      <c r="P139" s="25"/>
    </row>
    <row r="140" spans="1:16" x14ac:dyDescent="0.35">
      <c r="A140" s="31">
        <f>IF(6+1&lt;=Settings!$B$7,Settings!$B$6+6,"")</f>
        <v>46149</v>
      </c>
      <c r="B140" s="31">
        <f t="shared" si="6"/>
        <v>46146</v>
      </c>
      <c r="C140" s="26" t="str">
        <f>IF(Employees!A20="","",Employees!A20)</f>
        <v/>
      </c>
      <c r="D140" s="26" t="str">
        <f>IF(C140="","",Employees!B20)</f>
        <v/>
      </c>
      <c r="E140" s="26" t="str">
        <f>IF(C140="","",Employees!C20)</f>
        <v/>
      </c>
      <c r="F140" s="26">
        <f>IF(A140="","",MOD(A140-Settings!$B$6,4)+1)</f>
        <v>3</v>
      </c>
      <c r="G140" s="26" t="str">
        <f>IF(C140="","",INDEX(Rotation_Pattern!$B$4:$E$7,F140,MATCH(E140,{"A","B","C","D"},0)))</f>
        <v/>
      </c>
      <c r="H140" s="32" t="str">
        <f t="shared" si="7"/>
        <v/>
      </c>
      <c r="I140" s="32" t="str">
        <f>IF(OR(G140="Off",G140=""),"",H140+TIME(Settings!$B$8,0,0))</f>
        <v/>
      </c>
      <c r="J140" s="26">
        <f>IF(OR(G140="Off",G140=""),0,Settings!$B$8)</f>
        <v>0</v>
      </c>
      <c r="K140" s="25" t="s">
        <v>111</v>
      </c>
      <c r="L140" s="26" t="str">
        <f>IF(A140="","",IF(COUNTIF(Public_Holidays!$A$4:$A$80,A140)&gt;0,"Y","N"))</f>
        <v>N</v>
      </c>
      <c r="M140" s="26" t="str">
        <f t="shared" si="8"/>
        <v>N</v>
      </c>
      <c r="N140" s="26" t="e">
        <f ca="1">IF(A140="","",_xludf.TEXTJOIN("; ",TRUE,IF(SUMIFS($J:$J,$C:$C,C140,$B:$B,B140)&gt;Settings!$B$9,"Weekly ordinary hrs &gt;45",""),IF(SUMIFS(Claims!$H:$H,Claims!$C:$C,C140,Claims!$B:$B,B140)&gt;Settings!$B$10,"Weekly OT &gt;10",""),IF(AND(G140&lt;&gt;"Off",COUNTIFS($C:$C,C140,$A:$A,A140-1,$G:$G,"Night")&gt;0),"Rest &lt;12h after night shift",""),IF(J140&gt;5,"Meal interval required","")))</f>
        <v>#NAME?</v>
      </c>
      <c r="O140" s="25" t="s">
        <v>112</v>
      </c>
      <c r="P140" s="25"/>
    </row>
    <row r="141" spans="1:16" x14ac:dyDescent="0.35">
      <c r="A141" s="31">
        <f>IF(6+1&lt;=Settings!$B$7,Settings!$B$6+6,"")</f>
        <v>46149</v>
      </c>
      <c r="B141" s="31">
        <f t="shared" si="6"/>
        <v>46146</v>
      </c>
      <c r="C141" s="26" t="str">
        <f>IF(Employees!A21="","",Employees!A21)</f>
        <v/>
      </c>
      <c r="D141" s="26" t="str">
        <f>IF(C141="","",Employees!B21)</f>
        <v/>
      </c>
      <c r="E141" s="26" t="str">
        <f>IF(C141="","",Employees!C21)</f>
        <v/>
      </c>
      <c r="F141" s="26">
        <f>IF(A141="","",MOD(A141-Settings!$B$6,4)+1)</f>
        <v>3</v>
      </c>
      <c r="G141" s="26" t="str">
        <f>IF(C141="","",INDEX(Rotation_Pattern!$B$4:$E$7,F141,MATCH(E141,{"A","B","C","D"},0)))</f>
        <v/>
      </c>
      <c r="H141" s="32" t="str">
        <f t="shared" si="7"/>
        <v/>
      </c>
      <c r="I141" s="32" t="str">
        <f>IF(OR(G141="Off",G141=""),"",H141+TIME(Settings!$B$8,0,0))</f>
        <v/>
      </c>
      <c r="J141" s="26">
        <f>IF(OR(G141="Off",G141=""),0,Settings!$B$8)</f>
        <v>0</v>
      </c>
      <c r="K141" s="25" t="s">
        <v>111</v>
      </c>
      <c r="L141" s="26" t="str">
        <f>IF(A141="","",IF(COUNTIF(Public_Holidays!$A$4:$A$80,A141)&gt;0,"Y","N"))</f>
        <v>N</v>
      </c>
      <c r="M141" s="26" t="str">
        <f t="shared" si="8"/>
        <v>N</v>
      </c>
      <c r="N141" s="26" t="e">
        <f ca="1">IF(A141="","",_xludf.TEXTJOIN("; ",TRUE,IF(SUMIFS($J:$J,$C:$C,C141,$B:$B,B141)&gt;Settings!$B$9,"Weekly ordinary hrs &gt;45",""),IF(SUMIFS(Claims!$H:$H,Claims!$C:$C,C141,Claims!$B:$B,B141)&gt;Settings!$B$10,"Weekly OT &gt;10",""),IF(AND(G141&lt;&gt;"Off",COUNTIFS($C:$C,C141,$A:$A,A141-1,$G:$G,"Night")&gt;0),"Rest &lt;12h after night shift",""),IF(J141&gt;5,"Meal interval required","")))</f>
        <v>#NAME?</v>
      </c>
      <c r="O141" s="25" t="s">
        <v>112</v>
      </c>
      <c r="P141" s="25"/>
    </row>
    <row r="142" spans="1:16" x14ac:dyDescent="0.35">
      <c r="A142" s="31">
        <f>IF(6+1&lt;=Settings!$B$7,Settings!$B$6+6,"")</f>
        <v>46149</v>
      </c>
      <c r="B142" s="31">
        <f t="shared" si="6"/>
        <v>46146</v>
      </c>
      <c r="C142" s="26" t="str">
        <f>IF(Employees!A22="","",Employees!A22)</f>
        <v/>
      </c>
      <c r="D142" s="26" t="str">
        <f>IF(C142="","",Employees!B22)</f>
        <v/>
      </c>
      <c r="E142" s="26" t="str">
        <f>IF(C142="","",Employees!C22)</f>
        <v/>
      </c>
      <c r="F142" s="26">
        <f>IF(A142="","",MOD(A142-Settings!$B$6,4)+1)</f>
        <v>3</v>
      </c>
      <c r="G142" s="26" t="str">
        <f>IF(C142="","",INDEX(Rotation_Pattern!$B$4:$E$7,F142,MATCH(E142,{"A","B","C","D"},0)))</f>
        <v/>
      </c>
      <c r="H142" s="32" t="str">
        <f t="shared" si="7"/>
        <v/>
      </c>
      <c r="I142" s="32" t="str">
        <f>IF(OR(G142="Off",G142=""),"",H142+TIME(Settings!$B$8,0,0))</f>
        <v/>
      </c>
      <c r="J142" s="26">
        <f>IF(OR(G142="Off",G142=""),0,Settings!$B$8)</f>
        <v>0</v>
      </c>
      <c r="K142" s="25" t="s">
        <v>111</v>
      </c>
      <c r="L142" s="26" t="str">
        <f>IF(A142="","",IF(COUNTIF(Public_Holidays!$A$4:$A$80,A142)&gt;0,"Y","N"))</f>
        <v>N</v>
      </c>
      <c r="M142" s="26" t="str">
        <f t="shared" si="8"/>
        <v>N</v>
      </c>
      <c r="N142" s="26" t="e">
        <f ca="1">IF(A142="","",_xludf.TEXTJOIN("; ",TRUE,IF(SUMIFS($J:$J,$C:$C,C142,$B:$B,B142)&gt;Settings!$B$9,"Weekly ordinary hrs &gt;45",""),IF(SUMIFS(Claims!$H:$H,Claims!$C:$C,C142,Claims!$B:$B,B142)&gt;Settings!$B$10,"Weekly OT &gt;10",""),IF(AND(G142&lt;&gt;"Off",COUNTIFS($C:$C,C142,$A:$A,A142-1,$G:$G,"Night")&gt;0),"Rest &lt;12h after night shift",""),IF(J142&gt;5,"Meal interval required","")))</f>
        <v>#NAME?</v>
      </c>
      <c r="O142" s="25" t="s">
        <v>112</v>
      </c>
      <c r="P142" s="25"/>
    </row>
    <row r="143" spans="1:16" x14ac:dyDescent="0.35">
      <c r="A143" s="31">
        <f>IF(6+1&lt;=Settings!$B$7,Settings!$B$6+6,"")</f>
        <v>46149</v>
      </c>
      <c r="B143" s="31">
        <f t="shared" si="6"/>
        <v>46146</v>
      </c>
      <c r="C143" s="26" t="str">
        <f>IF(Employees!A23="","",Employees!A23)</f>
        <v/>
      </c>
      <c r="D143" s="26" t="str">
        <f>IF(C143="","",Employees!B23)</f>
        <v/>
      </c>
      <c r="E143" s="26" t="str">
        <f>IF(C143="","",Employees!C23)</f>
        <v/>
      </c>
      <c r="F143" s="26">
        <f>IF(A143="","",MOD(A143-Settings!$B$6,4)+1)</f>
        <v>3</v>
      </c>
      <c r="G143" s="26" t="str">
        <f>IF(C143="","",INDEX(Rotation_Pattern!$B$4:$E$7,F143,MATCH(E143,{"A","B","C","D"},0)))</f>
        <v/>
      </c>
      <c r="H143" s="32" t="str">
        <f t="shared" si="7"/>
        <v/>
      </c>
      <c r="I143" s="32" t="str">
        <f>IF(OR(G143="Off",G143=""),"",H143+TIME(Settings!$B$8,0,0))</f>
        <v/>
      </c>
      <c r="J143" s="26">
        <f>IF(OR(G143="Off",G143=""),0,Settings!$B$8)</f>
        <v>0</v>
      </c>
      <c r="K143" s="25" t="s">
        <v>111</v>
      </c>
      <c r="L143" s="26" t="str">
        <f>IF(A143="","",IF(COUNTIF(Public_Holidays!$A$4:$A$80,A143)&gt;0,"Y","N"))</f>
        <v>N</v>
      </c>
      <c r="M143" s="26" t="str">
        <f t="shared" si="8"/>
        <v>N</v>
      </c>
      <c r="N143" s="26" t="e">
        <f ca="1">IF(A143="","",_xludf.TEXTJOIN("; ",TRUE,IF(SUMIFS($J:$J,$C:$C,C143,$B:$B,B143)&gt;Settings!$B$9,"Weekly ordinary hrs &gt;45",""),IF(SUMIFS(Claims!$H:$H,Claims!$C:$C,C143,Claims!$B:$B,B143)&gt;Settings!$B$10,"Weekly OT &gt;10",""),IF(AND(G143&lt;&gt;"Off",COUNTIFS($C:$C,C143,$A:$A,A143-1,$G:$G,"Night")&gt;0),"Rest &lt;12h after night shift",""),IF(J143&gt;5,"Meal interval required","")))</f>
        <v>#NAME?</v>
      </c>
      <c r="O143" s="25" t="s">
        <v>112</v>
      </c>
      <c r="P143" s="25"/>
    </row>
    <row r="144" spans="1:16" x14ac:dyDescent="0.35">
      <c r="A144" s="31">
        <f>IF(7+1&lt;=Settings!$B$7,Settings!$B$6+7,"")</f>
        <v>46150</v>
      </c>
      <c r="B144" s="31">
        <f t="shared" si="6"/>
        <v>46146</v>
      </c>
      <c r="C144" s="26" t="str">
        <f>IF(Employees!A4="","",Employees!A4)</f>
        <v>E001</v>
      </c>
      <c r="D144" s="26" t="str">
        <f>IF(C144="","",Employees!B4)</f>
        <v>Musiwa Khavalani</v>
      </c>
      <c r="E144" s="26">
        <f>IF(C144="","",Employees!C4)</f>
        <v>0</v>
      </c>
      <c r="F144" s="26">
        <f>IF(A144="","",MOD(A144-Settings!$B$6,4)+1)</f>
        <v>4</v>
      </c>
      <c r="G144" s="26" t="e">
        <f>IF(C144="","",INDEX(Rotation_Pattern!$B$4:$E$7,F144,MATCH(E144,{"A","B","C","D"},0)))</f>
        <v>#N/A</v>
      </c>
      <c r="H144" s="32" t="e">
        <f t="shared" si="7"/>
        <v>#N/A</v>
      </c>
      <c r="I144" s="32" t="e">
        <f>IF(OR(G144="Off",G144=""),"",H144+TIME(Settings!$B$8,0,0))</f>
        <v>#N/A</v>
      </c>
      <c r="J144" s="26" t="e">
        <f>IF(OR(G144="Off",G144=""),0,Settings!$B$8)</f>
        <v>#N/A</v>
      </c>
      <c r="K144" s="25" t="s">
        <v>111</v>
      </c>
      <c r="L144" s="26" t="str">
        <f>IF(A144="","",IF(COUNTIF(Public_Holidays!$A$4:$A$80,A144)&gt;0,"Y","N"))</f>
        <v>N</v>
      </c>
      <c r="M144" s="26" t="str">
        <f t="shared" si="8"/>
        <v>N</v>
      </c>
      <c r="N144" s="26" t="e">
        <f ca="1">IF(A144="","",_xludf.TEXTJOIN("; ",TRUE,IF(SUMIFS($J:$J,$C:$C,C144,$B:$B,B144)&gt;Settings!$B$9,"Weekly ordinary hrs &gt;45",""),IF(SUMIFS(Claims!$H:$H,Claims!$C:$C,C144,Claims!$B:$B,B144)&gt;Settings!$B$10,"Weekly OT &gt;10",""),IF(AND(G144&lt;&gt;"Off",COUNTIFS($C:$C,C144,$A:$A,A144-1,$G:$G,"Night")&gt;0),"Rest &lt;12h after night shift",""),IF(J144&gt;5,"Meal interval required","")))</f>
        <v>#NAME?</v>
      </c>
      <c r="O144" s="25" t="s">
        <v>112</v>
      </c>
      <c r="P144" s="25"/>
    </row>
    <row r="145" spans="1:16" x14ac:dyDescent="0.35">
      <c r="A145" s="31">
        <f>IF(7+1&lt;=Settings!$B$7,Settings!$B$6+7,"")</f>
        <v>46150</v>
      </c>
      <c r="B145" s="31">
        <f t="shared" si="6"/>
        <v>46146</v>
      </c>
      <c r="C145" s="26" t="str">
        <f>IF(Employees!A5="","",Employees!A5)</f>
        <v>E002</v>
      </c>
      <c r="D145" s="26" t="str">
        <f>IF(C145="","",Employees!B5)</f>
        <v>Mpho  Nembemhia</v>
      </c>
      <c r="E145" s="26" t="str">
        <f>IF(C145="","",Employees!C5)</f>
        <v>B</v>
      </c>
      <c r="F145" s="26">
        <f>IF(A145="","",MOD(A145-Settings!$B$6,4)+1)</f>
        <v>4</v>
      </c>
      <c r="G145" s="26" t="str">
        <f>IF(C145="","",INDEX(Rotation_Pattern!$B$4:$E$7,F145,MATCH(E145,{"A","B","C","D"},0)))</f>
        <v>Night</v>
      </c>
      <c r="H145" s="32">
        <f t="shared" si="7"/>
        <v>0.91666666666666663</v>
      </c>
      <c r="I145" s="32">
        <f>IF(OR(G145="Off",G145=""),"",H145+TIME(Settings!$B$8,0,0))</f>
        <v>1.25</v>
      </c>
      <c r="J145" s="26">
        <f>IF(OR(G145="Off",G145=""),0,Settings!$B$8)</f>
        <v>8</v>
      </c>
      <c r="K145" s="25" t="s">
        <v>111</v>
      </c>
      <c r="L145" s="26" t="str">
        <f>IF(A145="","",IF(COUNTIF(Public_Holidays!$A$4:$A$80,A145)&gt;0,"Y","N"))</f>
        <v>N</v>
      </c>
      <c r="M145" s="26" t="str">
        <f t="shared" si="8"/>
        <v>N</v>
      </c>
      <c r="N145" s="26" t="e">
        <f ca="1">IF(A145="","",_xludf.TEXTJOIN("; ",TRUE,IF(SUMIFS($J:$J,$C:$C,C145,$B:$B,B145)&gt;Settings!$B$9,"Weekly ordinary hrs &gt;45",""),IF(SUMIFS(Claims!$H:$H,Claims!$C:$C,C145,Claims!$B:$B,B145)&gt;Settings!$B$10,"Weekly OT &gt;10",""),IF(AND(G145&lt;&gt;"Off",COUNTIFS($C:$C,C145,$A:$A,A145-1,$G:$G,"Night")&gt;0),"Rest &lt;12h after night shift",""),IF(J145&gt;5,"Meal interval required","")))</f>
        <v>#NAME?</v>
      </c>
      <c r="O145" s="25" t="s">
        <v>112</v>
      </c>
      <c r="P145" s="25"/>
    </row>
    <row r="146" spans="1:16" x14ac:dyDescent="0.35">
      <c r="A146" s="31">
        <f>IF(7+1&lt;=Settings!$B$7,Settings!$B$6+7,"")</f>
        <v>46150</v>
      </c>
      <c r="B146" s="31">
        <f t="shared" si="6"/>
        <v>46146</v>
      </c>
      <c r="C146" s="26" t="str">
        <f>IF(Employees!A6="","",Employees!A6)</f>
        <v>E003</v>
      </c>
      <c r="D146" s="26" t="str">
        <f>IF(C146="","",Employees!B6)</f>
        <v>Dimpho Makhafola</v>
      </c>
      <c r="E146" s="26" t="str">
        <f>IF(C146="","",Employees!C6)</f>
        <v>C</v>
      </c>
      <c r="F146" s="26">
        <f>IF(A146="","",MOD(A146-Settings!$B$6,4)+1)</f>
        <v>4</v>
      </c>
      <c r="G146" s="26" t="str">
        <f>IF(C146="","",INDEX(Rotation_Pattern!$B$4:$E$7,F146,MATCH(E146,{"A","B","C","D"},0)))</f>
        <v>Evening</v>
      </c>
      <c r="H146" s="32">
        <f t="shared" si="7"/>
        <v>0.58333333333333337</v>
      </c>
      <c r="I146" s="32">
        <f>IF(OR(G146="Off",G146=""),"",H146+TIME(Settings!$B$8,0,0))</f>
        <v>0.91666666666666674</v>
      </c>
      <c r="J146" s="26">
        <f>IF(OR(G146="Off",G146=""),0,Settings!$B$8)</f>
        <v>8</v>
      </c>
      <c r="K146" s="25" t="s">
        <v>111</v>
      </c>
      <c r="L146" s="26" t="str">
        <f>IF(A146="","",IF(COUNTIF(Public_Holidays!$A$4:$A$80,A146)&gt;0,"Y","N"))</f>
        <v>N</v>
      </c>
      <c r="M146" s="26" t="str">
        <f t="shared" si="8"/>
        <v>N</v>
      </c>
      <c r="N146" s="26" t="e">
        <f ca="1">IF(A146="","",_xludf.TEXTJOIN("; ",TRUE,IF(SUMIFS($J:$J,$C:$C,C146,$B:$B,B146)&gt;Settings!$B$9,"Weekly ordinary hrs &gt;45",""),IF(SUMIFS(Claims!$H:$H,Claims!$C:$C,C146,Claims!$B:$B,B146)&gt;Settings!$B$10,"Weekly OT &gt;10",""),IF(AND(G146&lt;&gt;"Off",COUNTIFS($C:$C,C146,$A:$A,A146-1,$G:$G,"Night")&gt;0),"Rest &lt;12h after night shift",""),IF(J146&gt;5,"Meal interval required","")))</f>
        <v>#NAME?</v>
      </c>
      <c r="O146" s="25" t="s">
        <v>112</v>
      </c>
      <c r="P146" s="25"/>
    </row>
    <row r="147" spans="1:16" x14ac:dyDescent="0.35">
      <c r="A147" s="31">
        <f>IF(7+1&lt;=Settings!$B$7,Settings!$B$6+7,"")</f>
        <v>46150</v>
      </c>
      <c r="B147" s="31">
        <f t="shared" si="6"/>
        <v>46146</v>
      </c>
      <c r="C147" s="26" t="str">
        <f>IF(Employees!A7="","",Employees!A7)</f>
        <v>E004</v>
      </c>
      <c r="D147" s="26" t="str">
        <f>IF(C147="","",Employees!B7)</f>
        <v>Bashii Fall</v>
      </c>
      <c r="E147" s="26" t="str">
        <f>IF(C147="","",Employees!C7)</f>
        <v>D</v>
      </c>
      <c r="F147" s="26">
        <f>IF(A147="","",MOD(A147-Settings!$B$6,4)+1)</f>
        <v>4</v>
      </c>
      <c r="G147" s="26" t="str">
        <f>IF(C147="","",INDEX(Rotation_Pattern!$B$4:$E$7,F147,MATCH(E147,{"A","B","C","D"},0)))</f>
        <v>Day</v>
      </c>
      <c r="H147" s="32">
        <f t="shared" si="7"/>
        <v>0.25</v>
      </c>
      <c r="I147" s="32">
        <f>IF(OR(G147="Off",G147=""),"",H147+TIME(Settings!$B$8,0,0))</f>
        <v>0.58333333333333326</v>
      </c>
      <c r="J147" s="26">
        <f>IF(OR(G147="Off",G147=""),0,Settings!$B$8)</f>
        <v>8</v>
      </c>
      <c r="K147" s="25" t="s">
        <v>111</v>
      </c>
      <c r="L147" s="26" t="str">
        <f>IF(A147="","",IF(COUNTIF(Public_Holidays!$A$4:$A$80,A147)&gt;0,"Y","N"))</f>
        <v>N</v>
      </c>
      <c r="M147" s="26" t="str">
        <f t="shared" si="8"/>
        <v>N</v>
      </c>
      <c r="N147" s="26" t="e">
        <f ca="1">IF(A147="","",_xludf.TEXTJOIN("; ",TRUE,IF(SUMIFS($J:$J,$C:$C,C147,$B:$B,B147)&gt;Settings!$B$9,"Weekly ordinary hrs &gt;45",""),IF(SUMIFS(Claims!$H:$H,Claims!$C:$C,C147,Claims!$B:$B,B147)&gt;Settings!$B$10,"Weekly OT &gt;10",""),IF(AND(G147&lt;&gt;"Off",COUNTIFS($C:$C,C147,$A:$A,A147-1,$G:$G,"Night")&gt;0),"Rest &lt;12h after night shift",""),IF(J147&gt;5,"Meal interval required","")))</f>
        <v>#NAME?</v>
      </c>
      <c r="O147" s="25" t="s">
        <v>112</v>
      </c>
      <c r="P147" s="25"/>
    </row>
    <row r="148" spans="1:16" x14ac:dyDescent="0.35">
      <c r="A148" s="31">
        <f>IF(7+1&lt;=Settings!$B$7,Settings!$B$6+7,"")</f>
        <v>46150</v>
      </c>
      <c r="B148" s="31">
        <f t="shared" si="6"/>
        <v>46146</v>
      </c>
      <c r="C148" s="26" t="str">
        <f>IF(Employees!A8="","",Employees!A8)</f>
        <v>E005</v>
      </c>
      <c r="D148" s="26" t="str">
        <f>IF(C148="","",Employees!B8)</f>
        <v>Lesego Aphane</v>
      </c>
      <c r="E148" s="26" t="str">
        <f>IF(C148="","",Employees!C8)</f>
        <v>A</v>
      </c>
      <c r="F148" s="26">
        <f>IF(A148="","",MOD(A148-Settings!$B$6,4)+1)</f>
        <v>4</v>
      </c>
      <c r="G148" s="26" t="str">
        <f>IF(C148="","",INDEX(Rotation_Pattern!$B$4:$E$7,F148,MATCH(E148,{"A","B","C","D"},0)))</f>
        <v>Off</v>
      </c>
      <c r="H148" s="32" t="str">
        <f t="shared" si="7"/>
        <v/>
      </c>
      <c r="I148" s="32" t="str">
        <f>IF(OR(G148="Off",G148=""),"",H148+TIME(Settings!$B$8,0,0))</f>
        <v/>
      </c>
      <c r="J148" s="26">
        <f>IF(OR(G148="Off",G148=""),0,Settings!$B$8)</f>
        <v>0</v>
      </c>
      <c r="K148" s="25" t="s">
        <v>111</v>
      </c>
      <c r="L148" s="26" t="str">
        <f>IF(A148="","",IF(COUNTIF(Public_Holidays!$A$4:$A$80,A148)&gt;0,"Y","N"))</f>
        <v>N</v>
      </c>
      <c r="M148" s="26" t="str">
        <f t="shared" si="8"/>
        <v>N</v>
      </c>
      <c r="N148" s="26" t="e">
        <f ca="1">IF(A148="","",_xludf.TEXTJOIN("; ",TRUE,IF(SUMIFS($J:$J,$C:$C,C148,$B:$B,B148)&gt;Settings!$B$9,"Weekly ordinary hrs &gt;45",""),IF(SUMIFS(Claims!$H:$H,Claims!$C:$C,C148,Claims!$B:$B,B148)&gt;Settings!$B$10,"Weekly OT &gt;10",""),IF(AND(G148&lt;&gt;"Off",COUNTIFS($C:$C,C148,$A:$A,A148-1,$G:$G,"Night")&gt;0),"Rest &lt;12h after night shift",""),IF(J148&gt;5,"Meal interval required","")))</f>
        <v>#NAME?</v>
      </c>
      <c r="O148" s="25" t="s">
        <v>112</v>
      </c>
      <c r="P148" s="25"/>
    </row>
    <row r="149" spans="1:16" x14ac:dyDescent="0.35">
      <c r="A149" s="31">
        <f>IF(7+1&lt;=Settings!$B$7,Settings!$B$6+7,"")</f>
        <v>46150</v>
      </c>
      <c r="B149" s="31">
        <f t="shared" si="6"/>
        <v>46146</v>
      </c>
      <c r="C149" s="26" t="str">
        <f>IF(Employees!A9="","",Employees!A9)</f>
        <v>E006</v>
      </c>
      <c r="D149" s="26" t="str">
        <f>IF(C149="","",Employees!B9)</f>
        <v>Nhalnahla</v>
      </c>
      <c r="E149" s="26" t="str">
        <f>IF(C149="","",Employees!C9)</f>
        <v>B</v>
      </c>
      <c r="F149" s="26">
        <f>IF(A149="","",MOD(A149-Settings!$B$6,4)+1)</f>
        <v>4</v>
      </c>
      <c r="G149" s="26" t="str">
        <f>IF(C149="","",INDEX(Rotation_Pattern!$B$4:$E$7,F149,MATCH(E149,{"A","B","C","D"},0)))</f>
        <v>Night</v>
      </c>
      <c r="H149" s="32">
        <f t="shared" si="7"/>
        <v>0.91666666666666663</v>
      </c>
      <c r="I149" s="32">
        <f>IF(OR(G149="Off",G149=""),"",H149+TIME(Settings!$B$8,0,0))</f>
        <v>1.25</v>
      </c>
      <c r="J149" s="26">
        <f>IF(OR(G149="Off",G149=""),0,Settings!$B$8)</f>
        <v>8</v>
      </c>
      <c r="K149" s="25" t="s">
        <v>111</v>
      </c>
      <c r="L149" s="26" t="str">
        <f>IF(A149="","",IF(COUNTIF(Public_Holidays!$A$4:$A$80,A149)&gt;0,"Y","N"))</f>
        <v>N</v>
      </c>
      <c r="M149" s="26" t="str">
        <f t="shared" si="8"/>
        <v>N</v>
      </c>
      <c r="N149" s="26" t="e">
        <f ca="1">IF(A149="","",_xludf.TEXTJOIN("; ",TRUE,IF(SUMIFS($J:$J,$C:$C,C149,$B:$B,B149)&gt;Settings!$B$9,"Weekly ordinary hrs &gt;45",""),IF(SUMIFS(Claims!$H:$H,Claims!$C:$C,C149,Claims!$B:$B,B149)&gt;Settings!$B$10,"Weekly OT &gt;10",""),IF(AND(G149&lt;&gt;"Off",COUNTIFS($C:$C,C149,$A:$A,A149-1,$G:$G,"Night")&gt;0),"Rest &lt;12h after night shift",""),IF(J149&gt;5,"Meal interval required","")))</f>
        <v>#NAME?</v>
      </c>
      <c r="O149" s="25" t="s">
        <v>112</v>
      </c>
      <c r="P149" s="25"/>
    </row>
    <row r="150" spans="1:16" x14ac:dyDescent="0.35">
      <c r="A150" s="31">
        <f>IF(7+1&lt;=Settings!$B$7,Settings!$B$6+7,"")</f>
        <v>46150</v>
      </c>
      <c r="B150" s="31">
        <f t="shared" si="6"/>
        <v>46146</v>
      </c>
      <c r="C150" s="26" t="str">
        <f>IF(Employees!A10="","",Employees!A10)</f>
        <v>E007</v>
      </c>
      <c r="D150" s="26" t="str">
        <f>IF(C150="","",Employees!B10)</f>
        <v>Joe</v>
      </c>
      <c r="E150" s="26" t="str">
        <f>IF(C150="","",Employees!C10)</f>
        <v>C</v>
      </c>
      <c r="F150" s="26">
        <f>IF(A150="","",MOD(A150-Settings!$B$6,4)+1)</f>
        <v>4</v>
      </c>
      <c r="G150" s="26" t="str">
        <f>IF(C150="","",INDEX(Rotation_Pattern!$B$4:$E$7,F150,MATCH(E150,{"A","B","C","D"},0)))</f>
        <v>Evening</v>
      </c>
      <c r="H150" s="32">
        <f t="shared" si="7"/>
        <v>0.58333333333333337</v>
      </c>
      <c r="I150" s="32">
        <f>IF(OR(G150="Off",G150=""),"",H150+TIME(Settings!$B$8,0,0))</f>
        <v>0.91666666666666674</v>
      </c>
      <c r="J150" s="26">
        <f>IF(OR(G150="Off",G150=""),0,Settings!$B$8)</f>
        <v>8</v>
      </c>
      <c r="K150" s="25" t="s">
        <v>111</v>
      </c>
      <c r="L150" s="26" t="str">
        <f>IF(A150="","",IF(COUNTIF(Public_Holidays!$A$4:$A$80,A150)&gt;0,"Y","N"))</f>
        <v>N</v>
      </c>
      <c r="M150" s="26" t="str">
        <f t="shared" si="8"/>
        <v>N</v>
      </c>
      <c r="N150" s="26" t="e">
        <f ca="1">IF(A150="","",_xludf.TEXTJOIN("; ",TRUE,IF(SUMIFS($J:$J,$C:$C,C150,$B:$B,B150)&gt;Settings!$B$9,"Weekly ordinary hrs &gt;45",""),IF(SUMIFS(Claims!$H:$H,Claims!$C:$C,C150,Claims!$B:$B,B150)&gt;Settings!$B$10,"Weekly OT &gt;10",""),IF(AND(G150&lt;&gt;"Off",COUNTIFS($C:$C,C150,$A:$A,A150-1,$G:$G,"Night")&gt;0),"Rest &lt;12h after night shift",""),IF(J150&gt;5,"Meal interval required","")))</f>
        <v>#NAME?</v>
      </c>
      <c r="O150" s="25" t="s">
        <v>112</v>
      </c>
      <c r="P150" s="25"/>
    </row>
    <row r="151" spans="1:16" x14ac:dyDescent="0.35">
      <c r="A151" s="31">
        <f>IF(7+1&lt;=Settings!$B$7,Settings!$B$6+7,"")</f>
        <v>46150</v>
      </c>
      <c r="B151" s="31">
        <f t="shared" si="6"/>
        <v>46146</v>
      </c>
      <c r="C151" s="26" t="str">
        <f>IF(Employees!A11="","",Employees!A11)</f>
        <v>E008</v>
      </c>
      <c r="D151" s="26" t="str">
        <f>IF(C151="","",Employees!B11)</f>
        <v>Tim</v>
      </c>
      <c r="E151" s="26" t="str">
        <f>IF(C151="","",Employees!C11)</f>
        <v>D</v>
      </c>
      <c r="F151" s="26">
        <f>IF(A151="","",MOD(A151-Settings!$B$6,4)+1)</f>
        <v>4</v>
      </c>
      <c r="G151" s="26" t="str">
        <f>IF(C151="","",INDEX(Rotation_Pattern!$B$4:$E$7,F151,MATCH(E151,{"A","B","C","D"},0)))</f>
        <v>Day</v>
      </c>
      <c r="H151" s="32">
        <f t="shared" si="7"/>
        <v>0.25</v>
      </c>
      <c r="I151" s="32">
        <f>IF(OR(G151="Off",G151=""),"",H151+TIME(Settings!$B$8,0,0))</f>
        <v>0.58333333333333326</v>
      </c>
      <c r="J151" s="26">
        <f>IF(OR(G151="Off",G151=""),0,Settings!$B$8)</f>
        <v>8</v>
      </c>
      <c r="K151" s="25" t="s">
        <v>111</v>
      </c>
      <c r="L151" s="26" t="str">
        <f>IF(A151="","",IF(COUNTIF(Public_Holidays!$A$4:$A$80,A151)&gt;0,"Y","N"))</f>
        <v>N</v>
      </c>
      <c r="M151" s="26" t="str">
        <f t="shared" si="8"/>
        <v>N</v>
      </c>
      <c r="N151" s="26" t="e">
        <f ca="1">IF(A151="","",_xludf.TEXTJOIN("; ",TRUE,IF(SUMIFS($J:$J,$C:$C,C151,$B:$B,B151)&gt;Settings!$B$9,"Weekly ordinary hrs &gt;45",""),IF(SUMIFS(Claims!$H:$H,Claims!$C:$C,C151,Claims!$B:$B,B151)&gt;Settings!$B$10,"Weekly OT &gt;10",""),IF(AND(G151&lt;&gt;"Off",COUNTIFS($C:$C,C151,$A:$A,A151-1,$G:$G,"Night")&gt;0),"Rest &lt;12h after night shift",""),IF(J151&gt;5,"Meal interval required","")))</f>
        <v>#NAME?</v>
      </c>
      <c r="O151" s="25" t="s">
        <v>112</v>
      </c>
      <c r="P151" s="25"/>
    </row>
    <row r="152" spans="1:16" x14ac:dyDescent="0.35">
      <c r="A152" s="31">
        <f>IF(7+1&lt;=Settings!$B$7,Settings!$B$6+7,"")</f>
        <v>46150</v>
      </c>
      <c r="B152" s="31">
        <f t="shared" si="6"/>
        <v>46146</v>
      </c>
      <c r="C152" s="26" t="str">
        <f>IF(Employees!A12="","",Employees!A12)</f>
        <v>E009</v>
      </c>
      <c r="D152" s="26" t="str">
        <f>IF(C152="","",Employees!B12)</f>
        <v>Frank</v>
      </c>
      <c r="E152" s="26" t="str">
        <f>IF(C152="","",Employees!C12)</f>
        <v>A</v>
      </c>
      <c r="F152" s="26">
        <f>IF(A152="","",MOD(A152-Settings!$B$6,4)+1)</f>
        <v>4</v>
      </c>
      <c r="G152" s="26" t="str">
        <f>IF(C152="","",INDEX(Rotation_Pattern!$B$4:$E$7,F152,MATCH(E152,{"A","B","C","D"},0)))</f>
        <v>Off</v>
      </c>
      <c r="H152" s="32" t="str">
        <f t="shared" si="7"/>
        <v/>
      </c>
      <c r="I152" s="32" t="str">
        <f>IF(OR(G152="Off",G152=""),"",H152+TIME(Settings!$B$8,0,0))</f>
        <v/>
      </c>
      <c r="J152" s="26">
        <f>IF(OR(G152="Off",G152=""),0,Settings!$B$8)</f>
        <v>0</v>
      </c>
      <c r="K152" s="25" t="s">
        <v>111</v>
      </c>
      <c r="L152" s="26" t="str">
        <f>IF(A152="","",IF(COUNTIF(Public_Holidays!$A$4:$A$80,A152)&gt;0,"Y","N"))</f>
        <v>N</v>
      </c>
      <c r="M152" s="26" t="str">
        <f t="shared" si="8"/>
        <v>N</v>
      </c>
      <c r="N152" s="26" t="e">
        <f ca="1">IF(A152="","",_xludf.TEXTJOIN("; ",TRUE,IF(SUMIFS($J:$J,$C:$C,C152,$B:$B,B152)&gt;Settings!$B$9,"Weekly ordinary hrs &gt;45",""),IF(SUMIFS(Claims!$H:$H,Claims!$C:$C,C152,Claims!$B:$B,B152)&gt;Settings!$B$10,"Weekly OT &gt;10",""),IF(AND(G152&lt;&gt;"Off",COUNTIFS($C:$C,C152,$A:$A,A152-1,$G:$G,"Night")&gt;0),"Rest &lt;12h after night shift",""),IF(J152&gt;5,"Meal interval required","")))</f>
        <v>#NAME?</v>
      </c>
      <c r="O152" s="25" t="s">
        <v>112</v>
      </c>
      <c r="P152" s="25"/>
    </row>
    <row r="153" spans="1:16" x14ac:dyDescent="0.35">
      <c r="A153" s="31">
        <f>IF(7+1&lt;=Settings!$B$7,Settings!$B$6+7,"")</f>
        <v>46150</v>
      </c>
      <c r="B153" s="31">
        <f t="shared" si="6"/>
        <v>46146</v>
      </c>
      <c r="C153" s="26" t="str">
        <f>IF(Employees!A13="","",Employees!A13)</f>
        <v/>
      </c>
      <c r="D153" s="26" t="str">
        <f>IF(C153="","",Employees!B13)</f>
        <v/>
      </c>
      <c r="E153" s="26" t="str">
        <f>IF(C153="","",Employees!C13)</f>
        <v/>
      </c>
      <c r="F153" s="26">
        <f>IF(A153="","",MOD(A153-Settings!$B$6,4)+1)</f>
        <v>4</v>
      </c>
      <c r="G153" s="26" t="str">
        <f>IF(C153="","",INDEX(Rotation_Pattern!$B$4:$E$7,F153,MATCH(E153,{"A","B","C","D"},0)))</f>
        <v/>
      </c>
      <c r="H153" s="32" t="str">
        <f t="shared" si="7"/>
        <v/>
      </c>
      <c r="I153" s="32" t="str">
        <f>IF(OR(G153="Off",G153=""),"",H153+TIME(Settings!$B$8,0,0))</f>
        <v/>
      </c>
      <c r="J153" s="26">
        <f>IF(OR(G153="Off",G153=""),0,Settings!$B$8)</f>
        <v>0</v>
      </c>
      <c r="K153" s="25" t="s">
        <v>111</v>
      </c>
      <c r="L153" s="26" t="str">
        <f>IF(A153="","",IF(COUNTIF(Public_Holidays!$A$4:$A$80,A153)&gt;0,"Y","N"))</f>
        <v>N</v>
      </c>
      <c r="M153" s="26" t="str">
        <f t="shared" si="8"/>
        <v>N</v>
      </c>
      <c r="N153" s="26" t="e">
        <f ca="1">IF(A153="","",_xludf.TEXTJOIN("; ",TRUE,IF(SUMIFS($J:$J,$C:$C,C153,$B:$B,B153)&gt;Settings!$B$9,"Weekly ordinary hrs &gt;45",""),IF(SUMIFS(Claims!$H:$H,Claims!$C:$C,C153,Claims!$B:$B,B153)&gt;Settings!$B$10,"Weekly OT &gt;10",""),IF(AND(G153&lt;&gt;"Off",COUNTIFS($C:$C,C153,$A:$A,A153-1,$G:$G,"Night")&gt;0),"Rest &lt;12h after night shift",""),IF(J153&gt;5,"Meal interval required","")))</f>
        <v>#NAME?</v>
      </c>
      <c r="O153" s="25" t="s">
        <v>112</v>
      </c>
      <c r="P153" s="25"/>
    </row>
    <row r="154" spans="1:16" x14ac:dyDescent="0.35">
      <c r="A154" s="31">
        <f>IF(7+1&lt;=Settings!$B$7,Settings!$B$6+7,"")</f>
        <v>46150</v>
      </c>
      <c r="B154" s="31">
        <f t="shared" si="6"/>
        <v>46146</v>
      </c>
      <c r="C154" s="26" t="str">
        <f>IF(Employees!A14="","",Employees!A14)</f>
        <v/>
      </c>
      <c r="D154" s="26" t="str">
        <f>IF(C154="","",Employees!B14)</f>
        <v/>
      </c>
      <c r="E154" s="26" t="str">
        <f>IF(C154="","",Employees!C14)</f>
        <v/>
      </c>
      <c r="F154" s="26">
        <f>IF(A154="","",MOD(A154-Settings!$B$6,4)+1)</f>
        <v>4</v>
      </c>
      <c r="G154" s="26" t="str">
        <f>IF(C154="","",INDEX(Rotation_Pattern!$B$4:$E$7,F154,MATCH(E154,{"A","B","C","D"},0)))</f>
        <v/>
      </c>
      <c r="H154" s="32" t="str">
        <f t="shared" si="7"/>
        <v/>
      </c>
      <c r="I154" s="32" t="str">
        <f>IF(OR(G154="Off",G154=""),"",H154+TIME(Settings!$B$8,0,0))</f>
        <v/>
      </c>
      <c r="J154" s="26">
        <f>IF(OR(G154="Off",G154=""),0,Settings!$B$8)</f>
        <v>0</v>
      </c>
      <c r="K154" s="25" t="s">
        <v>111</v>
      </c>
      <c r="L154" s="26" t="str">
        <f>IF(A154="","",IF(COUNTIF(Public_Holidays!$A$4:$A$80,A154)&gt;0,"Y","N"))</f>
        <v>N</v>
      </c>
      <c r="M154" s="26" t="str">
        <f t="shared" si="8"/>
        <v>N</v>
      </c>
      <c r="N154" s="26" t="e">
        <f ca="1">IF(A154="","",_xludf.TEXTJOIN("; ",TRUE,IF(SUMIFS($J:$J,$C:$C,C154,$B:$B,B154)&gt;Settings!$B$9,"Weekly ordinary hrs &gt;45",""),IF(SUMIFS(Claims!$H:$H,Claims!$C:$C,C154,Claims!$B:$B,B154)&gt;Settings!$B$10,"Weekly OT &gt;10",""),IF(AND(G154&lt;&gt;"Off",COUNTIFS($C:$C,C154,$A:$A,A154-1,$G:$G,"Night")&gt;0),"Rest &lt;12h after night shift",""),IF(J154&gt;5,"Meal interval required","")))</f>
        <v>#NAME?</v>
      </c>
      <c r="O154" s="25" t="s">
        <v>112</v>
      </c>
      <c r="P154" s="25"/>
    </row>
    <row r="155" spans="1:16" x14ac:dyDescent="0.35">
      <c r="A155" s="31">
        <f>IF(7+1&lt;=Settings!$B$7,Settings!$B$6+7,"")</f>
        <v>46150</v>
      </c>
      <c r="B155" s="31">
        <f t="shared" si="6"/>
        <v>46146</v>
      </c>
      <c r="C155" s="26" t="str">
        <f>IF(Employees!A15="","",Employees!A15)</f>
        <v/>
      </c>
      <c r="D155" s="26" t="str">
        <f>IF(C155="","",Employees!B15)</f>
        <v/>
      </c>
      <c r="E155" s="26" t="str">
        <f>IF(C155="","",Employees!C15)</f>
        <v/>
      </c>
      <c r="F155" s="26">
        <f>IF(A155="","",MOD(A155-Settings!$B$6,4)+1)</f>
        <v>4</v>
      </c>
      <c r="G155" s="26" t="str">
        <f>IF(C155="","",INDEX(Rotation_Pattern!$B$4:$E$7,F155,MATCH(E155,{"A","B","C","D"},0)))</f>
        <v/>
      </c>
      <c r="H155" s="32" t="str">
        <f t="shared" si="7"/>
        <v/>
      </c>
      <c r="I155" s="32" t="str">
        <f>IF(OR(G155="Off",G155=""),"",H155+TIME(Settings!$B$8,0,0))</f>
        <v/>
      </c>
      <c r="J155" s="26">
        <f>IF(OR(G155="Off",G155=""),0,Settings!$B$8)</f>
        <v>0</v>
      </c>
      <c r="K155" s="25" t="s">
        <v>111</v>
      </c>
      <c r="L155" s="26" t="str">
        <f>IF(A155="","",IF(COUNTIF(Public_Holidays!$A$4:$A$80,A155)&gt;0,"Y","N"))</f>
        <v>N</v>
      </c>
      <c r="M155" s="26" t="str">
        <f t="shared" si="8"/>
        <v>N</v>
      </c>
      <c r="N155" s="26" t="e">
        <f ca="1">IF(A155="","",_xludf.TEXTJOIN("; ",TRUE,IF(SUMIFS($J:$J,$C:$C,C155,$B:$B,B155)&gt;Settings!$B$9,"Weekly ordinary hrs &gt;45",""),IF(SUMIFS(Claims!$H:$H,Claims!$C:$C,C155,Claims!$B:$B,B155)&gt;Settings!$B$10,"Weekly OT &gt;10",""),IF(AND(G155&lt;&gt;"Off",COUNTIFS($C:$C,C155,$A:$A,A155-1,$G:$G,"Night")&gt;0),"Rest &lt;12h after night shift",""),IF(J155&gt;5,"Meal interval required","")))</f>
        <v>#NAME?</v>
      </c>
      <c r="O155" s="25" t="s">
        <v>112</v>
      </c>
      <c r="P155" s="25"/>
    </row>
    <row r="156" spans="1:16" x14ac:dyDescent="0.35">
      <c r="A156" s="31">
        <f>IF(7+1&lt;=Settings!$B$7,Settings!$B$6+7,"")</f>
        <v>46150</v>
      </c>
      <c r="B156" s="31">
        <f t="shared" si="6"/>
        <v>46146</v>
      </c>
      <c r="C156" s="26" t="str">
        <f>IF(Employees!A16="","",Employees!A16)</f>
        <v/>
      </c>
      <c r="D156" s="26" t="str">
        <f>IF(C156="","",Employees!B16)</f>
        <v/>
      </c>
      <c r="E156" s="26" t="str">
        <f>IF(C156="","",Employees!C16)</f>
        <v/>
      </c>
      <c r="F156" s="26">
        <f>IF(A156="","",MOD(A156-Settings!$B$6,4)+1)</f>
        <v>4</v>
      </c>
      <c r="G156" s="26" t="str">
        <f>IF(C156="","",INDEX(Rotation_Pattern!$B$4:$E$7,F156,MATCH(E156,{"A","B","C","D"},0)))</f>
        <v/>
      </c>
      <c r="H156" s="32" t="str">
        <f t="shared" si="7"/>
        <v/>
      </c>
      <c r="I156" s="32" t="str">
        <f>IF(OR(G156="Off",G156=""),"",H156+TIME(Settings!$B$8,0,0))</f>
        <v/>
      </c>
      <c r="J156" s="26">
        <f>IF(OR(G156="Off",G156=""),0,Settings!$B$8)</f>
        <v>0</v>
      </c>
      <c r="K156" s="25" t="s">
        <v>111</v>
      </c>
      <c r="L156" s="26" t="str">
        <f>IF(A156="","",IF(COUNTIF(Public_Holidays!$A$4:$A$80,A156)&gt;0,"Y","N"))</f>
        <v>N</v>
      </c>
      <c r="M156" s="26" t="str">
        <f t="shared" si="8"/>
        <v>N</v>
      </c>
      <c r="N156" s="26" t="e">
        <f ca="1">IF(A156="","",_xludf.TEXTJOIN("; ",TRUE,IF(SUMIFS($J:$J,$C:$C,C156,$B:$B,B156)&gt;Settings!$B$9,"Weekly ordinary hrs &gt;45",""),IF(SUMIFS(Claims!$H:$H,Claims!$C:$C,C156,Claims!$B:$B,B156)&gt;Settings!$B$10,"Weekly OT &gt;10",""),IF(AND(G156&lt;&gt;"Off",COUNTIFS($C:$C,C156,$A:$A,A156-1,$G:$G,"Night")&gt;0),"Rest &lt;12h after night shift",""),IF(J156&gt;5,"Meal interval required","")))</f>
        <v>#NAME?</v>
      </c>
      <c r="O156" s="25" t="s">
        <v>112</v>
      </c>
      <c r="P156" s="25"/>
    </row>
    <row r="157" spans="1:16" x14ac:dyDescent="0.35">
      <c r="A157" s="31">
        <f>IF(7+1&lt;=Settings!$B$7,Settings!$B$6+7,"")</f>
        <v>46150</v>
      </c>
      <c r="B157" s="31">
        <f t="shared" si="6"/>
        <v>46146</v>
      </c>
      <c r="C157" s="26" t="str">
        <f>IF(Employees!A17="","",Employees!A17)</f>
        <v/>
      </c>
      <c r="D157" s="26" t="str">
        <f>IF(C157="","",Employees!B17)</f>
        <v/>
      </c>
      <c r="E157" s="26" t="str">
        <f>IF(C157="","",Employees!C17)</f>
        <v/>
      </c>
      <c r="F157" s="26">
        <f>IF(A157="","",MOD(A157-Settings!$B$6,4)+1)</f>
        <v>4</v>
      </c>
      <c r="G157" s="26" t="str">
        <f>IF(C157="","",INDEX(Rotation_Pattern!$B$4:$E$7,F157,MATCH(E157,{"A","B","C","D"},0)))</f>
        <v/>
      </c>
      <c r="H157" s="32" t="str">
        <f t="shared" si="7"/>
        <v/>
      </c>
      <c r="I157" s="32" t="str">
        <f>IF(OR(G157="Off",G157=""),"",H157+TIME(Settings!$B$8,0,0))</f>
        <v/>
      </c>
      <c r="J157" s="26">
        <f>IF(OR(G157="Off",G157=""),0,Settings!$B$8)</f>
        <v>0</v>
      </c>
      <c r="K157" s="25" t="s">
        <v>111</v>
      </c>
      <c r="L157" s="26" t="str">
        <f>IF(A157="","",IF(COUNTIF(Public_Holidays!$A$4:$A$80,A157)&gt;0,"Y","N"))</f>
        <v>N</v>
      </c>
      <c r="M157" s="26" t="str">
        <f t="shared" si="8"/>
        <v>N</v>
      </c>
      <c r="N157" s="26" t="e">
        <f ca="1">IF(A157="","",_xludf.TEXTJOIN("; ",TRUE,IF(SUMIFS($J:$J,$C:$C,C157,$B:$B,B157)&gt;Settings!$B$9,"Weekly ordinary hrs &gt;45",""),IF(SUMIFS(Claims!$H:$H,Claims!$C:$C,C157,Claims!$B:$B,B157)&gt;Settings!$B$10,"Weekly OT &gt;10",""),IF(AND(G157&lt;&gt;"Off",COUNTIFS($C:$C,C157,$A:$A,A157-1,$G:$G,"Night")&gt;0),"Rest &lt;12h after night shift",""),IF(J157&gt;5,"Meal interval required","")))</f>
        <v>#NAME?</v>
      </c>
      <c r="O157" s="25" t="s">
        <v>112</v>
      </c>
      <c r="P157" s="25"/>
    </row>
    <row r="158" spans="1:16" x14ac:dyDescent="0.35">
      <c r="A158" s="31">
        <f>IF(7+1&lt;=Settings!$B$7,Settings!$B$6+7,"")</f>
        <v>46150</v>
      </c>
      <c r="B158" s="31">
        <f t="shared" si="6"/>
        <v>46146</v>
      </c>
      <c r="C158" s="26" t="str">
        <f>IF(Employees!A18="","",Employees!A18)</f>
        <v/>
      </c>
      <c r="D158" s="26" t="str">
        <f>IF(C158="","",Employees!B18)</f>
        <v/>
      </c>
      <c r="E158" s="26" t="str">
        <f>IF(C158="","",Employees!C18)</f>
        <v/>
      </c>
      <c r="F158" s="26">
        <f>IF(A158="","",MOD(A158-Settings!$B$6,4)+1)</f>
        <v>4</v>
      </c>
      <c r="G158" s="26" t="str">
        <f>IF(C158="","",INDEX(Rotation_Pattern!$B$4:$E$7,F158,MATCH(E158,{"A","B","C","D"},0)))</f>
        <v/>
      </c>
      <c r="H158" s="32" t="str">
        <f t="shared" si="7"/>
        <v/>
      </c>
      <c r="I158" s="32" t="str">
        <f>IF(OR(G158="Off",G158=""),"",H158+TIME(Settings!$B$8,0,0))</f>
        <v/>
      </c>
      <c r="J158" s="26">
        <f>IF(OR(G158="Off",G158=""),0,Settings!$B$8)</f>
        <v>0</v>
      </c>
      <c r="K158" s="25" t="s">
        <v>111</v>
      </c>
      <c r="L158" s="26" t="str">
        <f>IF(A158="","",IF(COUNTIF(Public_Holidays!$A$4:$A$80,A158)&gt;0,"Y","N"))</f>
        <v>N</v>
      </c>
      <c r="M158" s="26" t="str">
        <f t="shared" si="8"/>
        <v>N</v>
      </c>
      <c r="N158" s="26" t="e">
        <f ca="1">IF(A158="","",_xludf.TEXTJOIN("; ",TRUE,IF(SUMIFS($J:$J,$C:$C,C158,$B:$B,B158)&gt;Settings!$B$9,"Weekly ordinary hrs &gt;45",""),IF(SUMIFS(Claims!$H:$H,Claims!$C:$C,C158,Claims!$B:$B,B158)&gt;Settings!$B$10,"Weekly OT &gt;10",""),IF(AND(G158&lt;&gt;"Off",COUNTIFS($C:$C,C158,$A:$A,A158-1,$G:$G,"Night")&gt;0),"Rest &lt;12h after night shift",""),IF(J158&gt;5,"Meal interval required","")))</f>
        <v>#NAME?</v>
      </c>
      <c r="O158" s="25" t="s">
        <v>112</v>
      </c>
      <c r="P158" s="25"/>
    </row>
    <row r="159" spans="1:16" x14ac:dyDescent="0.35">
      <c r="A159" s="31">
        <f>IF(7+1&lt;=Settings!$B$7,Settings!$B$6+7,"")</f>
        <v>46150</v>
      </c>
      <c r="B159" s="31">
        <f t="shared" si="6"/>
        <v>46146</v>
      </c>
      <c r="C159" s="26" t="str">
        <f>IF(Employees!A19="","",Employees!A19)</f>
        <v/>
      </c>
      <c r="D159" s="26" t="str">
        <f>IF(C159="","",Employees!B19)</f>
        <v/>
      </c>
      <c r="E159" s="26" t="str">
        <f>IF(C159="","",Employees!C19)</f>
        <v/>
      </c>
      <c r="F159" s="26">
        <f>IF(A159="","",MOD(A159-Settings!$B$6,4)+1)</f>
        <v>4</v>
      </c>
      <c r="G159" s="26" t="str">
        <f>IF(C159="","",INDEX(Rotation_Pattern!$B$4:$E$7,F159,MATCH(E159,{"A","B","C","D"},0)))</f>
        <v/>
      </c>
      <c r="H159" s="32" t="str">
        <f t="shared" si="7"/>
        <v/>
      </c>
      <c r="I159" s="32" t="str">
        <f>IF(OR(G159="Off",G159=""),"",H159+TIME(Settings!$B$8,0,0))</f>
        <v/>
      </c>
      <c r="J159" s="26">
        <f>IF(OR(G159="Off",G159=""),0,Settings!$B$8)</f>
        <v>0</v>
      </c>
      <c r="K159" s="25" t="s">
        <v>111</v>
      </c>
      <c r="L159" s="26" t="str">
        <f>IF(A159="","",IF(COUNTIF(Public_Holidays!$A$4:$A$80,A159)&gt;0,"Y","N"))</f>
        <v>N</v>
      </c>
      <c r="M159" s="26" t="str">
        <f t="shared" si="8"/>
        <v>N</v>
      </c>
      <c r="N159" s="26" t="e">
        <f ca="1">IF(A159="","",_xludf.TEXTJOIN("; ",TRUE,IF(SUMIFS($J:$J,$C:$C,C159,$B:$B,B159)&gt;Settings!$B$9,"Weekly ordinary hrs &gt;45",""),IF(SUMIFS(Claims!$H:$H,Claims!$C:$C,C159,Claims!$B:$B,B159)&gt;Settings!$B$10,"Weekly OT &gt;10",""),IF(AND(G159&lt;&gt;"Off",COUNTIFS($C:$C,C159,$A:$A,A159-1,$G:$G,"Night")&gt;0),"Rest &lt;12h after night shift",""),IF(J159&gt;5,"Meal interval required","")))</f>
        <v>#NAME?</v>
      </c>
      <c r="O159" s="25" t="s">
        <v>112</v>
      </c>
      <c r="P159" s="25"/>
    </row>
    <row r="160" spans="1:16" x14ac:dyDescent="0.35">
      <c r="A160" s="31">
        <f>IF(7+1&lt;=Settings!$B$7,Settings!$B$6+7,"")</f>
        <v>46150</v>
      </c>
      <c r="B160" s="31">
        <f t="shared" si="6"/>
        <v>46146</v>
      </c>
      <c r="C160" s="26" t="str">
        <f>IF(Employees!A20="","",Employees!A20)</f>
        <v/>
      </c>
      <c r="D160" s="26" t="str">
        <f>IF(C160="","",Employees!B20)</f>
        <v/>
      </c>
      <c r="E160" s="26" t="str">
        <f>IF(C160="","",Employees!C20)</f>
        <v/>
      </c>
      <c r="F160" s="26">
        <f>IF(A160="","",MOD(A160-Settings!$B$6,4)+1)</f>
        <v>4</v>
      </c>
      <c r="G160" s="26" t="str">
        <f>IF(C160="","",INDEX(Rotation_Pattern!$B$4:$E$7,F160,MATCH(E160,{"A","B","C","D"},0)))</f>
        <v/>
      </c>
      <c r="H160" s="32" t="str">
        <f t="shared" si="7"/>
        <v/>
      </c>
      <c r="I160" s="32" t="str">
        <f>IF(OR(G160="Off",G160=""),"",H160+TIME(Settings!$B$8,0,0))</f>
        <v/>
      </c>
      <c r="J160" s="26">
        <f>IF(OR(G160="Off",G160=""),0,Settings!$B$8)</f>
        <v>0</v>
      </c>
      <c r="K160" s="25" t="s">
        <v>111</v>
      </c>
      <c r="L160" s="26" t="str">
        <f>IF(A160="","",IF(COUNTIF(Public_Holidays!$A$4:$A$80,A160)&gt;0,"Y","N"))</f>
        <v>N</v>
      </c>
      <c r="M160" s="26" t="str">
        <f t="shared" si="8"/>
        <v>N</v>
      </c>
      <c r="N160" s="26" t="e">
        <f ca="1">IF(A160="","",_xludf.TEXTJOIN("; ",TRUE,IF(SUMIFS($J:$J,$C:$C,C160,$B:$B,B160)&gt;Settings!$B$9,"Weekly ordinary hrs &gt;45",""),IF(SUMIFS(Claims!$H:$H,Claims!$C:$C,C160,Claims!$B:$B,B160)&gt;Settings!$B$10,"Weekly OT &gt;10",""),IF(AND(G160&lt;&gt;"Off",COUNTIFS($C:$C,C160,$A:$A,A160-1,$G:$G,"Night")&gt;0),"Rest &lt;12h after night shift",""),IF(J160&gt;5,"Meal interval required","")))</f>
        <v>#NAME?</v>
      </c>
      <c r="O160" s="25" t="s">
        <v>112</v>
      </c>
      <c r="P160" s="25"/>
    </row>
    <row r="161" spans="1:16" x14ac:dyDescent="0.35">
      <c r="A161" s="31">
        <f>IF(7+1&lt;=Settings!$B$7,Settings!$B$6+7,"")</f>
        <v>46150</v>
      </c>
      <c r="B161" s="31">
        <f t="shared" si="6"/>
        <v>46146</v>
      </c>
      <c r="C161" s="26" t="str">
        <f>IF(Employees!A21="","",Employees!A21)</f>
        <v/>
      </c>
      <c r="D161" s="26" t="str">
        <f>IF(C161="","",Employees!B21)</f>
        <v/>
      </c>
      <c r="E161" s="26" t="str">
        <f>IF(C161="","",Employees!C21)</f>
        <v/>
      </c>
      <c r="F161" s="26">
        <f>IF(A161="","",MOD(A161-Settings!$B$6,4)+1)</f>
        <v>4</v>
      </c>
      <c r="G161" s="26" t="str">
        <f>IF(C161="","",INDEX(Rotation_Pattern!$B$4:$E$7,F161,MATCH(E161,{"A","B","C","D"},0)))</f>
        <v/>
      </c>
      <c r="H161" s="32" t="str">
        <f t="shared" si="7"/>
        <v/>
      </c>
      <c r="I161" s="32" t="str">
        <f>IF(OR(G161="Off",G161=""),"",H161+TIME(Settings!$B$8,0,0))</f>
        <v/>
      </c>
      <c r="J161" s="26">
        <f>IF(OR(G161="Off",G161=""),0,Settings!$B$8)</f>
        <v>0</v>
      </c>
      <c r="K161" s="25" t="s">
        <v>111</v>
      </c>
      <c r="L161" s="26" t="str">
        <f>IF(A161="","",IF(COUNTIF(Public_Holidays!$A$4:$A$80,A161)&gt;0,"Y","N"))</f>
        <v>N</v>
      </c>
      <c r="M161" s="26" t="str">
        <f t="shared" si="8"/>
        <v>N</v>
      </c>
      <c r="N161" s="26" t="e">
        <f ca="1">IF(A161="","",_xludf.TEXTJOIN("; ",TRUE,IF(SUMIFS($J:$J,$C:$C,C161,$B:$B,B161)&gt;Settings!$B$9,"Weekly ordinary hrs &gt;45",""),IF(SUMIFS(Claims!$H:$H,Claims!$C:$C,C161,Claims!$B:$B,B161)&gt;Settings!$B$10,"Weekly OT &gt;10",""),IF(AND(G161&lt;&gt;"Off",COUNTIFS($C:$C,C161,$A:$A,A161-1,$G:$G,"Night")&gt;0),"Rest &lt;12h after night shift",""),IF(J161&gt;5,"Meal interval required","")))</f>
        <v>#NAME?</v>
      </c>
      <c r="O161" s="25" t="s">
        <v>112</v>
      </c>
      <c r="P161" s="25"/>
    </row>
    <row r="162" spans="1:16" x14ac:dyDescent="0.35">
      <c r="A162" s="31">
        <f>IF(7+1&lt;=Settings!$B$7,Settings!$B$6+7,"")</f>
        <v>46150</v>
      </c>
      <c r="B162" s="31">
        <f t="shared" si="6"/>
        <v>46146</v>
      </c>
      <c r="C162" s="26" t="str">
        <f>IF(Employees!A22="","",Employees!A22)</f>
        <v/>
      </c>
      <c r="D162" s="26" t="str">
        <f>IF(C162="","",Employees!B22)</f>
        <v/>
      </c>
      <c r="E162" s="26" t="str">
        <f>IF(C162="","",Employees!C22)</f>
        <v/>
      </c>
      <c r="F162" s="26">
        <f>IF(A162="","",MOD(A162-Settings!$B$6,4)+1)</f>
        <v>4</v>
      </c>
      <c r="G162" s="26" t="str">
        <f>IF(C162="","",INDEX(Rotation_Pattern!$B$4:$E$7,F162,MATCH(E162,{"A","B","C","D"},0)))</f>
        <v/>
      </c>
      <c r="H162" s="32" t="str">
        <f t="shared" si="7"/>
        <v/>
      </c>
      <c r="I162" s="32" t="str">
        <f>IF(OR(G162="Off",G162=""),"",H162+TIME(Settings!$B$8,0,0))</f>
        <v/>
      </c>
      <c r="J162" s="26">
        <f>IF(OR(G162="Off",G162=""),0,Settings!$B$8)</f>
        <v>0</v>
      </c>
      <c r="K162" s="25" t="s">
        <v>111</v>
      </c>
      <c r="L162" s="26" t="str">
        <f>IF(A162="","",IF(COUNTIF(Public_Holidays!$A$4:$A$80,A162)&gt;0,"Y","N"))</f>
        <v>N</v>
      </c>
      <c r="M162" s="26" t="str">
        <f t="shared" si="8"/>
        <v>N</v>
      </c>
      <c r="N162" s="26" t="e">
        <f ca="1">IF(A162="","",_xludf.TEXTJOIN("; ",TRUE,IF(SUMIFS($J:$J,$C:$C,C162,$B:$B,B162)&gt;Settings!$B$9,"Weekly ordinary hrs &gt;45",""),IF(SUMIFS(Claims!$H:$H,Claims!$C:$C,C162,Claims!$B:$B,B162)&gt;Settings!$B$10,"Weekly OT &gt;10",""),IF(AND(G162&lt;&gt;"Off",COUNTIFS($C:$C,C162,$A:$A,A162-1,$G:$G,"Night")&gt;0),"Rest &lt;12h after night shift",""),IF(J162&gt;5,"Meal interval required","")))</f>
        <v>#NAME?</v>
      </c>
      <c r="O162" s="25" t="s">
        <v>112</v>
      </c>
      <c r="P162" s="25"/>
    </row>
    <row r="163" spans="1:16" x14ac:dyDescent="0.35">
      <c r="A163" s="31">
        <f>IF(7+1&lt;=Settings!$B$7,Settings!$B$6+7,"")</f>
        <v>46150</v>
      </c>
      <c r="B163" s="31">
        <f t="shared" si="6"/>
        <v>46146</v>
      </c>
      <c r="C163" s="26" t="str">
        <f>IF(Employees!A23="","",Employees!A23)</f>
        <v/>
      </c>
      <c r="D163" s="26" t="str">
        <f>IF(C163="","",Employees!B23)</f>
        <v/>
      </c>
      <c r="E163" s="26" t="str">
        <f>IF(C163="","",Employees!C23)</f>
        <v/>
      </c>
      <c r="F163" s="26">
        <f>IF(A163="","",MOD(A163-Settings!$B$6,4)+1)</f>
        <v>4</v>
      </c>
      <c r="G163" s="26" t="str">
        <f>IF(C163="","",INDEX(Rotation_Pattern!$B$4:$E$7,F163,MATCH(E163,{"A","B","C","D"},0)))</f>
        <v/>
      </c>
      <c r="H163" s="32" t="str">
        <f t="shared" si="7"/>
        <v/>
      </c>
      <c r="I163" s="32" t="str">
        <f>IF(OR(G163="Off",G163=""),"",H163+TIME(Settings!$B$8,0,0))</f>
        <v/>
      </c>
      <c r="J163" s="26">
        <f>IF(OR(G163="Off",G163=""),0,Settings!$B$8)</f>
        <v>0</v>
      </c>
      <c r="K163" s="25" t="s">
        <v>111</v>
      </c>
      <c r="L163" s="26" t="str">
        <f>IF(A163="","",IF(COUNTIF(Public_Holidays!$A$4:$A$80,A163)&gt;0,"Y","N"))</f>
        <v>N</v>
      </c>
      <c r="M163" s="26" t="str">
        <f t="shared" si="8"/>
        <v>N</v>
      </c>
      <c r="N163" s="26" t="e">
        <f ca="1">IF(A163="","",_xludf.TEXTJOIN("; ",TRUE,IF(SUMIFS($J:$J,$C:$C,C163,$B:$B,B163)&gt;Settings!$B$9,"Weekly ordinary hrs &gt;45",""),IF(SUMIFS(Claims!$H:$H,Claims!$C:$C,C163,Claims!$B:$B,B163)&gt;Settings!$B$10,"Weekly OT &gt;10",""),IF(AND(G163&lt;&gt;"Off",COUNTIFS($C:$C,C163,$A:$A,A163-1,$G:$G,"Night")&gt;0),"Rest &lt;12h after night shift",""),IF(J163&gt;5,"Meal interval required","")))</f>
        <v>#NAME?</v>
      </c>
      <c r="O163" s="25" t="s">
        <v>112</v>
      </c>
      <c r="P163" s="25"/>
    </row>
    <row r="164" spans="1:16" x14ac:dyDescent="0.35">
      <c r="A164" s="31">
        <f>IF(8+1&lt;=Settings!$B$7,Settings!$B$6+8,"")</f>
        <v>46151</v>
      </c>
      <c r="B164" s="31">
        <f t="shared" si="6"/>
        <v>46146</v>
      </c>
      <c r="C164" s="26" t="str">
        <f>IF(Employees!A4="","",Employees!A4)</f>
        <v>E001</v>
      </c>
      <c r="D164" s="26" t="str">
        <f>IF(C164="","",Employees!B4)</f>
        <v>Musiwa Khavalani</v>
      </c>
      <c r="E164" s="26">
        <f>IF(C164="","",Employees!C4)</f>
        <v>0</v>
      </c>
      <c r="F164" s="26">
        <f>IF(A164="","",MOD(A164-Settings!$B$6,4)+1)</f>
        <v>1</v>
      </c>
      <c r="G164" s="26" t="e">
        <f>IF(C164="","",INDEX(Rotation_Pattern!$B$4:$E$7,F164,MATCH(E164,{"A","B","C","D"},0)))</f>
        <v>#N/A</v>
      </c>
      <c r="H164" s="32" t="e">
        <f t="shared" si="7"/>
        <v>#N/A</v>
      </c>
      <c r="I164" s="32" t="e">
        <f>IF(OR(G164="Off",G164=""),"",H164+TIME(Settings!$B$8,0,0))</f>
        <v>#N/A</v>
      </c>
      <c r="J164" s="26" t="e">
        <f>IF(OR(G164="Off",G164=""),0,Settings!$B$8)</f>
        <v>#N/A</v>
      </c>
      <c r="K164" s="25" t="s">
        <v>111</v>
      </c>
      <c r="L164" s="26" t="str">
        <f>IF(A164="","",IF(COUNTIF(Public_Holidays!$A$4:$A$80,A164)&gt;0,"Y","N"))</f>
        <v>N</v>
      </c>
      <c r="M164" s="26" t="str">
        <f t="shared" si="8"/>
        <v>N</v>
      </c>
      <c r="N164" s="26" t="e">
        <f ca="1">IF(A164="","",_xludf.TEXTJOIN("; ",TRUE,IF(SUMIFS($J:$J,$C:$C,C164,$B:$B,B164)&gt;Settings!$B$9,"Weekly ordinary hrs &gt;45",""),IF(SUMIFS(Claims!$H:$H,Claims!$C:$C,C164,Claims!$B:$B,B164)&gt;Settings!$B$10,"Weekly OT &gt;10",""),IF(AND(G164&lt;&gt;"Off",COUNTIFS($C:$C,C164,$A:$A,A164-1,$G:$G,"Night")&gt;0),"Rest &lt;12h after night shift",""),IF(J164&gt;5,"Meal interval required","")))</f>
        <v>#NAME?</v>
      </c>
      <c r="O164" s="25" t="s">
        <v>112</v>
      </c>
      <c r="P164" s="25"/>
    </row>
    <row r="165" spans="1:16" x14ac:dyDescent="0.35">
      <c r="A165" s="31">
        <f>IF(8+1&lt;=Settings!$B$7,Settings!$B$6+8,"")</f>
        <v>46151</v>
      </c>
      <c r="B165" s="31">
        <f t="shared" si="6"/>
        <v>46146</v>
      </c>
      <c r="C165" s="26" t="str">
        <f>IF(Employees!A5="","",Employees!A5)</f>
        <v>E002</v>
      </c>
      <c r="D165" s="26" t="str">
        <f>IF(C165="","",Employees!B5)</f>
        <v>Mpho  Nembemhia</v>
      </c>
      <c r="E165" s="26" t="str">
        <f>IF(C165="","",Employees!C5)</f>
        <v>B</v>
      </c>
      <c r="F165" s="26">
        <f>IF(A165="","",MOD(A165-Settings!$B$6,4)+1)</f>
        <v>1</v>
      </c>
      <c r="G165" s="26" t="str">
        <f>IF(C165="","",INDEX(Rotation_Pattern!$B$4:$E$7,F165,MATCH(E165,{"A","B","C","D"},0)))</f>
        <v>Off</v>
      </c>
      <c r="H165" s="32" t="str">
        <f t="shared" si="7"/>
        <v/>
      </c>
      <c r="I165" s="32" t="str">
        <f>IF(OR(G165="Off",G165=""),"",H165+TIME(Settings!$B$8,0,0))</f>
        <v/>
      </c>
      <c r="J165" s="26">
        <f>IF(OR(G165="Off",G165=""),0,Settings!$B$8)</f>
        <v>0</v>
      </c>
      <c r="K165" s="25" t="s">
        <v>111</v>
      </c>
      <c r="L165" s="26" t="str">
        <f>IF(A165="","",IF(COUNTIF(Public_Holidays!$A$4:$A$80,A165)&gt;0,"Y","N"))</f>
        <v>N</v>
      </c>
      <c r="M165" s="26" t="str">
        <f t="shared" si="8"/>
        <v>N</v>
      </c>
      <c r="N165" s="26" t="e">
        <f ca="1">IF(A165="","",_xludf.TEXTJOIN("; ",TRUE,IF(SUMIFS($J:$J,$C:$C,C165,$B:$B,B165)&gt;Settings!$B$9,"Weekly ordinary hrs &gt;45",""),IF(SUMIFS(Claims!$H:$H,Claims!$C:$C,C165,Claims!$B:$B,B165)&gt;Settings!$B$10,"Weekly OT &gt;10",""),IF(AND(G165&lt;&gt;"Off",COUNTIFS($C:$C,C165,$A:$A,A165-1,$G:$G,"Night")&gt;0),"Rest &lt;12h after night shift",""),IF(J165&gt;5,"Meal interval required","")))</f>
        <v>#NAME?</v>
      </c>
      <c r="O165" s="25" t="s">
        <v>112</v>
      </c>
      <c r="P165" s="25"/>
    </row>
    <row r="166" spans="1:16" x14ac:dyDescent="0.35">
      <c r="A166" s="31">
        <f>IF(8+1&lt;=Settings!$B$7,Settings!$B$6+8,"")</f>
        <v>46151</v>
      </c>
      <c r="B166" s="31">
        <f t="shared" si="6"/>
        <v>46146</v>
      </c>
      <c r="C166" s="26" t="str">
        <f>IF(Employees!A6="","",Employees!A6)</f>
        <v>E003</v>
      </c>
      <c r="D166" s="26" t="str">
        <f>IF(C166="","",Employees!B6)</f>
        <v>Dimpho Makhafola</v>
      </c>
      <c r="E166" s="26" t="str">
        <f>IF(C166="","",Employees!C6)</f>
        <v>C</v>
      </c>
      <c r="F166" s="26">
        <f>IF(A166="","",MOD(A166-Settings!$B$6,4)+1)</f>
        <v>1</v>
      </c>
      <c r="G166" s="26" t="str">
        <f>IF(C166="","",INDEX(Rotation_Pattern!$B$4:$E$7,F166,MATCH(E166,{"A","B","C","D"},0)))</f>
        <v>Evening</v>
      </c>
      <c r="H166" s="32">
        <f t="shared" si="7"/>
        <v>0.58333333333333337</v>
      </c>
      <c r="I166" s="32">
        <f>IF(OR(G166="Off",G166=""),"",H166+TIME(Settings!$B$8,0,0))</f>
        <v>0.91666666666666674</v>
      </c>
      <c r="J166" s="26">
        <f>IF(OR(G166="Off",G166=""),0,Settings!$B$8)</f>
        <v>8</v>
      </c>
      <c r="K166" s="25" t="s">
        <v>111</v>
      </c>
      <c r="L166" s="26" t="str">
        <f>IF(A166="","",IF(COUNTIF(Public_Holidays!$A$4:$A$80,A166)&gt;0,"Y","N"))</f>
        <v>N</v>
      </c>
      <c r="M166" s="26" t="str">
        <f t="shared" si="8"/>
        <v>N</v>
      </c>
      <c r="N166" s="26" t="e">
        <f ca="1">IF(A166="","",_xludf.TEXTJOIN("; ",TRUE,IF(SUMIFS($J:$J,$C:$C,C166,$B:$B,B166)&gt;Settings!$B$9,"Weekly ordinary hrs &gt;45",""),IF(SUMIFS(Claims!$H:$H,Claims!$C:$C,C166,Claims!$B:$B,B166)&gt;Settings!$B$10,"Weekly OT &gt;10",""),IF(AND(G166&lt;&gt;"Off",COUNTIFS($C:$C,C166,$A:$A,A166-1,$G:$G,"Night")&gt;0),"Rest &lt;12h after night shift",""),IF(J166&gt;5,"Meal interval required","")))</f>
        <v>#NAME?</v>
      </c>
      <c r="O166" s="25" t="s">
        <v>112</v>
      </c>
      <c r="P166" s="25"/>
    </row>
    <row r="167" spans="1:16" x14ac:dyDescent="0.35">
      <c r="A167" s="31">
        <f>IF(8+1&lt;=Settings!$B$7,Settings!$B$6+8,"")</f>
        <v>46151</v>
      </c>
      <c r="B167" s="31">
        <f t="shared" si="6"/>
        <v>46146</v>
      </c>
      <c r="C167" s="26" t="str">
        <f>IF(Employees!A7="","",Employees!A7)</f>
        <v>E004</v>
      </c>
      <c r="D167" s="26" t="str">
        <f>IF(C167="","",Employees!B7)</f>
        <v>Bashii Fall</v>
      </c>
      <c r="E167" s="26" t="str">
        <f>IF(C167="","",Employees!C7)</f>
        <v>D</v>
      </c>
      <c r="F167" s="26">
        <f>IF(A167="","",MOD(A167-Settings!$B$6,4)+1)</f>
        <v>1</v>
      </c>
      <c r="G167" s="26" t="str">
        <f>IF(C167="","",INDEX(Rotation_Pattern!$B$4:$E$7,F167,MATCH(E167,{"A","B","C","D"},0)))</f>
        <v>Night</v>
      </c>
      <c r="H167" s="32">
        <f t="shared" si="7"/>
        <v>0.91666666666666663</v>
      </c>
      <c r="I167" s="32">
        <f>IF(OR(G167="Off",G167=""),"",H167+TIME(Settings!$B$8,0,0))</f>
        <v>1.25</v>
      </c>
      <c r="J167" s="26">
        <f>IF(OR(G167="Off",G167=""),0,Settings!$B$8)</f>
        <v>8</v>
      </c>
      <c r="K167" s="25" t="s">
        <v>111</v>
      </c>
      <c r="L167" s="26" t="str">
        <f>IF(A167="","",IF(COUNTIF(Public_Holidays!$A$4:$A$80,A167)&gt;0,"Y","N"))</f>
        <v>N</v>
      </c>
      <c r="M167" s="26" t="str">
        <f t="shared" si="8"/>
        <v>N</v>
      </c>
      <c r="N167" s="26" t="e">
        <f ca="1">IF(A167="","",_xludf.TEXTJOIN("; ",TRUE,IF(SUMIFS($J:$J,$C:$C,C167,$B:$B,B167)&gt;Settings!$B$9,"Weekly ordinary hrs &gt;45",""),IF(SUMIFS(Claims!$H:$H,Claims!$C:$C,C167,Claims!$B:$B,B167)&gt;Settings!$B$10,"Weekly OT &gt;10",""),IF(AND(G167&lt;&gt;"Off",COUNTIFS($C:$C,C167,$A:$A,A167-1,$G:$G,"Night")&gt;0),"Rest &lt;12h after night shift",""),IF(J167&gt;5,"Meal interval required","")))</f>
        <v>#NAME?</v>
      </c>
      <c r="O167" s="25" t="s">
        <v>112</v>
      </c>
      <c r="P167" s="25"/>
    </row>
    <row r="168" spans="1:16" x14ac:dyDescent="0.35">
      <c r="A168" s="31">
        <f>IF(8+1&lt;=Settings!$B$7,Settings!$B$6+8,"")</f>
        <v>46151</v>
      </c>
      <c r="B168" s="31">
        <f t="shared" si="6"/>
        <v>46146</v>
      </c>
      <c r="C168" s="26" t="str">
        <f>IF(Employees!A8="","",Employees!A8)</f>
        <v>E005</v>
      </c>
      <c r="D168" s="26" t="str">
        <f>IF(C168="","",Employees!B8)</f>
        <v>Lesego Aphane</v>
      </c>
      <c r="E168" s="26" t="str">
        <f>IF(C168="","",Employees!C8)</f>
        <v>A</v>
      </c>
      <c r="F168" s="26">
        <f>IF(A168="","",MOD(A168-Settings!$B$6,4)+1)</f>
        <v>1</v>
      </c>
      <c r="G168" s="26" t="str">
        <f>IF(C168="","",INDEX(Rotation_Pattern!$B$4:$E$7,F168,MATCH(E168,{"A","B","C","D"},0)))</f>
        <v>Day</v>
      </c>
      <c r="H168" s="32">
        <f t="shared" si="7"/>
        <v>0.25</v>
      </c>
      <c r="I168" s="32">
        <f>IF(OR(G168="Off",G168=""),"",H168+TIME(Settings!$B$8,0,0))</f>
        <v>0.58333333333333326</v>
      </c>
      <c r="J168" s="26">
        <f>IF(OR(G168="Off",G168=""),0,Settings!$B$8)</f>
        <v>8</v>
      </c>
      <c r="K168" s="25" t="s">
        <v>111</v>
      </c>
      <c r="L168" s="26" t="str">
        <f>IF(A168="","",IF(COUNTIF(Public_Holidays!$A$4:$A$80,A168)&gt;0,"Y","N"))</f>
        <v>N</v>
      </c>
      <c r="M168" s="26" t="str">
        <f t="shared" si="8"/>
        <v>N</v>
      </c>
      <c r="N168" s="26" t="e">
        <f ca="1">IF(A168="","",_xludf.TEXTJOIN("; ",TRUE,IF(SUMIFS($J:$J,$C:$C,C168,$B:$B,B168)&gt;Settings!$B$9,"Weekly ordinary hrs &gt;45",""),IF(SUMIFS(Claims!$H:$H,Claims!$C:$C,C168,Claims!$B:$B,B168)&gt;Settings!$B$10,"Weekly OT &gt;10",""),IF(AND(G168&lt;&gt;"Off",COUNTIFS($C:$C,C168,$A:$A,A168-1,$G:$G,"Night")&gt;0),"Rest &lt;12h after night shift",""),IF(J168&gt;5,"Meal interval required","")))</f>
        <v>#NAME?</v>
      </c>
      <c r="O168" s="25" t="s">
        <v>112</v>
      </c>
      <c r="P168" s="25"/>
    </row>
    <row r="169" spans="1:16" x14ac:dyDescent="0.35">
      <c r="A169" s="31">
        <f>IF(8+1&lt;=Settings!$B$7,Settings!$B$6+8,"")</f>
        <v>46151</v>
      </c>
      <c r="B169" s="31">
        <f t="shared" si="6"/>
        <v>46146</v>
      </c>
      <c r="C169" s="26" t="str">
        <f>IF(Employees!A9="","",Employees!A9)</f>
        <v>E006</v>
      </c>
      <c r="D169" s="26" t="str">
        <f>IF(C169="","",Employees!B9)</f>
        <v>Nhalnahla</v>
      </c>
      <c r="E169" s="26" t="str">
        <f>IF(C169="","",Employees!C9)</f>
        <v>B</v>
      </c>
      <c r="F169" s="26">
        <f>IF(A169="","",MOD(A169-Settings!$B$6,4)+1)</f>
        <v>1</v>
      </c>
      <c r="G169" s="26" t="str">
        <f>IF(C169="","",INDEX(Rotation_Pattern!$B$4:$E$7,F169,MATCH(E169,{"A","B","C","D"},0)))</f>
        <v>Off</v>
      </c>
      <c r="H169" s="32" t="str">
        <f t="shared" si="7"/>
        <v/>
      </c>
      <c r="I169" s="32" t="str">
        <f>IF(OR(G169="Off",G169=""),"",H169+TIME(Settings!$B$8,0,0))</f>
        <v/>
      </c>
      <c r="J169" s="26">
        <f>IF(OR(G169="Off",G169=""),0,Settings!$B$8)</f>
        <v>0</v>
      </c>
      <c r="K169" s="25" t="s">
        <v>111</v>
      </c>
      <c r="L169" s="26" t="str">
        <f>IF(A169="","",IF(COUNTIF(Public_Holidays!$A$4:$A$80,A169)&gt;0,"Y","N"))</f>
        <v>N</v>
      </c>
      <c r="M169" s="26" t="str">
        <f t="shared" si="8"/>
        <v>N</v>
      </c>
      <c r="N169" s="26" t="e">
        <f ca="1">IF(A169="","",_xludf.TEXTJOIN("; ",TRUE,IF(SUMIFS($J:$J,$C:$C,C169,$B:$B,B169)&gt;Settings!$B$9,"Weekly ordinary hrs &gt;45",""),IF(SUMIFS(Claims!$H:$H,Claims!$C:$C,C169,Claims!$B:$B,B169)&gt;Settings!$B$10,"Weekly OT &gt;10",""),IF(AND(G169&lt;&gt;"Off",COUNTIFS($C:$C,C169,$A:$A,A169-1,$G:$G,"Night")&gt;0),"Rest &lt;12h after night shift",""),IF(J169&gt;5,"Meal interval required","")))</f>
        <v>#NAME?</v>
      </c>
      <c r="O169" s="25" t="s">
        <v>112</v>
      </c>
      <c r="P169" s="25"/>
    </row>
    <row r="170" spans="1:16" x14ac:dyDescent="0.35">
      <c r="A170" s="31">
        <f>IF(8+1&lt;=Settings!$B$7,Settings!$B$6+8,"")</f>
        <v>46151</v>
      </c>
      <c r="B170" s="31">
        <f t="shared" si="6"/>
        <v>46146</v>
      </c>
      <c r="C170" s="26" t="str">
        <f>IF(Employees!A10="","",Employees!A10)</f>
        <v>E007</v>
      </c>
      <c r="D170" s="26" t="str">
        <f>IF(C170="","",Employees!B10)</f>
        <v>Joe</v>
      </c>
      <c r="E170" s="26" t="str">
        <f>IF(C170="","",Employees!C10)</f>
        <v>C</v>
      </c>
      <c r="F170" s="26">
        <f>IF(A170="","",MOD(A170-Settings!$B$6,4)+1)</f>
        <v>1</v>
      </c>
      <c r="G170" s="26" t="str">
        <f>IF(C170="","",INDEX(Rotation_Pattern!$B$4:$E$7,F170,MATCH(E170,{"A","B","C","D"},0)))</f>
        <v>Evening</v>
      </c>
      <c r="H170" s="32">
        <f t="shared" si="7"/>
        <v>0.58333333333333337</v>
      </c>
      <c r="I170" s="32">
        <f>IF(OR(G170="Off",G170=""),"",H170+TIME(Settings!$B$8,0,0))</f>
        <v>0.91666666666666674</v>
      </c>
      <c r="J170" s="26">
        <f>IF(OR(G170="Off",G170=""),0,Settings!$B$8)</f>
        <v>8</v>
      </c>
      <c r="K170" s="25" t="s">
        <v>111</v>
      </c>
      <c r="L170" s="26" t="str">
        <f>IF(A170="","",IF(COUNTIF(Public_Holidays!$A$4:$A$80,A170)&gt;0,"Y","N"))</f>
        <v>N</v>
      </c>
      <c r="M170" s="26" t="str">
        <f t="shared" si="8"/>
        <v>N</v>
      </c>
      <c r="N170" s="26" t="e">
        <f ca="1">IF(A170="","",_xludf.TEXTJOIN("; ",TRUE,IF(SUMIFS($J:$J,$C:$C,C170,$B:$B,B170)&gt;Settings!$B$9,"Weekly ordinary hrs &gt;45",""),IF(SUMIFS(Claims!$H:$H,Claims!$C:$C,C170,Claims!$B:$B,B170)&gt;Settings!$B$10,"Weekly OT &gt;10",""),IF(AND(G170&lt;&gt;"Off",COUNTIFS($C:$C,C170,$A:$A,A170-1,$G:$G,"Night")&gt;0),"Rest &lt;12h after night shift",""),IF(J170&gt;5,"Meal interval required","")))</f>
        <v>#NAME?</v>
      </c>
      <c r="O170" s="25" t="s">
        <v>112</v>
      </c>
      <c r="P170" s="25"/>
    </row>
    <row r="171" spans="1:16" x14ac:dyDescent="0.35">
      <c r="A171" s="31">
        <f>IF(8+1&lt;=Settings!$B$7,Settings!$B$6+8,"")</f>
        <v>46151</v>
      </c>
      <c r="B171" s="31">
        <f t="shared" si="6"/>
        <v>46146</v>
      </c>
      <c r="C171" s="26" t="str">
        <f>IF(Employees!A11="","",Employees!A11)</f>
        <v>E008</v>
      </c>
      <c r="D171" s="26" t="str">
        <f>IF(C171="","",Employees!B11)</f>
        <v>Tim</v>
      </c>
      <c r="E171" s="26" t="str">
        <f>IF(C171="","",Employees!C11)</f>
        <v>D</v>
      </c>
      <c r="F171" s="26">
        <f>IF(A171="","",MOD(A171-Settings!$B$6,4)+1)</f>
        <v>1</v>
      </c>
      <c r="G171" s="26" t="str">
        <f>IF(C171="","",INDEX(Rotation_Pattern!$B$4:$E$7,F171,MATCH(E171,{"A","B","C","D"},0)))</f>
        <v>Night</v>
      </c>
      <c r="H171" s="32">
        <f t="shared" si="7"/>
        <v>0.91666666666666663</v>
      </c>
      <c r="I171" s="32">
        <f>IF(OR(G171="Off",G171=""),"",H171+TIME(Settings!$B$8,0,0))</f>
        <v>1.25</v>
      </c>
      <c r="J171" s="26">
        <f>IF(OR(G171="Off",G171=""),0,Settings!$B$8)</f>
        <v>8</v>
      </c>
      <c r="K171" s="25" t="s">
        <v>111</v>
      </c>
      <c r="L171" s="26" t="str">
        <f>IF(A171="","",IF(COUNTIF(Public_Holidays!$A$4:$A$80,A171)&gt;0,"Y","N"))</f>
        <v>N</v>
      </c>
      <c r="M171" s="26" t="str">
        <f t="shared" si="8"/>
        <v>N</v>
      </c>
      <c r="N171" s="26" t="e">
        <f ca="1">IF(A171="","",_xludf.TEXTJOIN("; ",TRUE,IF(SUMIFS($J:$J,$C:$C,C171,$B:$B,B171)&gt;Settings!$B$9,"Weekly ordinary hrs &gt;45",""),IF(SUMIFS(Claims!$H:$H,Claims!$C:$C,C171,Claims!$B:$B,B171)&gt;Settings!$B$10,"Weekly OT &gt;10",""),IF(AND(G171&lt;&gt;"Off",COUNTIFS($C:$C,C171,$A:$A,A171-1,$G:$G,"Night")&gt;0),"Rest &lt;12h after night shift",""),IF(J171&gt;5,"Meal interval required","")))</f>
        <v>#NAME?</v>
      </c>
      <c r="O171" s="25" t="s">
        <v>112</v>
      </c>
      <c r="P171" s="25"/>
    </row>
    <row r="172" spans="1:16" x14ac:dyDescent="0.35">
      <c r="A172" s="31">
        <f>IF(8+1&lt;=Settings!$B$7,Settings!$B$6+8,"")</f>
        <v>46151</v>
      </c>
      <c r="B172" s="31">
        <f t="shared" si="6"/>
        <v>46146</v>
      </c>
      <c r="C172" s="26" t="str">
        <f>IF(Employees!A12="","",Employees!A12)</f>
        <v>E009</v>
      </c>
      <c r="D172" s="26" t="str">
        <f>IF(C172="","",Employees!B12)</f>
        <v>Frank</v>
      </c>
      <c r="E172" s="26" t="str">
        <f>IF(C172="","",Employees!C12)</f>
        <v>A</v>
      </c>
      <c r="F172" s="26">
        <f>IF(A172="","",MOD(A172-Settings!$B$6,4)+1)</f>
        <v>1</v>
      </c>
      <c r="G172" s="26" t="str">
        <f>IF(C172="","",INDEX(Rotation_Pattern!$B$4:$E$7,F172,MATCH(E172,{"A","B","C","D"},0)))</f>
        <v>Day</v>
      </c>
      <c r="H172" s="32">
        <f t="shared" si="7"/>
        <v>0.25</v>
      </c>
      <c r="I172" s="32">
        <f>IF(OR(G172="Off",G172=""),"",H172+TIME(Settings!$B$8,0,0))</f>
        <v>0.58333333333333326</v>
      </c>
      <c r="J172" s="26">
        <f>IF(OR(G172="Off",G172=""),0,Settings!$B$8)</f>
        <v>8</v>
      </c>
      <c r="K172" s="25" t="s">
        <v>111</v>
      </c>
      <c r="L172" s="26" t="str">
        <f>IF(A172="","",IF(COUNTIF(Public_Holidays!$A$4:$A$80,A172)&gt;0,"Y","N"))</f>
        <v>N</v>
      </c>
      <c r="M172" s="26" t="str">
        <f t="shared" si="8"/>
        <v>N</v>
      </c>
      <c r="N172" s="26" t="e">
        <f ca="1">IF(A172="","",_xludf.TEXTJOIN("; ",TRUE,IF(SUMIFS($J:$J,$C:$C,C172,$B:$B,B172)&gt;Settings!$B$9,"Weekly ordinary hrs &gt;45",""),IF(SUMIFS(Claims!$H:$H,Claims!$C:$C,C172,Claims!$B:$B,B172)&gt;Settings!$B$10,"Weekly OT &gt;10",""),IF(AND(G172&lt;&gt;"Off",COUNTIFS($C:$C,C172,$A:$A,A172-1,$G:$G,"Night")&gt;0),"Rest &lt;12h after night shift",""),IF(J172&gt;5,"Meal interval required","")))</f>
        <v>#NAME?</v>
      </c>
      <c r="O172" s="25" t="s">
        <v>112</v>
      </c>
      <c r="P172" s="25"/>
    </row>
    <row r="173" spans="1:16" x14ac:dyDescent="0.35">
      <c r="A173" s="31">
        <f>IF(8+1&lt;=Settings!$B$7,Settings!$B$6+8,"")</f>
        <v>46151</v>
      </c>
      <c r="B173" s="31">
        <f t="shared" si="6"/>
        <v>46146</v>
      </c>
      <c r="C173" s="26" t="str">
        <f>IF(Employees!A13="","",Employees!A13)</f>
        <v/>
      </c>
      <c r="D173" s="26" t="str">
        <f>IF(C173="","",Employees!B13)</f>
        <v/>
      </c>
      <c r="E173" s="26" t="str">
        <f>IF(C173="","",Employees!C13)</f>
        <v/>
      </c>
      <c r="F173" s="26">
        <f>IF(A173="","",MOD(A173-Settings!$B$6,4)+1)</f>
        <v>1</v>
      </c>
      <c r="G173" s="26" t="str">
        <f>IF(C173="","",INDEX(Rotation_Pattern!$B$4:$E$7,F173,MATCH(E173,{"A","B","C","D"},0)))</f>
        <v/>
      </c>
      <c r="H173" s="32" t="str">
        <f t="shared" si="7"/>
        <v/>
      </c>
      <c r="I173" s="32" t="str">
        <f>IF(OR(G173="Off",G173=""),"",H173+TIME(Settings!$B$8,0,0))</f>
        <v/>
      </c>
      <c r="J173" s="26">
        <f>IF(OR(G173="Off",G173=""),0,Settings!$B$8)</f>
        <v>0</v>
      </c>
      <c r="K173" s="25" t="s">
        <v>111</v>
      </c>
      <c r="L173" s="26" t="str">
        <f>IF(A173="","",IF(COUNTIF(Public_Holidays!$A$4:$A$80,A173)&gt;0,"Y","N"))</f>
        <v>N</v>
      </c>
      <c r="M173" s="26" t="str">
        <f t="shared" si="8"/>
        <v>N</v>
      </c>
      <c r="N173" s="26" t="e">
        <f ca="1">IF(A173="","",_xludf.TEXTJOIN("; ",TRUE,IF(SUMIFS($J:$J,$C:$C,C173,$B:$B,B173)&gt;Settings!$B$9,"Weekly ordinary hrs &gt;45",""),IF(SUMIFS(Claims!$H:$H,Claims!$C:$C,C173,Claims!$B:$B,B173)&gt;Settings!$B$10,"Weekly OT &gt;10",""),IF(AND(G173&lt;&gt;"Off",COUNTIFS($C:$C,C173,$A:$A,A173-1,$G:$G,"Night")&gt;0),"Rest &lt;12h after night shift",""),IF(J173&gt;5,"Meal interval required","")))</f>
        <v>#NAME?</v>
      </c>
      <c r="O173" s="25" t="s">
        <v>112</v>
      </c>
      <c r="P173" s="25"/>
    </row>
    <row r="174" spans="1:16" x14ac:dyDescent="0.35">
      <c r="A174" s="31">
        <f>IF(8+1&lt;=Settings!$B$7,Settings!$B$6+8,"")</f>
        <v>46151</v>
      </c>
      <c r="B174" s="31">
        <f t="shared" si="6"/>
        <v>46146</v>
      </c>
      <c r="C174" s="26" t="str">
        <f>IF(Employees!A14="","",Employees!A14)</f>
        <v/>
      </c>
      <c r="D174" s="26" t="str">
        <f>IF(C174="","",Employees!B14)</f>
        <v/>
      </c>
      <c r="E174" s="26" t="str">
        <f>IF(C174="","",Employees!C14)</f>
        <v/>
      </c>
      <c r="F174" s="26">
        <f>IF(A174="","",MOD(A174-Settings!$B$6,4)+1)</f>
        <v>1</v>
      </c>
      <c r="G174" s="26" t="str">
        <f>IF(C174="","",INDEX(Rotation_Pattern!$B$4:$E$7,F174,MATCH(E174,{"A","B","C","D"},0)))</f>
        <v/>
      </c>
      <c r="H174" s="32" t="str">
        <f t="shared" si="7"/>
        <v/>
      </c>
      <c r="I174" s="32" t="str">
        <f>IF(OR(G174="Off",G174=""),"",H174+TIME(Settings!$B$8,0,0))</f>
        <v/>
      </c>
      <c r="J174" s="26">
        <f>IF(OR(G174="Off",G174=""),0,Settings!$B$8)</f>
        <v>0</v>
      </c>
      <c r="K174" s="25" t="s">
        <v>111</v>
      </c>
      <c r="L174" s="26" t="str">
        <f>IF(A174="","",IF(COUNTIF(Public_Holidays!$A$4:$A$80,A174)&gt;0,"Y","N"))</f>
        <v>N</v>
      </c>
      <c r="M174" s="26" t="str">
        <f t="shared" si="8"/>
        <v>N</v>
      </c>
      <c r="N174" s="26" t="e">
        <f ca="1">IF(A174="","",_xludf.TEXTJOIN("; ",TRUE,IF(SUMIFS($J:$J,$C:$C,C174,$B:$B,B174)&gt;Settings!$B$9,"Weekly ordinary hrs &gt;45",""),IF(SUMIFS(Claims!$H:$H,Claims!$C:$C,C174,Claims!$B:$B,B174)&gt;Settings!$B$10,"Weekly OT &gt;10",""),IF(AND(G174&lt;&gt;"Off",COUNTIFS($C:$C,C174,$A:$A,A174-1,$G:$G,"Night")&gt;0),"Rest &lt;12h after night shift",""),IF(J174&gt;5,"Meal interval required","")))</f>
        <v>#NAME?</v>
      </c>
      <c r="O174" s="25" t="s">
        <v>112</v>
      </c>
      <c r="P174" s="25"/>
    </row>
    <row r="175" spans="1:16" x14ac:dyDescent="0.35">
      <c r="A175" s="31">
        <f>IF(8+1&lt;=Settings!$B$7,Settings!$B$6+8,"")</f>
        <v>46151</v>
      </c>
      <c r="B175" s="31">
        <f t="shared" si="6"/>
        <v>46146</v>
      </c>
      <c r="C175" s="26" t="str">
        <f>IF(Employees!A15="","",Employees!A15)</f>
        <v/>
      </c>
      <c r="D175" s="26" t="str">
        <f>IF(C175="","",Employees!B15)</f>
        <v/>
      </c>
      <c r="E175" s="26" t="str">
        <f>IF(C175="","",Employees!C15)</f>
        <v/>
      </c>
      <c r="F175" s="26">
        <f>IF(A175="","",MOD(A175-Settings!$B$6,4)+1)</f>
        <v>1</v>
      </c>
      <c r="G175" s="26" t="str">
        <f>IF(C175="","",INDEX(Rotation_Pattern!$B$4:$E$7,F175,MATCH(E175,{"A","B","C","D"},0)))</f>
        <v/>
      </c>
      <c r="H175" s="32" t="str">
        <f t="shared" si="7"/>
        <v/>
      </c>
      <c r="I175" s="32" t="str">
        <f>IF(OR(G175="Off",G175=""),"",H175+TIME(Settings!$B$8,0,0))</f>
        <v/>
      </c>
      <c r="J175" s="26">
        <f>IF(OR(G175="Off",G175=""),0,Settings!$B$8)</f>
        <v>0</v>
      </c>
      <c r="K175" s="25" t="s">
        <v>111</v>
      </c>
      <c r="L175" s="26" t="str">
        <f>IF(A175="","",IF(COUNTIF(Public_Holidays!$A$4:$A$80,A175)&gt;0,"Y","N"))</f>
        <v>N</v>
      </c>
      <c r="M175" s="26" t="str">
        <f t="shared" si="8"/>
        <v>N</v>
      </c>
      <c r="N175" s="26" t="e">
        <f ca="1">IF(A175="","",_xludf.TEXTJOIN("; ",TRUE,IF(SUMIFS($J:$J,$C:$C,C175,$B:$B,B175)&gt;Settings!$B$9,"Weekly ordinary hrs &gt;45",""),IF(SUMIFS(Claims!$H:$H,Claims!$C:$C,C175,Claims!$B:$B,B175)&gt;Settings!$B$10,"Weekly OT &gt;10",""),IF(AND(G175&lt;&gt;"Off",COUNTIFS($C:$C,C175,$A:$A,A175-1,$G:$G,"Night")&gt;0),"Rest &lt;12h after night shift",""),IF(J175&gt;5,"Meal interval required","")))</f>
        <v>#NAME?</v>
      </c>
      <c r="O175" s="25" t="s">
        <v>112</v>
      </c>
      <c r="P175" s="25"/>
    </row>
    <row r="176" spans="1:16" x14ac:dyDescent="0.35">
      <c r="A176" s="31">
        <f>IF(8+1&lt;=Settings!$B$7,Settings!$B$6+8,"")</f>
        <v>46151</v>
      </c>
      <c r="B176" s="31">
        <f t="shared" si="6"/>
        <v>46146</v>
      </c>
      <c r="C176" s="26" t="str">
        <f>IF(Employees!A16="","",Employees!A16)</f>
        <v/>
      </c>
      <c r="D176" s="26" t="str">
        <f>IF(C176="","",Employees!B16)</f>
        <v/>
      </c>
      <c r="E176" s="26" t="str">
        <f>IF(C176="","",Employees!C16)</f>
        <v/>
      </c>
      <c r="F176" s="26">
        <f>IF(A176="","",MOD(A176-Settings!$B$6,4)+1)</f>
        <v>1</v>
      </c>
      <c r="G176" s="26" t="str">
        <f>IF(C176="","",INDEX(Rotation_Pattern!$B$4:$E$7,F176,MATCH(E176,{"A","B","C","D"},0)))</f>
        <v/>
      </c>
      <c r="H176" s="32" t="str">
        <f t="shared" si="7"/>
        <v/>
      </c>
      <c r="I176" s="32" t="str">
        <f>IF(OR(G176="Off",G176=""),"",H176+TIME(Settings!$B$8,0,0))</f>
        <v/>
      </c>
      <c r="J176" s="26">
        <f>IF(OR(G176="Off",G176=""),0,Settings!$B$8)</f>
        <v>0</v>
      </c>
      <c r="K176" s="25" t="s">
        <v>111</v>
      </c>
      <c r="L176" s="26" t="str">
        <f>IF(A176="","",IF(COUNTIF(Public_Holidays!$A$4:$A$80,A176)&gt;0,"Y","N"))</f>
        <v>N</v>
      </c>
      <c r="M176" s="26" t="str">
        <f t="shared" si="8"/>
        <v>N</v>
      </c>
      <c r="N176" s="26" t="e">
        <f ca="1">IF(A176="","",_xludf.TEXTJOIN("; ",TRUE,IF(SUMIFS($J:$J,$C:$C,C176,$B:$B,B176)&gt;Settings!$B$9,"Weekly ordinary hrs &gt;45",""),IF(SUMIFS(Claims!$H:$H,Claims!$C:$C,C176,Claims!$B:$B,B176)&gt;Settings!$B$10,"Weekly OT &gt;10",""),IF(AND(G176&lt;&gt;"Off",COUNTIFS($C:$C,C176,$A:$A,A176-1,$G:$G,"Night")&gt;0),"Rest &lt;12h after night shift",""),IF(J176&gt;5,"Meal interval required","")))</f>
        <v>#NAME?</v>
      </c>
      <c r="O176" s="25" t="s">
        <v>112</v>
      </c>
      <c r="P176" s="25"/>
    </row>
    <row r="177" spans="1:16" x14ac:dyDescent="0.35">
      <c r="A177" s="31">
        <f>IF(8+1&lt;=Settings!$B$7,Settings!$B$6+8,"")</f>
        <v>46151</v>
      </c>
      <c r="B177" s="31">
        <f t="shared" si="6"/>
        <v>46146</v>
      </c>
      <c r="C177" s="26" t="str">
        <f>IF(Employees!A17="","",Employees!A17)</f>
        <v/>
      </c>
      <c r="D177" s="26" t="str">
        <f>IF(C177="","",Employees!B17)</f>
        <v/>
      </c>
      <c r="E177" s="26" t="str">
        <f>IF(C177="","",Employees!C17)</f>
        <v/>
      </c>
      <c r="F177" s="26">
        <f>IF(A177="","",MOD(A177-Settings!$B$6,4)+1)</f>
        <v>1</v>
      </c>
      <c r="G177" s="26" t="str">
        <f>IF(C177="","",INDEX(Rotation_Pattern!$B$4:$E$7,F177,MATCH(E177,{"A","B","C","D"},0)))</f>
        <v/>
      </c>
      <c r="H177" s="32" t="str">
        <f t="shared" si="7"/>
        <v/>
      </c>
      <c r="I177" s="32" t="str">
        <f>IF(OR(G177="Off",G177=""),"",H177+TIME(Settings!$B$8,0,0))</f>
        <v/>
      </c>
      <c r="J177" s="26">
        <f>IF(OR(G177="Off",G177=""),0,Settings!$B$8)</f>
        <v>0</v>
      </c>
      <c r="K177" s="25" t="s">
        <v>111</v>
      </c>
      <c r="L177" s="26" t="str">
        <f>IF(A177="","",IF(COUNTIF(Public_Holidays!$A$4:$A$80,A177)&gt;0,"Y","N"))</f>
        <v>N</v>
      </c>
      <c r="M177" s="26" t="str">
        <f t="shared" si="8"/>
        <v>N</v>
      </c>
      <c r="N177" s="26" t="e">
        <f ca="1">IF(A177="","",_xludf.TEXTJOIN("; ",TRUE,IF(SUMIFS($J:$J,$C:$C,C177,$B:$B,B177)&gt;Settings!$B$9,"Weekly ordinary hrs &gt;45",""),IF(SUMIFS(Claims!$H:$H,Claims!$C:$C,C177,Claims!$B:$B,B177)&gt;Settings!$B$10,"Weekly OT &gt;10",""),IF(AND(G177&lt;&gt;"Off",COUNTIFS($C:$C,C177,$A:$A,A177-1,$G:$G,"Night")&gt;0),"Rest &lt;12h after night shift",""),IF(J177&gt;5,"Meal interval required","")))</f>
        <v>#NAME?</v>
      </c>
      <c r="O177" s="25" t="s">
        <v>112</v>
      </c>
      <c r="P177" s="25"/>
    </row>
    <row r="178" spans="1:16" x14ac:dyDescent="0.35">
      <c r="A178" s="31">
        <f>IF(8+1&lt;=Settings!$B$7,Settings!$B$6+8,"")</f>
        <v>46151</v>
      </c>
      <c r="B178" s="31">
        <f t="shared" si="6"/>
        <v>46146</v>
      </c>
      <c r="C178" s="26" t="str">
        <f>IF(Employees!A18="","",Employees!A18)</f>
        <v/>
      </c>
      <c r="D178" s="26" t="str">
        <f>IF(C178="","",Employees!B18)</f>
        <v/>
      </c>
      <c r="E178" s="26" t="str">
        <f>IF(C178="","",Employees!C18)</f>
        <v/>
      </c>
      <c r="F178" s="26">
        <f>IF(A178="","",MOD(A178-Settings!$B$6,4)+1)</f>
        <v>1</v>
      </c>
      <c r="G178" s="26" t="str">
        <f>IF(C178="","",INDEX(Rotation_Pattern!$B$4:$E$7,F178,MATCH(E178,{"A","B","C","D"},0)))</f>
        <v/>
      </c>
      <c r="H178" s="32" t="str">
        <f t="shared" si="7"/>
        <v/>
      </c>
      <c r="I178" s="32" t="str">
        <f>IF(OR(G178="Off",G178=""),"",H178+TIME(Settings!$B$8,0,0))</f>
        <v/>
      </c>
      <c r="J178" s="26">
        <f>IF(OR(G178="Off",G178=""),0,Settings!$B$8)</f>
        <v>0</v>
      </c>
      <c r="K178" s="25" t="s">
        <v>111</v>
      </c>
      <c r="L178" s="26" t="str">
        <f>IF(A178="","",IF(COUNTIF(Public_Holidays!$A$4:$A$80,A178)&gt;0,"Y","N"))</f>
        <v>N</v>
      </c>
      <c r="M178" s="26" t="str">
        <f t="shared" si="8"/>
        <v>N</v>
      </c>
      <c r="N178" s="26" t="e">
        <f ca="1">IF(A178="","",_xludf.TEXTJOIN("; ",TRUE,IF(SUMIFS($J:$J,$C:$C,C178,$B:$B,B178)&gt;Settings!$B$9,"Weekly ordinary hrs &gt;45",""),IF(SUMIFS(Claims!$H:$H,Claims!$C:$C,C178,Claims!$B:$B,B178)&gt;Settings!$B$10,"Weekly OT &gt;10",""),IF(AND(G178&lt;&gt;"Off",COUNTIFS($C:$C,C178,$A:$A,A178-1,$G:$G,"Night")&gt;0),"Rest &lt;12h after night shift",""),IF(J178&gt;5,"Meal interval required","")))</f>
        <v>#NAME?</v>
      </c>
      <c r="O178" s="25" t="s">
        <v>112</v>
      </c>
      <c r="P178" s="25"/>
    </row>
    <row r="179" spans="1:16" x14ac:dyDescent="0.35">
      <c r="A179" s="31">
        <f>IF(8+1&lt;=Settings!$B$7,Settings!$B$6+8,"")</f>
        <v>46151</v>
      </c>
      <c r="B179" s="31">
        <f t="shared" si="6"/>
        <v>46146</v>
      </c>
      <c r="C179" s="26" t="str">
        <f>IF(Employees!A19="","",Employees!A19)</f>
        <v/>
      </c>
      <c r="D179" s="26" t="str">
        <f>IF(C179="","",Employees!B19)</f>
        <v/>
      </c>
      <c r="E179" s="26" t="str">
        <f>IF(C179="","",Employees!C19)</f>
        <v/>
      </c>
      <c r="F179" s="26">
        <f>IF(A179="","",MOD(A179-Settings!$B$6,4)+1)</f>
        <v>1</v>
      </c>
      <c r="G179" s="26" t="str">
        <f>IF(C179="","",INDEX(Rotation_Pattern!$B$4:$E$7,F179,MATCH(E179,{"A","B","C","D"},0)))</f>
        <v/>
      </c>
      <c r="H179" s="32" t="str">
        <f t="shared" si="7"/>
        <v/>
      </c>
      <c r="I179" s="32" t="str">
        <f>IF(OR(G179="Off",G179=""),"",H179+TIME(Settings!$B$8,0,0))</f>
        <v/>
      </c>
      <c r="J179" s="26">
        <f>IF(OR(G179="Off",G179=""),0,Settings!$B$8)</f>
        <v>0</v>
      </c>
      <c r="K179" s="25" t="s">
        <v>111</v>
      </c>
      <c r="L179" s="26" t="str">
        <f>IF(A179="","",IF(COUNTIF(Public_Holidays!$A$4:$A$80,A179)&gt;0,"Y","N"))</f>
        <v>N</v>
      </c>
      <c r="M179" s="26" t="str">
        <f t="shared" si="8"/>
        <v>N</v>
      </c>
      <c r="N179" s="26" t="e">
        <f ca="1">IF(A179="","",_xludf.TEXTJOIN("; ",TRUE,IF(SUMIFS($J:$J,$C:$C,C179,$B:$B,B179)&gt;Settings!$B$9,"Weekly ordinary hrs &gt;45",""),IF(SUMIFS(Claims!$H:$H,Claims!$C:$C,C179,Claims!$B:$B,B179)&gt;Settings!$B$10,"Weekly OT &gt;10",""),IF(AND(G179&lt;&gt;"Off",COUNTIFS($C:$C,C179,$A:$A,A179-1,$G:$G,"Night")&gt;0),"Rest &lt;12h after night shift",""),IF(J179&gt;5,"Meal interval required","")))</f>
        <v>#NAME?</v>
      </c>
      <c r="O179" s="25" t="s">
        <v>112</v>
      </c>
      <c r="P179" s="25"/>
    </row>
    <row r="180" spans="1:16" x14ac:dyDescent="0.35">
      <c r="A180" s="31">
        <f>IF(8+1&lt;=Settings!$B$7,Settings!$B$6+8,"")</f>
        <v>46151</v>
      </c>
      <c r="B180" s="31">
        <f t="shared" si="6"/>
        <v>46146</v>
      </c>
      <c r="C180" s="26" t="str">
        <f>IF(Employees!A20="","",Employees!A20)</f>
        <v/>
      </c>
      <c r="D180" s="26" t="str">
        <f>IF(C180="","",Employees!B20)</f>
        <v/>
      </c>
      <c r="E180" s="26" t="str">
        <f>IF(C180="","",Employees!C20)</f>
        <v/>
      </c>
      <c r="F180" s="26">
        <f>IF(A180="","",MOD(A180-Settings!$B$6,4)+1)</f>
        <v>1</v>
      </c>
      <c r="G180" s="26" t="str">
        <f>IF(C180="","",INDEX(Rotation_Pattern!$B$4:$E$7,F180,MATCH(E180,{"A","B","C","D"},0)))</f>
        <v/>
      </c>
      <c r="H180" s="32" t="str">
        <f t="shared" si="7"/>
        <v/>
      </c>
      <c r="I180" s="32" t="str">
        <f>IF(OR(G180="Off",G180=""),"",H180+TIME(Settings!$B$8,0,0))</f>
        <v/>
      </c>
      <c r="J180" s="26">
        <f>IF(OR(G180="Off",G180=""),0,Settings!$B$8)</f>
        <v>0</v>
      </c>
      <c r="K180" s="25" t="s">
        <v>111</v>
      </c>
      <c r="L180" s="26" t="str">
        <f>IF(A180="","",IF(COUNTIF(Public_Holidays!$A$4:$A$80,A180)&gt;0,"Y","N"))</f>
        <v>N</v>
      </c>
      <c r="M180" s="26" t="str">
        <f t="shared" si="8"/>
        <v>N</v>
      </c>
      <c r="N180" s="26" t="e">
        <f ca="1">IF(A180="","",_xludf.TEXTJOIN("; ",TRUE,IF(SUMIFS($J:$J,$C:$C,C180,$B:$B,B180)&gt;Settings!$B$9,"Weekly ordinary hrs &gt;45",""),IF(SUMIFS(Claims!$H:$H,Claims!$C:$C,C180,Claims!$B:$B,B180)&gt;Settings!$B$10,"Weekly OT &gt;10",""),IF(AND(G180&lt;&gt;"Off",COUNTIFS($C:$C,C180,$A:$A,A180-1,$G:$G,"Night")&gt;0),"Rest &lt;12h after night shift",""),IF(J180&gt;5,"Meal interval required","")))</f>
        <v>#NAME?</v>
      </c>
      <c r="O180" s="25" t="s">
        <v>112</v>
      </c>
      <c r="P180" s="25"/>
    </row>
    <row r="181" spans="1:16" x14ac:dyDescent="0.35">
      <c r="A181" s="31">
        <f>IF(8+1&lt;=Settings!$B$7,Settings!$B$6+8,"")</f>
        <v>46151</v>
      </c>
      <c r="B181" s="31">
        <f t="shared" si="6"/>
        <v>46146</v>
      </c>
      <c r="C181" s="26" t="str">
        <f>IF(Employees!A21="","",Employees!A21)</f>
        <v/>
      </c>
      <c r="D181" s="26" t="str">
        <f>IF(C181="","",Employees!B21)</f>
        <v/>
      </c>
      <c r="E181" s="26" t="str">
        <f>IF(C181="","",Employees!C21)</f>
        <v/>
      </c>
      <c r="F181" s="26">
        <f>IF(A181="","",MOD(A181-Settings!$B$6,4)+1)</f>
        <v>1</v>
      </c>
      <c r="G181" s="26" t="str">
        <f>IF(C181="","",INDEX(Rotation_Pattern!$B$4:$E$7,F181,MATCH(E181,{"A","B","C","D"},0)))</f>
        <v/>
      </c>
      <c r="H181" s="32" t="str">
        <f t="shared" si="7"/>
        <v/>
      </c>
      <c r="I181" s="32" t="str">
        <f>IF(OR(G181="Off",G181=""),"",H181+TIME(Settings!$B$8,0,0))</f>
        <v/>
      </c>
      <c r="J181" s="26">
        <f>IF(OR(G181="Off",G181=""),0,Settings!$B$8)</f>
        <v>0</v>
      </c>
      <c r="K181" s="25" t="s">
        <v>111</v>
      </c>
      <c r="L181" s="26" t="str">
        <f>IF(A181="","",IF(COUNTIF(Public_Holidays!$A$4:$A$80,A181)&gt;0,"Y","N"))</f>
        <v>N</v>
      </c>
      <c r="M181" s="26" t="str">
        <f t="shared" si="8"/>
        <v>N</v>
      </c>
      <c r="N181" s="26" t="e">
        <f ca="1">IF(A181="","",_xludf.TEXTJOIN("; ",TRUE,IF(SUMIFS($J:$J,$C:$C,C181,$B:$B,B181)&gt;Settings!$B$9,"Weekly ordinary hrs &gt;45",""),IF(SUMIFS(Claims!$H:$H,Claims!$C:$C,C181,Claims!$B:$B,B181)&gt;Settings!$B$10,"Weekly OT &gt;10",""),IF(AND(G181&lt;&gt;"Off",COUNTIFS($C:$C,C181,$A:$A,A181-1,$G:$G,"Night")&gt;0),"Rest &lt;12h after night shift",""),IF(J181&gt;5,"Meal interval required","")))</f>
        <v>#NAME?</v>
      </c>
      <c r="O181" s="25" t="s">
        <v>112</v>
      </c>
      <c r="P181" s="25"/>
    </row>
    <row r="182" spans="1:16" x14ac:dyDescent="0.35">
      <c r="A182" s="31">
        <f>IF(8+1&lt;=Settings!$B$7,Settings!$B$6+8,"")</f>
        <v>46151</v>
      </c>
      <c r="B182" s="31">
        <f t="shared" si="6"/>
        <v>46146</v>
      </c>
      <c r="C182" s="26" t="str">
        <f>IF(Employees!A22="","",Employees!A22)</f>
        <v/>
      </c>
      <c r="D182" s="26" t="str">
        <f>IF(C182="","",Employees!B22)</f>
        <v/>
      </c>
      <c r="E182" s="26" t="str">
        <f>IF(C182="","",Employees!C22)</f>
        <v/>
      </c>
      <c r="F182" s="26">
        <f>IF(A182="","",MOD(A182-Settings!$B$6,4)+1)</f>
        <v>1</v>
      </c>
      <c r="G182" s="26" t="str">
        <f>IF(C182="","",INDEX(Rotation_Pattern!$B$4:$E$7,F182,MATCH(E182,{"A","B","C","D"},0)))</f>
        <v/>
      </c>
      <c r="H182" s="32" t="str">
        <f t="shared" si="7"/>
        <v/>
      </c>
      <c r="I182" s="32" t="str">
        <f>IF(OR(G182="Off",G182=""),"",H182+TIME(Settings!$B$8,0,0))</f>
        <v/>
      </c>
      <c r="J182" s="26">
        <f>IF(OR(G182="Off",G182=""),0,Settings!$B$8)</f>
        <v>0</v>
      </c>
      <c r="K182" s="25" t="s">
        <v>111</v>
      </c>
      <c r="L182" s="26" t="str">
        <f>IF(A182="","",IF(COUNTIF(Public_Holidays!$A$4:$A$80,A182)&gt;0,"Y","N"))</f>
        <v>N</v>
      </c>
      <c r="M182" s="26" t="str">
        <f t="shared" si="8"/>
        <v>N</v>
      </c>
      <c r="N182" s="26" t="e">
        <f ca="1">IF(A182="","",_xludf.TEXTJOIN("; ",TRUE,IF(SUMIFS($J:$J,$C:$C,C182,$B:$B,B182)&gt;Settings!$B$9,"Weekly ordinary hrs &gt;45",""),IF(SUMIFS(Claims!$H:$H,Claims!$C:$C,C182,Claims!$B:$B,B182)&gt;Settings!$B$10,"Weekly OT &gt;10",""),IF(AND(G182&lt;&gt;"Off",COUNTIFS($C:$C,C182,$A:$A,A182-1,$G:$G,"Night")&gt;0),"Rest &lt;12h after night shift",""),IF(J182&gt;5,"Meal interval required","")))</f>
        <v>#NAME?</v>
      </c>
      <c r="O182" s="25" t="s">
        <v>112</v>
      </c>
      <c r="P182" s="25"/>
    </row>
    <row r="183" spans="1:16" x14ac:dyDescent="0.35">
      <c r="A183" s="31">
        <f>IF(8+1&lt;=Settings!$B$7,Settings!$B$6+8,"")</f>
        <v>46151</v>
      </c>
      <c r="B183" s="31">
        <f t="shared" si="6"/>
        <v>46146</v>
      </c>
      <c r="C183" s="26" t="str">
        <f>IF(Employees!A23="","",Employees!A23)</f>
        <v/>
      </c>
      <c r="D183" s="26" t="str">
        <f>IF(C183="","",Employees!B23)</f>
        <v/>
      </c>
      <c r="E183" s="26" t="str">
        <f>IF(C183="","",Employees!C23)</f>
        <v/>
      </c>
      <c r="F183" s="26">
        <f>IF(A183="","",MOD(A183-Settings!$B$6,4)+1)</f>
        <v>1</v>
      </c>
      <c r="G183" s="26" t="str">
        <f>IF(C183="","",INDEX(Rotation_Pattern!$B$4:$E$7,F183,MATCH(E183,{"A","B","C","D"},0)))</f>
        <v/>
      </c>
      <c r="H183" s="32" t="str">
        <f t="shared" si="7"/>
        <v/>
      </c>
      <c r="I183" s="32" t="str">
        <f>IF(OR(G183="Off",G183=""),"",H183+TIME(Settings!$B$8,0,0))</f>
        <v/>
      </c>
      <c r="J183" s="26">
        <f>IF(OR(G183="Off",G183=""),0,Settings!$B$8)</f>
        <v>0</v>
      </c>
      <c r="K183" s="25" t="s">
        <v>111</v>
      </c>
      <c r="L183" s="26" t="str">
        <f>IF(A183="","",IF(COUNTIF(Public_Holidays!$A$4:$A$80,A183)&gt;0,"Y","N"))</f>
        <v>N</v>
      </c>
      <c r="M183" s="26" t="str">
        <f t="shared" si="8"/>
        <v>N</v>
      </c>
      <c r="N183" s="26" t="e">
        <f ca="1">IF(A183="","",_xludf.TEXTJOIN("; ",TRUE,IF(SUMIFS($J:$J,$C:$C,C183,$B:$B,B183)&gt;Settings!$B$9,"Weekly ordinary hrs &gt;45",""),IF(SUMIFS(Claims!$H:$H,Claims!$C:$C,C183,Claims!$B:$B,B183)&gt;Settings!$B$10,"Weekly OT &gt;10",""),IF(AND(G183&lt;&gt;"Off",COUNTIFS($C:$C,C183,$A:$A,A183-1,$G:$G,"Night")&gt;0),"Rest &lt;12h after night shift",""),IF(J183&gt;5,"Meal interval required","")))</f>
        <v>#NAME?</v>
      </c>
      <c r="O183" s="25" t="s">
        <v>112</v>
      </c>
      <c r="P183" s="25"/>
    </row>
    <row r="184" spans="1:16" x14ac:dyDescent="0.35">
      <c r="A184" s="31">
        <f>IF(9+1&lt;=Settings!$B$7,Settings!$B$6+9,"")</f>
        <v>46152</v>
      </c>
      <c r="B184" s="31">
        <f t="shared" si="6"/>
        <v>46146</v>
      </c>
      <c r="C184" s="26" t="str">
        <f>IF(Employees!A4="","",Employees!A4)</f>
        <v>E001</v>
      </c>
      <c r="D184" s="26" t="str">
        <f>IF(C184="","",Employees!B4)</f>
        <v>Musiwa Khavalani</v>
      </c>
      <c r="E184" s="26">
        <f>IF(C184="","",Employees!C4)</f>
        <v>0</v>
      </c>
      <c r="F184" s="26">
        <f>IF(A184="","",MOD(A184-Settings!$B$6,4)+1)</f>
        <v>2</v>
      </c>
      <c r="G184" s="26" t="e">
        <f>IF(C184="","",INDEX(Rotation_Pattern!$B$4:$E$7,F184,MATCH(E184,{"A","B","C","D"},0)))</f>
        <v>#N/A</v>
      </c>
      <c r="H184" s="32" t="e">
        <f t="shared" si="7"/>
        <v>#N/A</v>
      </c>
      <c r="I184" s="32" t="e">
        <f>IF(OR(G184="Off",G184=""),"",H184+TIME(Settings!$B$8,0,0))</f>
        <v>#N/A</v>
      </c>
      <c r="J184" s="26" t="e">
        <f>IF(OR(G184="Off",G184=""),0,Settings!$B$8)</f>
        <v>#N/A</v>
      </c>
      <c r="K184" s="25" t="s">
        <v>111</v>
      </c>
      <c r="L184" s="26" t="str">
        <f>IF(A184="","",IF(COUNTIF(Public_Holidays!$A$4:$A$80,A184)&gt;0,"Y","N"))</f>
        <v>N</v>
      </c>
      <c r="M184" s="26" t="str">
        <f t="shared" si="8"/>
        <v>Y</v>
      </c>
      <c r="N184" s="26" t="e">
        <f ca="1">IF(A184="","",_xludf.TEXTJOIN("; ",TRUE,IF(SUMIFS($J:$J,$C:$C,C184,$B:$B,B184)&gt;Settings!$B$9,"Weekly ordinary hrs &gt;45",""),IF(SUMIFS(Claims!$H:$H,Claims!$C:$C,C184,Claims!$B:$B,B184)&gt;Settings!$B$10,"Weekly OT &gt;10",""),IF(AND(G184&lt;&gt;"Off",COUNTIFS($C:$C,C184,$A:$A,A184-1,$G:$G,"Night")&gt;0),"Rest &lt;12h after night shift",""),IF(J184&gt;5,"Meal interval required","")))</f>
        <v>#NAME?</v>
      </c>
      <c r="O184" s="25" t="s">
        <v>112</v>
      </c>
      <c r="P184" s="25"/>
    </row>
    <row r="185" spans="1:16" x14ac:dyDescent="0.35">
      <c r="A185" s="31">
        <f>IF(9+1&lt;=Settings!$B$7,Settings!$B$6+9,"")</f>
        <v>46152</v>
      </c>
      <c r="B185" s="31">
        <f t="shared" si="6"/>
        <v>46146</v>
      </c>
      <c r="C185" s="26" t="str">
        <f>IF(Employees!A5="","",Employees!A5)</f>
        <v>E002</v>
      </c>
      <c r="D185" s="26" t="str">
        <f>IF(C185="","",Employees!B5)</f>
        <v>Mpho  Nembemhia</v>
      </c>
      <c r="E185" s="26" t="str">
        <f>IF(C185="","",Employees!C5)</f>
        <v>B</v>
      </c>
      <c r="F185" s="26">
        <f>IF(A185="","",MOD(A185-Settings!$B$6,4)+1)</f>
        <v>2</v>
      </c>
      <c r="G185" s="26" t="str">
        <f>IF(C185="","",INDEX(Rotation_Pattern!$B$4:$E$7,F185,MATCH(E185,{"A","B","C","D"},0)))</f>
        <v>Day</v>
      </c>
      <c r="H185" s="32">
        <f t="shared" si="7"/>
        <v>0.25</v>
      </c>
      <c r="I185" s="32">
        <f>IF(OR(G185="Off",G185=""),"",H185+TIME(Settings!$B$8,0,0))</f>
        <v>0.58333333333333326</v>
      </c>
      <c r="J185" s="26">
        <f>IF(OR(G185="Off",G185=""),0,Settings!$B$8)</f>
        <v>8</v>
      </c>
      <c r="K185" s="25" t="s">
        <v>111</v>
      </c>
      <c r="L185" s="26" t="str">
        <f>IF(A185="","",IF(COUNTIF(Public_Holidays!$A$4:$A$80,A185)&gt;0,"Y","N"))</f>
        <v>N</v>
      </c>
      <c r="M185" s="26" t="str">
        <f t="shared" si="8"/>
        <v>Y</v>
      </c>
      <c r="N185" s="26" t="e">
        <f ca="1">IF(A185="","",_xludf.TEXTJOIN("; ",TRUE,IF(SUMIFS($J:$J,$C:$C,C185,$B:$B,B185)&gt;Settings!$B$9,"Weekly ordinary hrs &gt;45",""),IF(SUMIFS(Claims!$H:$H,Claims!$C:$C,C185,Claims!$B:$B,B185)&gt;Settings!$B$10,"Weekly OT &gt;10",""),IF(AND(G185&lt;&gt;"Off",COUNTIFS($C:$C,C185,$A:$A,A185-1,$G:$G,"Night")&gt;0),"Rest &lt;12h after night shift",""),IF(J185&gt;5,"Meal interval required","")))</f>
        <v>#NAME?</v>
      </c>
      <c r="O185" s="25" t="s">
        <v>112</v>
      </c>
      <c r="P185" s="25"/>
    </row>
    <row r="186" spans="1:16" x14ac:dyDescent="0.35">
      <c r="A186" s="31">
        <f>IF(9+1&lt;=Settings!$B$7,Settings!$B$6+9,"")</f>
        <v>46152</v>
      </c>
      <c r="B186" s="31">
        <f t="shared" si="6"/>
        <v>46146</v>
      </c>
      <c r="C186" s="26" t="str">
        <f>IF(Employees!A6="","",Employees!A6)</f>
        <v>E003</v>
      </c>
      <c r="D186" s="26" t="str">
        <f>IF(C186="","",Employees!B6)</f>
        <v>Dimpho Makhafola</v>
      </c>
      <c r="E186" s="26" t="str">
        <f>IF(C186="","",Employees!C6)</f>
        <v>C</v>
      </c>
      <c r="F186" s="26">
        <f>IF(A186="","",MOD(A186-Settings!$B$6,4)+1)</f>
        <v>2</v>
      </c>
      <c r="G186" s="26" t="str">
        <f>IF(C186="","",INDEX(Rotation_Pattern!$B$4:$E$7,F186,MATCH(E186,{"A","B","C","D"},0)))</f>
        <v>Off</v>
      </c>
      <c r="H186" s="32" t="str">
        <f t="shared" si="7"/>
        <v/>
      </c>
      <c r="I186" s="32" t="str">
        <f>IF(OR(G186="Off",G186=""),"",H186+TIME(Settings!$B$8,0,0))</f>
        <v/>
      </c>
      <c r="J186" s="26">
        <f>IF(OR(G186="Off",G186=""),0,Settings!$B$8)</f>
        <v>0</v>
      </c>
      <c r="K186" s="25" t="s">
        <v>111</v>
      </c>
      <c r="L186" s="26" t="str">
        <f>IF(A186="","",IF(COUNTIF(Public_Holidays!$A$4:$A$80,A186)&gt;0,"Y","N"))</f>
        <v>N</v>
      </c>
      <c r="M186" s="26" t="str">
        <f t="shared" si="8"/>
        <v>Y</v>
      </c>
      <c r="N186" s="26" t="e">
        <f ca="1">IF(A186="","",_xludf.TEXTJOIN("; ",TRUE,IF(SUMIFS($J:$J,$C:$C,C186,$B:$B,B186)&gt;Settings!$B$9,"Weekly ordinary hrs &gt;45",""),IF(SUMIFS(Claims!$H:$H,Claims!$C:$C,C186,Claims!$B:$B,B186)&gt;Settings!$B$10,"Weekly OT &gt;10",""),IF(AND(G186&lt;&gt;"Off",COUNTIFS($C:$C,C186,$A:$A,A186-1,$G:$G,"Night")&gt;0),"Rest &lt;12h after night shift",""),IF(J186&gt;5,"Meal interval required","")))</f>
        <v>#NAME?</v>
      </c>
      <c r="O186" s="25" t="s">
        <v>112</v>
      </c>
      <c r="P186" s="25"/>
    </row>
    <row r="187" spans="1:16" x14ac:dyDescent="0.35">
      <c r="A187" s="31">
        <f>IF(9+1&lt;=Settings!$B$7,Settings!$B$6+9,"")</f>
        <v>46152</v>
      </c>
      <c r="B187" s="31">
        <f t="shared" si="6"/>
        <v>46146</v>
      </c>
      <c r="C187" s="26" t="str">
        <f>IF(Employees!A7="","",Employees!A7)</f>
        <v>E004</v>
      </c>
      <c r="D187" s="26" t="str">
        <f>IF(C187="","",Employees!B7)</f>
        <v>Bashii Fall</v>
      </c>
      <c r="E187" s="26" t="str">
        <f>IF(C187="","",Employees!C7)</f>
        <v>D</v>
      </c>
      <c r="F187" s="26">
        <f>IF(A187="","",MOD(A187-Settings!$B$6,4)+1)</f>
        <v>2</v>
      </c>
      <c r="G187" s="26" t="str">
        <f>IF(C187="","",INDEX(Rotation_Pattern!$B$4:$E$7,F187,MATCH(E187,{"A","B","C","D"},0)))</f>
        <v>Night</v>
      </c>
      <c r="H187" s="32">
        <f t="shared" si="7"/>
        <v>0.91666666666666663</v>
      </c>
      <c r="I187" s="32">
        <f>IF(OR(G187="Off",G187=""),"",H187+TIME(Settings!$B$8,0,0))</f>
        <v>1.25</v>
      </c>
      <c r="J187" s="26">
        <f>IF(OR(G187="Off",G187=""),0,Settings!$B$8)</f>
        <v>8</v>
      </c>
      <c r="K187" s="25" t="s">
        <v>111</v>
      </c>
      <c r="L187" s="26" t="str">
        <f>IF(A187="","",IF(COUNTIF(Public_Holidays!$A$4:$A$80,A187)&gt;0,"Y","N"))</f>
        <v>N</v>
      </c>
      <c r="M187" s="26" t="str">
        <f t="shared" si="8"/>
        <v>Y</v>
      </c>
      <c r="N187" s="26" t="e">
        <f ca="1">IF(A187="","",_xludf.TEXTJOIN("; ",TRUE,IF(SUMIFS($J:$J,$C:$C,C187,$B:$B,B187)&gt;Settings!$B$9,"Weekly ordinary hrs &gt;45",""),IF(SUMIFS(Claims!$H:$H,Claims!$C:$C,C187,Claims!$B:$B,B187)&gt;Settings!$B$10,"Weekly OT &gt;10",""),IF(AND(G187&lt;&gt;"Off",COUNTIFS($C:$C,C187,$A:$A,A187-1,$G:$G,"Night")&gt;0),"Rest &lt;12h after night shift",""),IF(J187&gt;5,"Meal interval required","")))</f>
        <v>#NAME?</v>
      </c>
      <c r="O187" s="25" t="s">
        <v>112</v>
      </c>
      <c r="P187" s="25"/>
    </row>
    <row r="188" spans="1:16" x14ac:dyDescent="0.35">
      <c r="A188" s="31">
        <f>IF(9+1&lt;=Settings!$B$7,Settings!$B$6+9,"")</f>
        <v>46152</v>
      </c>
      <c r="B188" s="31">
        <f t="shared" si="6"/>
        <v>46146</v>
      </c>
      <c r="C188" s="26" t="str">
        <f>IF(Employees!A8="","",Employees!A8)</f>
        <v>E005</v>
      </c>
      <c r="D188" s="26" t="str">
        <f>IF(C188="","",Employees!B8)</f>
        <v>Lesego Aphane</v>
      </c>
      <c r="E188" s="26" t="str">
        <f>IF(C188="","",Employees!C8)</f>
        <v>A</v>
      </c>
      <c r="F188" s="26">
        <f>IF(A188="","",MOD(A188-Settings!$B$6,4)+1)</f>
        <v>2</v>
      </c>
      <c r="G188" s="26" t="str">
        <f>IF(C188="","",INDEX(Rotation_Pattern!$B$4:$E$7,F188,MATCH(E188,{"A","B","C","D"},0)))</f>
        <v>Evening</v>
      </c>
      <c r="H188" s="32">
        <f t="shared" si="7"/>
        <v>0.58333333333333337</v>
      </c>
      <c r="I188" s="32">
        <f>IF(OR(G188="Off",G188=""),"",H188+TIME(Settings!$B$8,0,0))</f>
        <v>0.91666666666666674</v>
      </c>
      <c r="J188" s="26">
        <f>IF(OR(G188="Off",G188=""),0,Settings!$B$8)</f>
        <v>8</v>
      </c>
      <c r="K188" s="25" t="s">
        <v>111</v>
      </c>
      <c r="L188" s="26" t="str">
        <f>IF(A188="","",IF(COUNTIF(Public_Holidays!$A$4:$A$80,A188)&gt;0,"Y","N"))</f>
        <v>N</v>
      </c>
      <c r="M188" s="26" t="str">
        <f t="shared" si="8"/>
        <v>Y</v>
      </c>
      <c r="N188" s="26" t="e">
        <f ca="1">IF(A188="","",_xludf.TEXTJOIN("; ",TRUE,IF(SUMIFS($J:$J,$C:$C,C188,$B:$B,B188)&gt;Settings!$B$9,"Weekly ordinary hrs &gt;45",""),IF(SUMIFS(Claims!$H:$H,Claims!$C:$C,C188,Claims!$B:$B,B188)&gt;Settings!$B$10,"Weekly OT &gt;10",""),IF(AND(G188&lt;&gt;"Off",COUNTIFS($C:$C,C188,$A:$A,A188-1,$G:$G,"Night")&gt;0),"Rest &lt;12h after night shift",""),IF(J188&gt;5,"Meal interval required","")))</f>
        <v>#NAME?</v>
      </c>
      <c r="O188" s="25" t="s">
        <v>112</v>
      </c>
      <c r="P188" s="25"/>
    </row>
    <row r="189" spans="1:16" x14ac:dyDescent="0.35">
      <c r="A189" s="31">
        <f>IF(9+1&lt;=Settings!$B$7,Settings!$B$6+9,"")</f>
        <v>46152</v>
      </c>
      <c r="B189" s="31">
        <f t="shared" si="6"/>
        <v>46146</v>
      </c>
      <c r="C189" s="26" t="str">
        <f>IF(Employees!A9="","",Employees!A9)</f>
        <v>E006</v>
      </c>
      <c r="D189" s="26" t="str">
        <f>IF(C189="","",Employees!B9)</f>
        <v>Nhalnahla</v>
      </c>
      <c r="E189" s="26" t="str">
        <f>IF(C189="","",Employees!C9)</f>
        <v>B</v>
      </c>
      <c r="F189" s="26">
        <f>IF(A189="","",MOD(A189-Settings!$B$6,4)+1)</f>
        <v>2</v>
      </c>
      <c r="G189" s="26" t="str">
        <f>IF(C189="","",INDEX(Rotation_Pattern!$B$4:$E$7,F189,MATCH(E189,{"A","B","C","D"},0)))</f>
        <v>Day</v>
      </c>
      <c r="H189" s="32">
        <f t="shared" si="7"/>
        <v>0.25</v>
      </c>
      <c r="I189" s="32">
        <f>IF(OR(G189="Off",G189=""),"",H189+TIME(Settings!$B$8,0,0))</f>
        <v>0.58333333333333326</v>
      </c>
      <c r="J189" s="26">
        <f>IF(OR(G189="Off",G189=""),0,Settings!$B$8)</f>
        <v>8</v>
      </c>
      <c r="K189" s="25" t="s">
        <v>111</v>
      </c>
      <c r="L189" s="26" t="str">
        <f>IF(A189="","",IF(COUNTIF(Public_Holidays!$A$4:$A$80,A189)&gt;0,"Y","N"))</f>
        <v>N</v>
      </c>
      <c r="M189" s="26" t="str">
        <f t="shared" si="8"/>
        <v>Y</v>
      </c>
      <c r="N189" s="26" t="e">
        <f ca="1">IF(A189="","",_xludf.TEXTJOIN("; ",TRUE,IF(SUMIFS($J:$J,$C:$C,C189,$B:$B,B189)&gt;Settings!$B$9,"Weekly ordinary hrs &gt;45",""),IF(SUMIFS(Claims!$H:$H,Claims!$C:$C,C189,Claims!$B:$B,B189)&gt;Settings!$B$10,"Weekly OT &gt;10",""),IF(AND(G189&lt;&gt;"Off",COUNTIFS($C:$C,C189,$A:$A,A189-1,$G:$G,"Night")&gt;0),"Rest &lt;12h after night shift",""),IF(J189&gt;5,"Meal interval required","")))</f>
        <v>#NAME?</v>
      </c>
      <c r="O189" s="25" t="s">
        <v>112</v>
      </c>
      <c r="P189" s="25"/>
    </row>
    <row r="190" spans="1:16" x14ac:dyDescent="0.35">
      <c r="A190" s="31">
        <f>IF(9+1&lt;=Settings!$B$7,Settings!$B$6+9,"")</f>
        <v>46152</v>
      </c>
      <c r="B190" s="31">
        <f t="shared" si="6"/>
        <v>46146</v>
      </c>
      <c r="C190" s="26" t="str">
        <f>IF(Employees!A10="","",Employees!A10)</f>
        <v>E007</v>
      </c>
      <c r="D190" s="26" t="str">
        <f>IF(C190="","",Employees!B10)</f>
        <v>Joe</v>
      </c>
      <c r="E190" s="26" t="str">
        <f>IF(C190="","",Employees!C10)</f>
        <v>C</v>
      </c>
      <c r="F190" s="26">
        <f>IF(A190="","",MOD(A190-Settings!$B$6,4)+1)</f>
        <v>2</v>
      </c>
      <c r="G190" s="26" t="str">
        <f>IF(C190="","",INDEX(Rotation_Pattern!$B$4:$E$7,F190,MATCH(E190,{"A","B","C","D"},0)))</f>
        <v>Off</v>
      </c>
      <c r="H190" s="32" t="str">
        <f t="shared" si="7"/>
        <v/>
      </c>
      <c r="I190" s="32" t="str">
        <f>IF(OR(G190="Off",G190=""),"",H190+TIME(Settings!$B$8,0,0))</f>
        <v/>
      </c>
      <c r="J190" s="26">
        <f>IF(OR(G190="Off",G190=""),0,Settings!$B$8)</f>
        <v>0</v>
      </c>
      <c r="K190" s="25" t="s">
        <v>111</v>
      </c>
      <c r="L190" s="26" t="str">
        <f>IF(A190="","",IF(COUNTIF(Public_Holidays!$A$4:$A$80,A190)&gt;0,"Y","N"))</f>
        <v>N</v>
      </c>
      <c r="M190" s="26" t="str">
        <f t="shared" si="8"/>
        <v>Y</v>
      </c>
      <c r="N190" s="26" t="e">
        <f ca="1">IF(A190="","",_xludf.TEXTJOIN("; ",TRUE,IF(SUMIFS($J:$J,$C:$C,C190,$B:$B,B190)&gt;Settings!$B$9,"Weekly ordinary hrs &gt;45",""),IF(SUMIFS(Claims!$H:$H,Claims!$C:$C,C190,Claims!$B:$B,B190)&gt;Settings!$B$10,"Weekly OT &gt;10",""),IF(AND(G190&lt;&gt;"Off",COUNTIFS($C:$C,C190,$A:$A,A190-1,$G:$G,"Night")&gt;0),"Rest &lt;12h after night shift",""),IF(J190&gt;5,"Meal interval required","")))</f>
        <v>#NAME?</v>
      </c>
      <c r="O190" s="25" t="s">
        <v>112</v>
      </c>
      <c r="P190" s="25"/>
    </row>
    <row r="191" spans="1:16" x14ac:dyDescent="0.35">
      <c r="A191" s="31">
        <f>IF(9+1&lt;=Settings!$B$7,Settings!$B$6+9,"")</f>
        <v>46152</v>
      </c>
      <c r="B191" s="31">
        <f t="shared" si="6"/>
        <v>46146</v>
      </c>
      <c r="C191" s="26" t="str">
        <f>IF(Employees!A11="","",Employees!A11)</f>
        <v>E008</v>
      </c>
      <c r="D191" s="26" t="str">
        <f>IF(C191="","",Employees!B11)</f>
        <v>Tim</v>
      </c>
      <c r="E191" s="26" t="str">
        <f>IF(C191="","",Employees!C11)</f>
        <v>D</v>
      </c>
      <c r="F191" s="26">
        <f>IF(A191="","",MOD(A191-Settings!$B$6,4)+1)</f>
        <v>2</v>
      </c>
      <c r="G191" s="26" t="str">
        <f>IF(C191="","",INDEX(Rotation_Pattern!$B$4:$E$7,F191,MATCH(E191,{"A","B","C","D"},0)))</f>
        <v>Night</v>
      </c>
      <c r="H191" s="32">
        <f t="shared" si="7"/>
        <v>0.91666666666666663</v>
      </c>
      <c r="I191" s="32">
        <f>IF(OR(G191="Off",G191=""),"",H191+TIME(Settings!$B$8,0,0))</f>
        <v>1.25</v>
      </c>
      <c r="J191" s="26">
        <f>IF(OR(G191="Off",G191=""),0,Settings!$B$8)</f>
        <v>8</v>
      </c>
      <c r="K191" s="25" t="s">
        <v>111</v>
      </c>
      <c r="L191" s="26" t="str">
        <f>IF(A191="","",IF(COUNTIF(Public_Holidays!$A$4:$A$80,A191)&gt;0,"Y","N"))</f>
        <v>N</v>
      </c>
      <c r="M191" s="26" t="str">
        <f t="shared" si="8"/>
        <v>Y</v>
      </c>
      <c r="N191" s="26" t="e">
        <f ca="1">IF(A191="","",_xludf.TEXTJOIN("; ",TRUE,IF(SUMIFS($J:$J,$C:$C,C191,$B:$B,B191)&gt;Settings!$B$9,"Weekly ordinary hrs &gt;45",""),IF(SUMIFS(Claims!$H:$H,Claims!$C:$C,C191,Claims!$B:$B,B191)&gt;Settings!$B$10,"Weekly OT &gt;10",""),IF(AND(G191&lt;&gt;"Off",COUNTIFS($C:$C,C191,$A:$A,A191-1,$G:$G,"Night")&gt;0),"Rest &lt;12h after night shift",""),IF(J191&gt;5,"Meal interval required","")))</f>
        <v>#NAME?</v>
      </c>
      <c r="O191" s="25" t="s">
        <v>112</v>
      </c>
      <c r="P191" s="25"/>
    </row>
    <row r="192" spans="1:16" x14ac:dyDescent="0.35">
      <c r="A192" s="31">
        <f>IF(9+1&lt;=Settings!$B$7,Settings!$B$6+9,"")</f>
        <v>46152</v>
      </c>
      <c r="B192" s="31">
        <f t="shared" si="6"/>
        <v>46146</v>
      </c>
      <c r="C192" s="26" t="str">
        <f>IF(Employees!A12="","",Employees!A12)</f>
        <v>E009</v>
      </c>
      <c r="D192" s="26" t="str">
        <f>IF(C192="","",Employees!B12)</f>
        <v>Frank</v>
      </c>
      <c r="E192" s="26" t="str">
        <f>IF(C192="","",Employees!C12)</f>
        <v>A</v>
      </c>
      <c r="F192" s="26">
        <f>IF(A192="","",MOD(A192-Settings!$B$6,4)+1)</f>
        <v>2</v>
      </c>
      <c r="G192" s="26" t="str">
        <f>IF(C192="","",INDEX(Rotation_Pattern!$B$4:$E$7,F192,MATCH(E192,{"A","B","C","D"},0)))</f>
        <v>Evening</v>
      </c>
      <c r="H192" s="32">
        <f t="shared" si="7"/>
        <v>0.58333333333333337</v>
      </c>
      <c r="I192" s="32">
        <f>IF(OR(G192="Off",G192=""),"",H192+TIME(Settings!$B$8,0,0))</f>
        <v>0.91666666666666674</v>
      </c>
      <c r="J192" s="26">
        <f>IF(OR(G192="Off",G192=""),0,Settings!$B$8)</f>
        <v>8</v>
      </c>
      <c r="K192" s="25" t="s">
        <v>111</v>
      </c>
      <c r="L192" s="26" t="str">
        <f>IF(A192="","",IF(COUNTIF(Public_Holidays!$A$4:$A$80,A192)&gt;0,"Y","N"))</f>
        <v>N</v>
      </c>
      <c r="M192" s="26" t="str">
        <f t="shared" si="8"/>
        <v>Y</v>
      </c>
      <c r="N192" s="26" t="e">
        <f ca="1">IF(A192="","",_xludf.TEXTJOIN("; ",TRUE,IF(SUMIFS($J:$J,$C:$C,C192,$B:$B,B192)&gt;Settings!$B$9,"Weekly ordinary hrs &gt;45",""),IF(SUMIFS(Claims!$H:$H,Claims!$C:$C,C192,Claims!$B:$B,B192)&gt;Settings!$B$10,"Weekly OT &gt;10",""),IF(AND(G192&lt;&gt;"Off",COUNTIFS($C:$C,C192,$A:$A,A192-1,$G:$G,"Night")&gt;0),"Rest &lt;12h after night shift",""),IF(J192&gt;5,"Meal interval required","")))</f>
        <v>#NAME?</v>
      </c>
      <c r="O192" s="25" t="s">
        <v>112</v>
      </c>
      <c r="P192" s="25"/>
    </row>
    <row r="193" spans="1:16" x14ac:dyDescent="0.35">
      <c r="A193" s="31">
        <f>IF(9+1&lt;=Settings!$B$7,Settings!$B$6+9,"")</f>
        <v>46152</v>
      </c>
      <c r="B193" s="31">
        <f t="shared" si="6"/>
        <v>46146</v>
      </c>
      <c r="C193" s="26" t="str">
        <f>IF(Employees!A13="","",Employees!A13)</f>
        <v/>
      </c>
      <c r="D193" s="26" t="str">
        <f>IF(C193="","",Employees!B13)</f>
        <v/>
      </c>
      <c r="E193" s="26" t="str">
        <f>IF(C193="","",Employees!C13)</f>
        <v/>
      </c>
      <c r="F193" s="26">
        <f>IF(A193="","",MOD(A193-Settings!$B$6,4)+1)</f>
        <v>2</v>
      </c>
      <c r="G193" s="26" t="str">
        <f>IF(C193="","",INDEX(Rotation_Pattern!$B$4:$E$7,F193,MATCH(E193,{"A","B","C","D"},0)))</f>
        <v/>
      </c>
      <c r="H193" s="32" t="str">
        <f t="shared" si="7"/>
        <v/>
      </c>
      <c r="I193" s="32" t="str">
        <f>IF(OR(G193="Off",G193=""),"",H193+TIME(Settings!$B$8,0,0))</f>
        <v/>
      </c>
      <c r="J193" s="26">
        <f>IF(OR(G193="Off",G193=""),0,Settings!$B$8)</f>
        <v>0</v>
      </c>
      <c r="K193" s="25" t="s">
        <v>111</v>
      </c>
      <c r="L193" s="26" t="str">
        <f>IF(A193="","",IF(COUNTIF(Public_Holidays!$A$4:$A$80,A193)&gt;0,"Y","N"))</f>
        <v>N</v>
      </c>
      <c r="M193" s="26" t="str">
        <f t="shared" si="8"/>
        <v>Y</v>
      </c>
      <c r="N193" s="26" t="e">
        <f ca="1">IF(A193="","",_xludf.TEXTJOIN("; ",TRUE,IF(SUMIFS($J:$J,$C:$C,C193,$B:$B,B193)&gt;Settings!$B$9,"Weekly ordinary hrs &gt;45",""),IF(SUMIFS(Claims!$H:$H,Claims!$C:$C,C193,Claims!$B:$B,B193)&gt;Settings!$B$10,"Weekly OT &gt;10",""),IF(AND(G193&lt;&gt;"Off",COUNTIFS($C:$C,C193,$A:$A,A193-1,$G:$G,"Night")&gt;0),"Rest &lt;12h after night shift",""),IF(J193&gt;5,"Meal interval required","")))</f>
        <v>#NAME?</v>
      </c>
      <c r="O193" s="25" t="s">
        <v>112</v>
      </c>
      <c r="P193" s="25"/>
    </row>
    <row r="194" spans="1:16" x14ac:dyDescent="0.35">
      <c r="A194" s="31">
        <f>IF(9+1&lt;=Settings!$B$7,Settings!$B$6+9,"")</f>
        <v>46152</v>
      </c>
      <c r="B194" s="31">
        <f t="shared" si="6"/>
        <v>46146</v>
      </c>
      <c r="C194" s="26" t="str">
        <f>IF(Employees!A14="","",Employees!A14)</f>
        <v/>
      </c>
      <c r="D194" s="26" t="str">
        <f>IF(C194="","",Employees!B14)</f>
        <v/>
      </c>
      <c r="E194" s="26" t="str">
        <f>IF(C194="","",Employees!C14)</f>
        <v/>
      </c>
      <c r="F194" s="26">
        <f>IF(A194="","",MOD(A194-Settings!$B$6,4)+1)</f>
        <v>2</v>
      </c>
      <c r="G194" s="26" t="str">
        <f>IF(C194="","",INDEX(Rotation_Pattern!$B$4:$E$7,F194,MATCH(E194,{"A","B","C","D"},0)))</f>
        <v/>
      </c>
      <c r="H194" s="32" t="str">
        <f t="shared" si="7"/>
        <v/>
      </c>
      <c r="I194" s="32" t="str">
        <f>IF(OR(G194="Off",G194=""),"",H194+TIME(Settings!$B$8,0,0))</f>
        <v/>
      </c>
      <c r="J194" s="26">
        <f>IF(OR(G194="Off",G194=""),0,Settings!$B$8)</f>
        <v>0</v>
      </c>
      <c r="K194" s="25" t="s">
        <v>111</v>
      </c>
      <c r="L194" s="26" t="str">
        <f>IF(A194="","",IF(COUNTIF(Public_Holidays!$A$4:$A$80,A194)&gt;0,"Y","N"))</f>
        <v>N</v>
      </c>
      <c r="M194" s="26" t="str">
        <f t="shared" si="8"/>
        <v>Y</v>
      </c>
      <c r="N194" s="26" t="e">
        <f ca="1">IF(A194="","",_xludf.TEXTJOIN("; ",TRUE,IF(SUMIFS($J:$J,$C:$C,C194,$B:$B,B194)&gt;Settings!$B$9,"Weekly ordinary hrs &gt;45",""),IF(SUMIFS(Claims!$H:$H,Claims!$C:$C,C194,Claims!$B:$B,B194)&gt;Settings!$B$10,"Weekly OT &gt;10",""),IF(AND(G194&lt;&gt;"Off",COUNTIFS($C:$C,C194,$A:$A,A194-1,$G:$G,"Night")&gt;0),"Rest &lt;12h after night shift",""),IF(J194&gt;5,"Meal interval required","")))</f>
        <v>#NAME?</v>
      </c>
      <c r="O194" s="25" t="s">
        <v>112</v>
      </c>
      <c r="P194" s="25"/>
    </row>
    <row r="195" spans="1:16" x14ac:dyDescent="0.35">
      <c r="A195" s="31">
        <f>IF(9+1&lt;=Settings!$B$7,Settings!$B$6+9,"")</f>
        <v>46152</v>
      </c>
      <c r="B195" s="31">
        <f t="shared" si="6"/>
        <v>46146</v>
      </c>
      <c r="C195" s="26" t="str">
        <f>IF(Employees!A15="","",Employees!A15)</f>
        <v/>
      </c>
      <c r="D195" s="26" t="str">
        <f>IF(C195="","",Employees!B15)</f>
        <v/>
      </c>
      <c r="E195" s="26" t="str">
        <f>IF(C195="","",Employees!C15)</f>
        <v/>
      </c>
      <c r="F195" s="26">
        <f>IF(A195="","",MOD(A195-Settings!$B$6,4)+1)</f>
        <v>2</v>
      </c>
      <c r="G195" s="26" t="str">
        <f>IF(C195="","",INDEX(Rotation_Pattern!$B$4:$E$7,F195,MATCH(E195,{"A","B","C","D"},0)))</f>
        <v/>
      </c>
      <c r="H195" s="32" t="str">
        <f t="shared" si="7"/>
        <v/>
      </c>
      <c r="I195" s="32" t="str">
        <f>IF(OR(G195="Off",G195=""),"",H195+TIME(Settings!$B$8,0,0))</f>
        <v/>
      </c>
      <c r="J195" s="26">
        <f>IF(OR(G195="Off",G195=""),0,Settings!$B$8)</f>
        <v>0</v>
      </c>
      <c r="K195" s="25" t="s">
        <v>111</v>
      </c>
      <c r="L195" s="26" t="str">
        <f>IF(A195="","",IF(COUNTIF(Public_Holidays!$A$4:$A$80,A195)&gt;0,"Y","N"))</f>
        <v>N</v>
      </c>
      <c r="M195" s="26" t="str">
        <f t="shared" si="8"/>
        <v>Y</v>
      </c>
      <c r="N195" s="26" t="e">
        <f ca="1">IF(A195="","",_xludf.TEXTJOIN("; ",TRUE,IF(SUMIFS($J:$J,$C:$C,C195,$B:$B,B195)&gt;Settings!$B$9,"Weekly ordinary hrs &gt;45",""),IF(SUMIFS(Claims!$H:$H,Claims!$C:$C,C195,Claims!$B:$B,B195)&gt;Settings!$B$10,"Weekly OT &gt;10",""),IF(AND(G195&lt;&gt;"Off",COUNTIFS($C:$C,C195,$A:$A,A195-1,$G:$G,"Night")&gt;0),"Rest &lt;12h after night shift",""),IF(J195&gt;5,"Meal interval required","")))</f>
        <v>#NAME?</v>
      </c>
      <c r="O195" s="25" t="s">
        <v>112</v>
      </c>
      <c r="P195" s="25"/>
    </row>
    <row r="196" spans="1:16" x14ac:dyDescent="0.35">
      <c r="A196" s="31">
        <f>IF(9+1&lt;=Settings!$B$7,Settings!$B$6+9,"")</f>
        <v>46152</v>
      </c>
      <c r="B196" s="31">
        <f t="shared" ref="B196:B259" si="9">IF(A196="","",A196-WEEKDAY(A196,2)+1)</f>
        <v>46146</v>
      </c>
      <c r="C196" s="26" t="str">
        <f>IF(Employees!A16="","",Employees!A16)</f>
        <v/>
      </c>
      <c r="D196" s="26" t="str">
        <f>IF(C196="","",Employees!B16)</f>
        <v/>
      </c>
      <c r="E196" s="26" t="str">
        <f>IF(C196="","",Employees!C16)</f>
        <v/>
      </c>
      <c r="F196" s="26">
        <f>IF(A196="","",MOD(A196-Settings!$B$6,4)+1)</f>
        <v>2</v>
      </c>
      <c r="G196" s="26" t="str">
        <f>IF(C196="","",INDEX(Rotation_Pattern!$B$4:$E$7,F196,MATCH(E196,{"A","B","C","D"},0)))</f>
        <v/>
      </c>
      <c r="H196" s="32" t="str">
        <f t="shared" ref="H196:H259" si="10">IF(OR(G196="Off",G196=""),"",IF(G196="Day",TIME(6,0,0),IF(G196="Evening",TIME(14,0,0),TIME(22,0,0))))</f>
        <v/>
      </c>
      <c r="I196" s="32" t="str">
        <f>IF(OR(G196="Off",G196=""),"",H196+TIME(Settings!$B$8,0,0))</f>
        <v/>
      </c>
      <c r="J196" s="26">
        <f>IF(OR(G196="Off",G196=""),0,Settings!$B$8)</f>
        <v>0</v>
      </c>
      <c r="K196" s="25" t="s">
        <v>111</v>
      </c>
      <c r="L196" s="26" t="str">
        <f>IF(A196="","",IF(COUNTIF(Public_Holidays!$A$4:$A$80,A196)&gt;0,"Y","N"))</f>
        <v>N</v>
      </c>
      <c r="M196" s="26" t="str">
        <f t="shared" ref="M196:M259" si="11">IF(A196="","",IF(WEEKDAY(A196,2)=7,"Y","N"))</f>
        <v>Y</v>
      </c>
      <c r="N196" s="26" t="e">
        <f ca="1">IF(A196="","",_xludf.TEXTJOIN("; ",TRUE,IF(SUMIFS($J:$J,$C:$C,C196,$B:$B,B196)&gt;Settings!$B$9,"Weekly ordinary hrs &gt;45",""),IF(SUMIFS(Claims!$H:$H,Claims!$C:$C,C196,Claims!$B:$B,B196)&gt;Settings!$B$10,"Weekly OT &gt;10",""),IF(AND(G196&lt;&gt;"Off",COUNTIFS($C:$C,C196,$A:$A,A196-1,$G:$G,"Night")&gt;0),"Rest &lt;12h after night shift",""),IF(J196&gt;5,"Meal interval required","")))</f>
        <v>#NAME?</v>
      </c>
      <c r="O196" s="25" t="s">
        <v>112</v>
      </c>
      <c r="P196" s="25"/>
    </row>
    <row r="197" spans="1:16" x14ac:dyDescent="0.35">
      <c r="A197" s="31">
        <f>IF(9+1&lt;=Settings!$B$7,Settings!$B$6+9,"")</f>
        <v>46152</v>
      </c>
      <c r="B197" s="31">
        <f t="shared" si="9"/>
        <v>46146</v>
      </c>
      <c r="C197" s="26" t="str">
        <f>IF(Employees!A17="","",Employees!A17)</f>
        <v/>
      </c>
      <c r="D197" s="26" t="str">
        <f>IF(C197="","",Employees!B17)</f>
        <v/>
      </c>
      <c r="E197" s="26" t="str">
        <f>IF(C197="","",Employees!C17)</f>
        <v/>
      </c>
      <c r="F197" s="26">
        <f>IF(A197="","",MOD(A197-Settings!$B$6,4)+1)</f>
        <v>2</v>
      </c>
      <c r="G197" s="26" t="str">
        <f>IF(C197="","",INDEX(Rotation_Pattern!$B$4:$E$7,F197,MATCH(E197,{"A","B","C","D"},0)))</f>
        <v/>
      </c>
      <c r="H197" s="32" t="str">
        <f t="shared" si="10"/>
        <v/>
      </c>
      <c r="I197" s="32" t="str">
        <f>IF(OR(G197="Off",G197=""),"",H197+TIME(Settings!$B$8,0,0))</f>
        <v/>
      </c>
      <c r="J197" s="26">
        <f>IF(OR(G197="Off",G197=""),0,Settings!$B$8)</f>
        <v>0</v>
      </c>
      <c r="K197" s="25" t="s">
        <v>111</v>
      </c>
      <c r="L197" s="26" t="str">
        <f>IF(A197="","",IF(COUNTIF(Public_Holidays!$A$4:$A$80,A197)&gt;0,"Y","N"))</f>
        <v>N</v>
      </c>
      <c r="M197" s="26" t="str">
        <f t="shared" si="11"/>
        <v>Y</v>
      </c>
      <c r="N197" s="26" t="e">
        <f ca="1">IF(A197="","",_xludf.TEXTJOIN("; ",TRUE,IF(SUMIFS($J:$J,$C:$C,C197,$B:$B,B197)&gt;Settings!$B$9,"Weekly ordinary hrs &gt;45",""),IF(SUMIFS(Claims!$H:$H,Claims!$C:$C,C197,Claims!$B:$B,B197)&gt;Settings!$B$10,"Weekly OT &gt;10",""),IF(AND(G197&lt;&gt;"Off",COUNTIFS($C:$C,C197,$A:$A,A197-1,$G:$G,"Night")&gt;0),"Rest &lt;12h after night shift",""),IF(J197&gt;5,"Meal interval required","")))</f>
        <v>#NAME?</v>
      </c>
      <c r="O197" s="25" t="s">
        <v>112</v>
      </c>
      <c r="P197" s="25"/>
    </row>
    <row r="198" spans="1:16" x14ac:dyDescent="0.35">
      <c r="A198" s="31">
        <f>IF(9+1&lt;=Settings!$B$7,Settings!$B$6+9,"")</f>
        <v>46152</v>
      </c>
      <c r="B198" s="31">
        <f t="shared" si="9"/>
        <v>46146</v>
      </c>
      <c r="C198" s="26" t="str">
        <f>IF(Employees!A18="","",Employees!A18)</f>
        <v/>
      </c>
      <c r="D198" s="26" t="str">
        <f>IF(C198="","",Employees!B18)</f>
        <v/>
      </c>
      <c r="E198" s="26" t="str">
        <f>IF(C198="","",Employees!C18)</f>
        <v/>
      </c>
      <c r="F198" s="26">
        <f>IF(A198="","",MOD(A198-Settings!$B$6,4)+1)</f>
        <v>2</v>
      </c>
      <c r="G198" s="26" t="str">
        <f>IF(C198="","",INDEX(Rotation_Pattern!$B$4:$E$7,F198,MATCH(E198,{"A","B","C","D"},0)))</f>
        <v/>
      </c>
      <c r="H198" s="32" t="str">
        <f t="shared" si="10"/>
        <v/>
      </c>
      <c r="I198" s="32" t="str">
        <f>IF(OR(G198="Off",G198=""),"",H198+TIME(Settings!$B$8,0,0))</f>
        <v/>
      </c>
      <c r="J198" s="26">
        <f>IF(OR(G198="Off",G198=""),0,Settings!$B$8)</f>
        <v>0</v>
      </c>
      <c r="K198" s="25" t="s">
        <v>111</v>
      </c>
      <c r="L198" s="26" t="str">
        <f>IF(A198="","",IF(COUNTIF(Public_Holidays!$A$4:$A$80,A198)&gt;0,"Y","N"))</f>
        <v>N</v>
      </c>
      <c r="M198" s="26" t="str">
        <f t="shared" si="11"/>
        <v>Y</v>
      </c>
      <c r="N198" s="26" t="e">
        <f ca="1">IF(A198="","",_xludf.TEXTJOIN("; ",TRUE,IF(SUMIFS($J:$J,$C:$C,C198,$B:$B,B198)&gt;Settings!$B$9,"Weekly ordinary hrs &gt;45",""),IF(SUMIFS(Claims!$H:$H,Claims!$C:$C,C198,Claims!$B:$B,B198)&gt;Settings!$B$10,"Weekly OT &gt;10",""),IF(AND(G198&lt;&gt;"Off",COUNTIFS($C:$C,C198,$A:$A,A198-1,$G:$G,"Night")&gt;0),"Rest &lt;12h after night shift",""),IF(J198&gt;5,"Meal interval required","")))</f>
        <v>#NAME?</v>
      </c>
      <c r="O198" s="25" t="s">
        <v>112</v>
      </c>
      <c r="P198" s="25"/>
    </row>
    <row r="199" spans="1:16" x14ac:dyDescent="0.35">
      <c r="A199" s="31">
        <f>IF(9+1&lt;=Settings!$B$7,Settings!$B$6+9,"")</f>
        <v>46152</v>
      </c>
      <c r="B199" s="31">
        <f t="shared" si="9"/>
        <v>46146</v>
      </c>
      <c r="C199" s="26" t="str">
        <f>IF(Employees!A19="","",Employees!A19)</f>
        <v/>
      </c>
      <c r="D199" s="26" t="str">
        <f>IF(C199="","",Employees!B19)</f>
        <v/>
      </c>
      <c r="E199" s="26" t="str">
        <f>IF(C199="","",Employees!C19)</f>
        <v/>
      </c>
      <c r="F199" s="26">
        <f>IF(A199="","",MOD(A199-Settings!$B$6,4)+1)</f>
        <v>2</v>
      </c>
      <c r="G199" s="26" t="str">
        <f>IF(C199="","",INDEX(Rotation_Pattern!$B$4:$E$7,F199,MATCH(E199,{"A","B","C","D"},0)))</f>
        <v/>
      </c>
      <c r="H199" s="32" t="str">
        <f t="shared" si="10"/>
        <v/>
      </c>
      <c r="I199" s="32" t="str">
        <f>IF(OR(G199="Off",G199=""),"",H199+TIME(Settings!$B$8,0,0))</f>
        <v/>
      </c>
      <c r="J199" s="26">
        <f>IF(OR(G199="Off",G199=""),0,Settings!$B$8)</f>
        <v>0</v>
      </c>
      <c r="K199" s="25" t="s">
        <v>111</v>
      </c>
      <c r="L199" s="26" t="str">
        <f>IF(A199="","",IF(COUNTIF(Public_Holidays!$A$4:$A$80,A199)&gt;0,"Y","N"))</f>
        <v>N</v>
      </c>
      <c r="M199" s="26" t="str">
        <f t="shared" si="11"/>
        <v>Y</v>
      </c>
      <c r="N199" s="26" t="e">
        <f ca="1">IF(A199="","",_xludf.TEXTJOIN("; ",TRUE,IF(SUMIFS($J:$J,$C:$C,C199,$B:$B,B199)&gt;Settings!$B$9,"Weekly ordinary hrs &gt;45",""),IF(SUMIFS(Claims!$H:$H,Claims!$C:$C,C199,Claims!$B:$B,B199)&gt;Settings!$B$10,"Weekly OT &gt;10",""),IF(AND(G199&lt;&gt;"Off",COUNTIFS($C:$C,C199,$A:$A,A199-1,$G:$G,"Night")&gt;0),"Rest &lt;12h after night shift",""),IF(J199&gt;5,"Meal interval required","")))</f>
        <v>#NAME?</v>
      </c>
      <c r="O199" s="25" t="s">
        <v>112</v>
      </c>
      <c r="P199" s="25"/>
    </row>
    <row r="200" spans="1:16" x14ac:dyDescent="0.35">
      <c r="A200" s="31">
        <f>IF(9+1&lt;=Settings!$B$7,Settings!$B$6+9,"")</f>
        <v>46152</v>
      </c>
      <c r="B200" s="31">
        <f t="shared" si="9"/>
        <v>46146</v>
      </c>
      <c r="C200" s="26" t="str">
        <f>IF(Employees!A20="","",Employees!A20)</f>
        <v/>
      </c>
      <c r="D200" s="26" t="str">
        <f>IF(C200="","",Employees!B20)</f>
        <v/>
      </c>
      <c r="E200" s="26" t="str">
        <f>IF(C200="","",Employees!C20)</f>
        <v/>
      </c>
      <c r="F200" s="26">
        <f>IF(A200="","",MOD(A200-Settings!$B$6,4)+1)</f>
        <v>2</v>
      </c>
      <c r="G200" s="26" t="str">
        <f>IF(C200="","",INDEX(Rotation_Pattern!$B$4:$E$7,F200,MATCH(E200,{"A","B","C","D"},0)))</f>
        <v/>
      </c>
      <c r="H200" s="32" t="str">
        <f t="shared" si="10"/>
        <v/>
      </c>
      <c r="I200" s="32" t="str">
        <f>IF(OR(G200="Off",G200=""),"",H200+TIME(Settings!$B$8,0,0))</f>
        <v/>
      </c>
      <c r="J200" s="26">
        <f>IF(OR(G200="Off",G200=""),0,Settings!$B$8)</f>
        <v>0</v>
      </c>
      <c r="K200" s="25" t="s">
        <v>111</v>
      </c>
      <c r="L200" s="26" t="str">
        <f>IF(A200="","",IF(COUNTIF(Public_Holidays!$A$4:$A$80,A200)&gt;0,"Y","N"))</f>
        <v>N</v>
      </c>
      <c r="M200" s="26" t="str">
        <f t="shared" si="11"/>
        <v>Y</v>
      </c>
      <c r="N200" s="26" t="e">
        <f ca="1">IF(A200="","",_xludf.TEXTJOIN("; ",TRUE,IF(SUMIFS($J:$J,$C:$C,C200,$B:$B,B200)&gt;Settings!$B$9,"Weekly ordinary hrs &gt;45",""),IF(SUMIFS(Claims!$H:$H,Claims!$C:$C,C200,Claims!$B:$B,B200)&gt;Settings!$B$10,"Weekly OT &gt;10",""),IF(AND(G200&lt;&gt;"Off",COUNTIFS($C:$C,C200,$A:$A,A200-1,$G:$G,"Night")&gt;0),"Rest &lt;12h after night shift",""),IF(J200&gt;5,"Meal interval required","")))</f>
        <v>#NAME?</v>
      </c>
      <c r="O200" s="25" t="s">
        <v>112</v>
      </c>
      <c r="P200" s="25"/>
    </row>
    <row r="201" spans="1:16" x14ac:dyDescent="0.35">
      <c r="A201" s="31">
        <f>IF(9+1&lt;=Settings!$B$7,Settings!$B$6+9,"")</f>
        <v>46152</v>
      </c>
      <c r="B201" s="31">
        <f t="shared" si="9"/>
        <v>46146</v>
      </c>
      <c r="C201" s="26" t="str">
        <f>IF(Employees!A21="","",Employees!A21)</f>
        <v/>
      </c>
      <c r="D201" s="26" t="str">
        <f>IF(C201="","",Employees!B21)</f>
        <v/>
      </c>
      <c r="E201" s="26" t="str">
        <f>IF(C201="","",Employees!C21)</f>
        <v/>
      </c>
      <c r="F201" s="26">
        <f>IF(A201="","",MOD(A201-Settings!$B$6,4)+1)</f>
        <v>2</v>
      </c>
      <c r="G201" s="26" t="str">
        <f>IF(C201="","",INDEX(Rotation_Pattern!$B$4:$E$7,F201,MATCH(E201,{"A","B","C","D"},0)))</f>
        <v/>
      </c>
      <c r="H201" s="32" t="str">
        <f t="shared" si="10"/>
        <v/>
      </c>
      <c r="I201" s="32" t="str">
        <f>IF(OR(G201="Off",G201=""),"",H201+TIME(Settings!$B$8,0,0))</f>
        <v/>
      </c>
      <c r="J201" s="26">
        <f>IF(OR(G201="Off",G201=""),0,Settings!$B$8)</f>
        <v>0</v>
      </c>
      <c r="K201" s="25" t="s">
        <v>111</v>
      </c>
      <c r="L201" s="26" t="str">
        <f>IF(A201="","",IF(COUNTIF(Public_Holidays!$A$4:$A$80,A201)&gt;0,"Y","N"))</f>
        <v>N</v>
      </c>
      <c r="M201" s="26" t="str">
        <f t="shared" si="11"/>
        <v>Y</v>
      </c>
      <c r="N201" s="26" t="e">
        <f ca="1">IF(A201="","",_xludf.TEXTJOIN("; ",TRUE,IF(SUMIFS($J:$J,$C:$C,C201,$B:$B,B201)&gt;Settings!$B$9,"Weekly ordinary hrs &gt;45",""),IF(SUMIFS(Claims!$H:$H,Claims!$C:$C,C201,Claims!$B:$B,B201)&gt;Settings!$B$10,"Weekly OT &gt;10",""),IF(AND(G201&lt;&gt;"Off",COUNTIFS($C:$C,C201,$A:$A,A201-1,$G:$G,"Night")&gt;0),"Rest &lt;12h after night shift",""),IF(J201&gt;5,"Meal interval required","")))</f>
        <v>#NAME?</v>
      </c>
      <c r="O201" s="25" t="s">
        <v>112</v>
      </c>
      <c r="P201" s="25"/>
    </row>
    <row r="202" spans="1:16" x14ac:dyDescent="0.35">
      <c r="A202" s="31">
        <f>IF(9+1&lt;=Settings!$B$7,Settings!$B$6+9,"")</f>
        <v>46152</v>
      </c>
      <c r="B202" s="31">
        <f t="shared" si="9"/>
        <v>46146</v>
      </c>
      <c r="C202" s="26" t="str">
        <f>IF(Employees!A22="","",Employees!A22)</f>
        <v/>
      </c>
      <c r="D202" s="26" t="str">
        <f>IF(C202="","",Employees!B22)</f>
        <v/>
      </c>
      <c r="E202" s="26" t="str">
        <f>IF(C202="","",Employees!C22)</f>
        <v/>
      </c>
      <c r="F202" s="26">
        <f>IF(A202="","",MOD(A202-Settings!$B$6,4)+1)</f>
        <v>2</v>
      </c>
      <c r="G202" s="26" t="str">
        <f>IF(C202="","",INDEX(Rotation_Pattern!$B$4:$E$7,F202,MATCH(E202,{"A","B","C","D"},0)))</f>
        <v/>
      </c>
      <c r="H202" s="32" t="str">
        <f t="shared" si="10"/>
        <v/>
      </c>
      <c r="I202" s="32" t="str">
        <f>IF(OR(G202="Off",G202=""),"",H202+TIME(Settings!$B$8,0,0))</f>
        <v/>
      </c>
      <c r="J202" s="26">
        <f>IF(OR(G202="Off",G202=""),0,Settings!$B$8)</f>
        <v>0</v>
      </c>
      <c r="K202" s="25" t="s">
        <v>111</v>
      </c>
      <c r="L202" s="26" t="str">
        <f>IF(A202="","",IF(COUNTIF(Public_Holidays!$A$4:$A$80,A202)&gt;0,"Y","N"))</f>
        <v>N</v>
      </c>
      <c r="M202" s="26" t="str">
        <f t="shared" si="11"/>
        <v>Y</v>
      </c>
      <c r="N202" s="26" t="e">
        <f ca="1">IF(A202="","",_xludf.TEXTJOIN("; ",TRUE,IF(SUMIFS($J:$J,$C:$C,C202,$B:$B,B202)&gt;Settings!$B$9,"Weekly ordinary hrs &gt;45",""),IF(SUMIFS(Claims!$H:$H,Claims!$C:$C,C202,Claims!$B:$B,B202)&gt;Settings!$B$10,"Weekly OT &gt;10",""),IF(AND(G202&lt;&gt;"Off",COUNTIFS($C:$C,C202,$A:$A,A202-1,$G:$G,"Night")&gt;0),"Rest &lt;12h after night shift",""),IF(J202&gt;5,"Meal interval required","")))</f>
        <v>#NAME?</v>
      </c>
      <c r="O202" s="25" t="s">
        <v>112</v>
      </c>
      <c r="P202" s="25"/>
    </row>
    <row r="203" spans="1:16" x14ac:dyDescent="0.35">
      <c r="A203" s="31">
        <f>IF(9+1&lt;=Settings!$B$7,Settings!$B$6+9,"")</f>
        <v>46152</v>
      </c>
      <c r="B203" s="31">
        <f t="shared" si="9"/>
        <v>46146</v>
      </c>
      <c r="C203" s="26" t="str">
        <f>IF(Employees!A23="","",Employees!A23)</f>
        <v/>
      </c>
      <c r="D203" s="26" t="str">
        <f>IF(C203="","",Employees!B23)</f>
        <v/>
      </c>
      <c r="E203" s="26" t="str">
        <f>IF(C203="","",Employees!C23)</f>
        <v/>
      </c>
      <c r="F203" s="26">
        <f>IF(A203="","",MOD(A203-Settings!$B$6,4)+1)</f>
        <v>2</v>
      </c>
      <c r="G203" s="26" t="str">
        <f>IF(C203="","",INDEX(Rotation_Pattern!$B$4:$E$7,F203,MATCH(E203,{"A","B","C","D"},0)))</f>
        <v/>
      </c>
      <c r="H203" s="32" t="str">
        <f t="shared" si="10"/>
        <v/>
      </c>
      <c r="I203" s="32" t="str">
        <f>IF(OR(G203="Off",G203=""),"",H203+TIME(Settings!$B$8,0,0))</f>
        <v/>
      </c>
      <c r="J203" s="26">
        <f>IF(OR(G203="Off",G203=""),0,Settings!$B$8)</f>
        <v>0</v>
      </c>
      <c r="K203" s="25" t="s">
        <v>111</v>
      </c>
      <c r="L203" s="26" t="str">
        <f>IF(A203="","",IF(COUNTIF(Public_Holidays!$A$4:$A$80,A203)&gt;0,"Y","N"))</f>
        <v>N</v>
      </c>
      <c r="M203" s="26" t="str">
        <f t="shared" si="11"/>
        <v>Y</v>
      </c>
      <c r="N203" s="26" t="e">
        <f ca="1">IF(A203="","",_xludf.TEXTJOIN("; ",TRUE,IF(SUMIFS($J:$J,$C:$C,C203,$B:$B,B203)&gt;Settings!$B$9,"Weekly ordinary hrs &gt;45",""),IF(SUMIFS(Claims!$H:$H,Claims!$C:$C,C203,Claims!$B:$B,B203)&gt;Settings!$B$10,"Weekly OT &gt;10",""),IF(AND(G203&lt;&gt;"Off",COUNTIFS($C:$C,C203,$A:$A,A203-1,$G:$G,"Night")&gt;0),"Rest &lt;12h after night shift",""),IF(J203&gt;5,"Meal interval required","")))</f>
        <v>#NAME?</v>
      </c>
      <c r="O203" s="25" t="s">
        <v>112</v>
      </c>
      <c r="P203" s="25"/>
    </row>
    <row r="204" spans="1:16" x14ac:dyDescent="0.35">
      <c r="A204" s="31">
        <f>IF(10+1&lt;=Settings!$B$7,Settings!$B$6+10,"")</f>
        <v>46153</v>
      </c>
      <c r="B204" s="31">
        <f t="shared" si="9"/>
        <v>46153</v>
      </c>
      <c r="C204" s="26" t="str">
        <f>IF(Employees!A4="","",Employees!A4)</f>
        <v>E001</v>
      </c>
      <c r="D204" s="26" t="str">
        <f>IF(C204="","",Employees!B4)</f>
        <v>Musiwa Khavalani</v>
      </c>
      <c r="E204" s="26">
        <f>IF(C204="","",Employees!C4)</f>
        <v>0</v>
      </c>
      <c r="F204" s="26">
        <f>IF(A204="","",MOD(A204-Settings!$B$6,4)+1)</f>
        <v>3</v>
      </c>
      <c r="G204" s="26" t="e">
        <f>IF(C204="","",INDEX(Rotation_Pattern!$B$4:$E$7,F204,MATCH(E204,{"A","B","C","D"},0)))</f>
        <v>#N/A</v>
      </c>
      <c r="H204" s="32" t="e">
        <f t="shared" si="10"/>
        <v>#N/A</v>
      </c>
      <c r="I204" s="32" t="e">
        <f>IF(OR(G204="Off",G204=""),"",H204+TIME(Settings!$B$8,0,0))</f>
        <v>#N/A</v>
      </c>
      <c r="J204" s="26" t="e">
        <f>IF(OR(G204="Off",G204=""),0,Settings!$B$8)</f>
        <v>#N/A</v>
      </c>
      <c r="K204" s="25" t="s">
        <v>111</v>
      </c>
      <c r="L204" s="26" t="str">
        <f>IF(A204="","",IF(COUNTIF(Public_Holidays!$A$4:$A$80,A204)&gt;0,"Y","N"))</f>
        <v>N</v>
      </c>
      <c r="M204" s="26" t="str">
        <f t="shared" si="11"/>
        <v>N</v>
      </c>
      <c r="N204" s="26" t="e">
        <f ca="1">IF(A204="","",_xludf.TEXTJOIN("; ",TRUE,IF(SUMIFS($J:$J,$C:$C,C204,$B:$B,B204)&gt;Settings!$B$9,"Weekly ordinary hrs &gt;45",""),IF(SUMIFS(Claims!$H:$H,Claims!$C:$C,C204,Claims!$B:$B,B204)&gt;Settings!$B$10,"Weekly OT &gt;10",""),IF(AND(G204&lt;&gt;"Off",COUNTIFS($C:$C,C204,$A:$A,A204-1,$G:$G,"Night")&gt;0),"Rest &lt;12h after night shift",""),IF(J204&gt;5,"Meal interval required","")))</f>
        <v>#NAME?</v>
      </c>
      <c r="O204" s="25" t="s">
        <v>112</v>
      </c>
      <c r="P204" s="25"/>
    </row>
    <row r="205" spans="1:16" x14ac:dyDescent="0.35">
      <c r="A205" s="31">
        <f>IF(10+1&lt;=Settings!$B$7,Settings!$B$6+10,"")</f>
        <v>46153</v>
      </c>
      <c r="B205" s="31">
        <f t="shared" si="9"/>
        <v>46153</v>
      </c>
      <c r="C205" s="26" t="str">
        <f>IF(Employees!A5="","",Employees!A5)</f>
        <v>E002</v>
      </c>
      <c r="D205" s="26" t="str">
        <f>IF(C205="","",Employees!B5)</f>
        <v>Mpho  Nembemhia</v>
      </c>
      <c r="E205" s="26" t="str">
        <f>IF(C205="","",Employees!C5)</f>
        <v>B</v>
      </c>
      <c r="F205" s="26">
        <f>IF(A205="","",MOD(A205-Settings!$B$6,4)+1)</f>
        <v>3</v>
      </c>
      <c r="G205" s="26" t="str">
        <f>IF(C205="","",INDEX(Rotation_Pattern!$B$4:$E$7,F205,MATCH(E205,{"A","B","C","D"},0)))</f>
        <v>Evening</v>
      </c>
      <c r="H205" s="32">
        <f t="shared" si="10"/>
        <v>0.58333333333333337</v>
      </c>
      <c r="I205" s="32">
        <f>IF(OR(G205="Off",G205=""),"",H205+TIME(Settings!$B$8,0,0))</f>
        <v>0.91666666666666674</v>
      </c>
      <c r="J205" s="26">
        <f>IF(OR(G205="Off",G205=""),0,Settings!$B$8)</f>
        <v>8</v>
      </c>
      <c r="K205" s="25" t="s">
        <v>111</v>
      </c>
      <c r="L205" s="26" t="str">
        <f>IF(A205="","",IF(COUNTIF(Public_Holidays!$A$4:$A$80,A205)&gt;0,"Y","N"))</f>
        <v>N</v>
      </c>
      <c r="M205" s="26" t="str">
        <f t="shared" si="11"/>
        <v>N</v>
      </c>
      <c r="N205" s="26" t="e">
        <f ca="1">IF(A205="","",_xludf.TEXTJOIN("; ",TRUE,IF(SUMIFS($J:$J,$C:$C,C205,$B:$B,B205)&gt;Settings!$B$9,"Weekly ordinary hrs &gt;45",""),IF(SUMIFS(Claims!$H:$H,Claims!$C:$C,C205,Claims!$B:$B,B205)&gt;Settings!$B$10,"Weekly OT &gt;10",""),IF(AND(G205&lt;&gt;"Off",COUNTIFS($C:$C,C205,$A:$A,A205-1,$G:$G,"Night")&gt;0),"Rest &lt;12h after night shift",""),IF(J205&gt;5,"Meal interval required","")))</f>
        <v>#NAME?</v>
      </c>
      <c r="O205" s="25" t="s">
        <v>112</v>
      </c>
      <c r="P205" s="25"/>
    </row>
    <row r="206" spans="1:16" x14ac:dyDescent="0.35">
      <c r="A206" s="31">
        <f>IF(10+1&lt;=Settings!$B$7,Settings!$B$6+10,"")</f>
        <v>46153</v>
      </c>
      <c r="B206" s="31">
        <f t="shared" si="9"/>
        <v>46153</v>
      </c>
      <c r="C206" s="26" t="str">
        <f>IF(Employees!A6="","",Employees!A6)</f>
        <v>E003</v>
      </c>
      <c r="D206" s="26" t="str">
        <f>IF(C206="","",Employees!B6)</f>
        <v>Dimpho Makhafola</v>
      </c>
      <c r="E206" s="26" t="str">
        <f>IF(C206="","",Employees!C6)</f>
        <v>C</v>
      </c>
      <c r="F206" s="26">
        <f>IF(A206="","",MOD(A206-Settings!$B$6,4)+1)</f>
        <v>3</v>
      </c>
      <c r="G206" s="26" t="str">
        <f>IF(C206="","",INDEX(Rotation_Pattern!$B$4:$E$7,F206,MATCH(E206,{"A","B","C","D"},0)))</f>
        <v>Day</v>
      </c>
      <c r="H206" s="32">
        <f t="shared" si="10"/>
        <v>0.25</v>
      </c>
      <c r="I206" s="32">
        <f>IF(OR(G206="Off",G206=""),"",H206+TIME(Settings!$B$8,0,0))</f>
        <v>0.58333333333333326</v>
      </c>
      <c r="J206" s="26">
        <f>IF(OR(G206="Off",G206=""),0,Settings!$B$8)</f>
        <v>8</v>
      </c>
      <c r="K206" s="25" t="s">
        <v>111</v>
      </c>
      <c r="L206" s="26" t="str">
        <f>IF(A206="","",IF(COUNTIF(Public_Holidays!$A$4:$A$80,A206)&gt;0,"Y","N"))</f>
        <v>N</v>
      </c>
      <c r="M206" s="26" t="str">
        <f t="shared" si="11"/>
        <v>N</v>
      </c>
      <c r="N206" s="26" t="e">
        <f ca="1">IF(A206="","",_xludf.TEXTJOIN("; ",TRUE,IF(SUMIFS($J:$J,$C:$C,C206,$B:$B,B206)&gt;Settings!$B$9,"Weekly ordinary hrs &gt;45",""),IF(SUMIFS(Claims!$H:$H,Claims!$C:$C,C206,Claims!$B:$B,B206)&gt;Settings!$B$10,"Weekly OT &gt;10",""),IF(AND(G206&lt;&gt;"Off",COUNTIFS($C:$C,C206,$A:$A,A206-1,$G:$G,"Night")&gt;0),"Rest &lt;12h after night shift",""),IF(J206&gt;5,"Meal interval required","")))</f>
        <v>#NAME?</v>
      </c>
      <c r="O206" s="25" t="s">
        <v>112</v>
      </c>
      <c r="P206" s="25"/>
    </row>
    <row r="207" spans="1:16" x14ac:dyDescent="0.35">
      <c r="A207" s="31">
        <f>IF(10+1&lt;=Settings!$B$7,Settings!$B$6+10,"")</f>
        <v>46153</v>
      </c>
      <c r="B207" s="31">
        <f t="shared" si="9"/>
        <v>46153</v>
      </c>
      <c r="C207" s="26" t="str">
        <f>IF(Employees!A7="","",Employees!A7)</f>
        <v>E004</v>
      </c>
      <c r="D207" s="26" t="str">
        <f>IF(C207="","",Employees!B7)</f>
        <v>Bashii Fall</v>
      </c>
      <c r="E207" s="26" t="str">
        <f>IF(C207="","",Employees!C7)</f>
        <v>D</v>
      </c>
      <c r="F207" s="26">
        <f>IF(A207="","",MOD(A207-Settings!$B$6,4)+1)</f>
        <v>3</v>
      </c>
      <c r="G207" s="26" t="str">
        <f>IF(C207="","",INDEX(Rotation_Pattern!$B$4:$E$7,F207,MATCH(E207,{"A","B","C","D"},0)))</f>
        <v>Off</v>
      </c>
      <c r="H207" s="32" t="str">
        <f t="shared" si="10"/>
        <v/>
      </c>
      <c r="I207" s="32" t="str">
        <f>IF(OR(G207="Off",G207=""),"",H207+TIME(Settings!$B$8,0,0))</f>
        <v/>
      </c>
      <c r="J207" s="26">
        <f>IF(OR(G207="Off",G207=""),0,Settings!$B$8)</f>
        <v>0</v>
      </c>
      <c r="K207" s="25" t="s">
        <v>111</v>
      </c>
      <c r="L207" s="26" t="str">
        <f>IF(A207="","",IF(COUNTIF(Public_Holidays!$A$4:$A$80,A207)&gt;0,"Y","N"))</f>
        <v>N</v>
      </c>
      <c r="M207" s="26" t="str">
        <f t="shared" si="11"/>
        <v>N</v>
      </c>
      <c r="N207" s="26" t="e">
        <f ca="1">IF(A207="","",_xludf.TEXTJOIN("; ",TRUE,IF(SUMIFS($J:$J,$C:$C,C207,$B:$B,B207)&gt;Settings!$B$9,"Weekly ordinary hrs &gt;45",""),IF(SUMIFS(Claims!$H:$H,Claims!$C:$C,C207,Claims!$B:$B,B207)&gt;Settings!$B$10,"Weekly OT &gt;10",""),IF(AND(G207&lt;&gt;"Off",COUNTIFS($C:$C,C207,$A:$A,A207-1,$G:$G,"Night")&gt;0),"Rest &lt;12h after night shift",""),IF(J207&gt;5,"Meal interval required","")))</f>
        <v>#NAME?</v>
      </c>
      <c r="O207" s="25" t="s">
        <v>112</v>
      </c>
      <c r="P207" s="25"/>
    </row>
    <row r="208" spans="1:16" x14ac:dyDescent="0.35">
      <c r="A208" s="31">
        <f>IF(10+1&lt;=Settings!$B$7,Settings!$B$6+10,"")</f>
        <v>46153</v>
      </c>
      <c r="B208" s="31">
        <f t="shared" si="9"/>
        <v>46153</v>
      </c>
      <c r="C208" s="26" t="str">
        <f>IF(Employees!A8="","",Employees!A8)</f>
        <v>E005</v>
      </c>
      <c r="D208" s="26" t="str">
        <f>IF(C208="","",Employees!B8)</f>
        <v>Lesego Aphane</v>
      </c>
      <c r="E208" s="26" t="str">
        <f>IF(C208="","",Employees!C8)</f>
        <v>A</v>
      </c>
      <c r="F208" s="26">
        <f>IF(A208="","",MOD(A208-Settings!$B$6,4)+1)</f>
        <v>3</v>
      </c>
      <c r="G208" s="26" t="str">
        <f>IF(C208="","",INDEX(Rotation_Pattern!$B$4:$E$7,F208,MATCH(E208,{"A","B","C","D"},0)))</f>
        <v>Night</v>
      </c>
      <c r="H208" s="32">
        <f t="shared" si="10"/>
        <v>0.91666666666666663</v>
      </c>
      <c r="I208" s="32">
        <f>IF(OR(G208="Off",G208=""),"",H208+TIME(Settings!$B$8,0,0))</f>
        <v>1.25</v>
      </c>
      <c r="J208" s="26">
        <f>IF(OR(G208="Off",G208=""),0,Settings!$B$8)</f>
        <v>8</v>
      </c>
      <c r="K208" s="25" t="s">
        <v>111</v>
      </c>
      <c r="L208" s="26" t="str">
        <f>IF(A208="","",IF(COUNTIF(Public_Holidays!$A$4:$A$80,A208)&gt;0,"Y","N"))</f>
        <v>N</v>
      </c>
      <c r="M208" s="26" t="str">
        <f t="shared" si="11"/>
        <v>N</v>
      </c>
      <c r="N208" s="26" t="e">
        <f ca="1">IF(A208="","",_xludf.TEXTJOIN("; ",TRUE,IF(SUMIFS($J:$J,$C:$C,C208,$B:$B,B208)&gt;Settings!$B$9,"Weekly ordinary hrs &gt;45",""),IF(SUMIFS(Claims!$H:$H,Claims!$C:$C,C208,Claims!$B:$B,B208)&gt;Settings!$B$10,"Weekly OT &gt;10",""),IF(AND(G208&lt;&gt;"Off",COUNTIFS($C:$C,C208,$A:$A,A208-1,$G:$G,"Night")&gt;0),"Rest &lt;12h after night shift",""),IF(J208&gt;5,"Meal interval required","")))</f>
        <v>#NAME?</v>
      </c>
      <c r="O208" s="25" t="s">
        <v>112</v>
      </c>
      <c r="P208" s="25"/>
    </row>
    <row r="209" spans="1:16" x14ac:dyDescent="0.35">
      <c r="A209" s="31">
        <f>IF(10+1&lt;=Settings!$B$7,Settings!$B$6+10,"")</f>
        <v>46153</v>
      </c>
      <c r="B209" s="31">
        <f t="shared" si="9"/>
        <v>46153</v>
      </c>
      <c r="C209" s="26" t="str">
        <f>IF(Employees!A9="","",Employees!A9)</f>
        <v>E006</v>
      </c>
      <c r="D209" s="26" t="str">
        <f>IF(C209="","",Employees!B9)</f>
        <v>Nhalnahla</v>
      </c>
      <c r="E209" s="26" t="str">
        <f>IF(C209="","",Employees!C9)</f>
        <v>B</v>
      </c>
      <c r="F209" s="26">
        <f>IF(A209="","",MOD(A209-Settings!$B$6,4)+1)</f>
        <v>3</v>
      </c>
      <c r="G209" s="26" t="str">
        <f>IF(C209="","",INDEX(Rotation_Pattern!$B$4:$E$7,F209,MATCH(E209,{"A","B","C","D"},0)))</f>
        <v>Evening</v>
      </c>
      <c r="H209" s="32">
        <f t="shared" si="10"/>
        <v>0.58333333333333337</v>
      </c>
      <c r="I209" s="32">
        <f>IF(OR(G209="Off",G209=""),"",H209+TIME(Settings!$B$8,0,0))</f>
        <v>0.91666666666666674</v>
      </c>
      <c r="J209" s="26">
        <f>IF(OR(G209="Off",G209=""),0,Settings!$B$8)</f>
        <v>8</v>
      </c>
      <c r="K209" s="25" t="s">
        <v>111</v>
      </c>
      <c r="L209" s="26" t="str">
        <f>IF(A209="","",IF(COUNTIF(Public_Holidays!$A$4:$A$80,A209)&gt;0,"Y","N"))</f>
        <v>N</v>
      </c>
      <c r="M209" s="26" t="str">
        <f t="shared" si="11"/>
        <v>N</v>
      </c>
      <c r="N209" s="26" t="e">
        <f ca="1">IF(A209="","",_xludf.TEXTJOIN("; ",TRUE,IF(SUMIFS($J:$J,$C:$C,C209,$B:$B,B209)&gt;Settings!$B$9,"Weekly ordinary hrs &gt;45",""),IF(SUMIFS(Claims!$H:$H,Claims!$C:$C,C209,Claims!$B:$B,B209)&gt;Settings!$B$10,"Weekly OT &gt;10",""),IF(AND(G209&lt;&gt;"Off",COUNTIFS($C:$C,C209,$A:$A,A209-1,$G:$G,"Night")&gt;0),"Rest &lt;12h after night shift",""),IF(J209&gt;5,"Meal interval required","")))</f>
        <v>#NAME?</v>
      </c>
      <c r="O209" s="25" t="s">
        <v>112</v>
      </c>
      <c r="P209" s="25"/>
    </row>
    <row r="210" spans="1:16" x14ac:dyDescent="0.35">
      <c r="A210" s="31">
        <f>IF(10+1&lt;=Settings!$B$7,Settings!$B$6+10,"")</f>
        <v>46153</v>
      </c>
      <c r="B210" s="31">
        <f t="shared" si="9"/>
        <v>46153</v>
      </c>
      <c r="C210" s="26" t="str">
        <f>IF(Employees!A10="","",Employees!A10)</f>
        <v>E007</v>
      </c>
      <c r="D210" s="26" t="str">
        <f>IF(C210="","",Employees!B10)</f>
        <v>Joe</v>
      </c>
      <c r="E210" s="26" t="str">
        <f>IF(C210="","",Employees!C10)</f>
        <v>C</v>
      </c>
      <c r="F210" s="26">
        <f>IF(A210="","",MOD(A210-Settings!$B$6,4)+1)</f>
        <v>3</v>
      </c>
      <c r="G210" s="26" t="str">
        <f>IF(C210="","",INDEX(Rotation_Pattern!$B$4:$E$7,F210,MATCH(E210,{"A","B","C","D"},0)))</f>
        <v>Day</v>
      </c>
      <c r="H210" s="32">
        <f t="shared" si="10"/>
        <v>0.25</v>
      </c>
      <c r="I210" s="32">
        <f>IF(OR(G210="Off",G210=""),"",H210+TIME(Settings!$B$8,0,0))</f>
        <v>0.58333333333333326</v>
      </c>
      <c r="J210" s="26">
        <f>IF(OR(G210="Off",G210=""),0,Settings!$B$8)</f>
        <v>8</v>
      </c>
      <c r="K210" s="25" t="s">
        <v>111</v>
      </c>
      <c r="L210" s="26" t="str">
        <f>IF(A210="","",IF(COUNTIF(Public_Holidays!$A$4:$A$80,A210)&gt;0,"Y","N"))</f>
        <v>N</v>
      </c>
      <c r="M210" s="26" t="str">
        <f t="shared" si="11"/>
        <v>N</v>
      </c>
      <c r="N210" s="26" t="e">
        <f ca="1">IF(A210="","",_xludf.TEXTJOIN("; ",TRUE,IF(SUMIFS($J:$J,$C:$C,C210,$B:$B,B210)&gt;Settings!$B$9,"Weekly ordinary hrs &gt;45",""),IF(SUMIFS(Claims!$H:$H,Claims!$C:$C,C210,Claims!$B:$B,B210)&gt;Settings!$B$10,"Weekly OT &gt;10",""),IF(AND(G210&lt;&gt;"Off",COUNTIFS($C:$C,C210,$A:$A,A210-1,$G:$G,"Night")&gt;0),"Rest &lt;12h after night shift",""),IF(J210&gt;5,"Meal interval required","")))</f>
        <v>#NAME?</v>
      </c>
      <c r="O210" s="25" t="s">
        <v>112</v>
      </c>
      <c r="P210" s="25"/>
    </row>
    <row r="211" spans="1:16" x14ac:dyDescent="0.35">
      <c r="A211" s="31">
        <f>IF(10+1&lt;=Settings!$B$7,Settings!$B$6+10,"")</f>
        <v>46153</v>
      </c>
      <c r="B211" s="31">
        <f t="shared" si="9"/>
        <v>46153</v>
      </c>
      <c r="C211" s="26" t="str">
        <f>IF(Employees!A11="","",Employees!A11)</f>
        <v>E008</v>
      </c>
      <c r="D211" s="26" t="str">
        <f>IF(C211="","",Employees!B11)</f>
        <v>Tim</v>
      </c>
      <c r="E211" s="26" t="str">
        <f>IF(C211="","",Employees!C11)</f>
        <v>D</v>
      </c>
      <c r="F211" s="26">
        <f>IF(A211="","",MOD(A211-Settings!$B$6,4)+1)</f>
        <v>3</v>
      </c>
      <c r="G211" s="26" t="str">
        <f>IF(C211="","",INDEX(Rotation_Pattern!$B$4:$E$7,F211,MATCH(E211,{"A","B","C","D"},0)))</f>
        <v>Off</v>
      </c>
      <c r="H211" s="32" t="str">
        <f t="shared" si="10"/>
        <v/>
      </c>
      <c r="I211" s="32" t="str">
        <f>IF(OR(G211="Off",G211=""),"",H211+TIME(Settings!$B$8,0,0))</f>
        <v/>
      </c>
      <c r="J211" s="26">
        <f>IF(OR(G211="Off",G211=""),0,Settings!$B$8)</f>
        <v>0</v>
      </c>
      <c r="K211" s="25" t="s">
        <v>111</v>
      </c>
      <c r="L211" s="26" t="str">
        <f>IF(A211="","",IF(COUNTIF(Public_Holidays!$A$4:$A$80,A211)&gt;0,"Y","N"))</f>
        <v>N</v>
      </c>
      <c r="M211" s="26" t="str">
        <f t="shared" si="11"/>
        <v>N</v>
      </c>
      <c r="N211" s="26" t="e">
        <f ca="1">IF(A211="","",_xludf.TEXTJOIN("; ",TRUE,IF(SUMIFS($J:$J,$C:$C,C211,$B:$B,B211)&gt;Settings!$B$9,"Weekly ordinary hrs &gt;45",""),IF(SUMIFS(Claims!$H:$H,Claims!$C:$C,C211,Claims!$B:$B,B211)&gt;Settings!$B$10,"Weekly OT &gt;10",""),IF(AND(G211&lt;&gt;"Off",COUNTIFS($C:$C,C211,$A:$A,A211-1,$G:$G,"Night")&gt;0),"Rest &lt;12h after night shift",""),IF(J211&gt;5,"Meal interval required","")))</f>
        <v>#NAME?</v>
      </c>
      <c r="O211" s="25" t="s">
        <v>112</v>
      </c>
      <c r="P211" s="25"/>
    </row>
    <row r="212" spans="1:16" x14ac:dyDescent="0.35">
      <c r="A212" s="31">
        <f>IF(10+1&lt;=Settings!$B$7,Settings!$B$6+10,"")</f>
        <v>46153</v>
      </c>
      <c r="B212" s="31">
        <f t="shared" si="9"/>
        <v>46153</v>
      </c>
      <c r="C212" s="26" t="str">
        <f>IF(Employees!A12="","",Employees!A12)</f>
        <v>E009</v>
      </c>
      <c r="D212" s="26" t="str">
        <f>IF(C212="","",Employees!B12)</f>
        <v>Frank</v>
      </c>
      <c r="E212" s="26" t="str">
        <f>IF(C212="","",Employees!C12)</f>
        <v>A</v>
      </c>
      <c r="F212" s="26">
        <f>IF(A212="","",MOD(A212-Settings!$B$6,4)+1)</f>
        <v>3</v>
      </c>
      <c r="G212" s="26" t="str">
        <f>IF(C212="","",INDEX(Rotation_Pattern!$B$4:$E$7,F212,MATCH(E212,{"A","B","C","D"},0)))</f>
        <v>Night</v>
      </c>
      <c r="H212" s="32">
        <f t="shared" si="10"/>
        <v>0.91666666666666663</v>
      </c>
      <c r="I212" s="32">
        <f>IF(OR(G212="Off",G212=""),"",H212+TIME(Settings!$B$8,0,0))</f>
        <v>1.25</v>
      </c>
      <c r="J212" s="26">
        <f>IF(OR(G212="Off",G212=""),0,Settings!$B$8)</f>
        <v>8</v>
      </c>
      <c r="K212" s="25" t="s">
        <v>111</v>
      </c>
      <c r="L212" s="26" t="str">
        <f>IF(A212="","",IF(COUNTIF(Public_Holidays!$A$4:$A$80,A212)&gt;0,"Y","N"))</f>
        <v>N</v>
      </c>
      <c r="M212" s="26" t="str">
        <f t="shared" si="11"/>
        <v>N</v>
      </c>
      <c r="N212" s="26" t="e">
        <f ca="1">IF(A212="","",_xludf.TEXTJOIN("; ",TRUE,IF(SUMIFS($J:$J,$C:$C,C212,$B:$B,B212)&gt;Settings!$B$9,"Weekly ordinary hrs &gt;45",""),IF(SUMIFS(Claims!$H:$H,Claims!$C:$C,C212,Claims!$B:$B,B212)&gt;Settings!$B$10,"Weekly OT &gt;10",""),IF(AND(G212&lt;&gt;"Off",COUNTIFS($C:$C,C212,$A:$A,A212-1,$G:$G,"Night")&gt;0),"Rest &lt;12h after night shift",""),IF(J212&gt;5,"Meal interval required","")))</f>
        <v>#NAME?</v>
      </c>
      <c r="O212" s="25" t="s">
        <v>112</v>
      </c>
      <c r="P212" s="25"/>
    </row>
    <row r="213" spans="1:16" x14ac:dyDescent="0.35">
      <c r="A213" s="31">
        <f>IF(10+1&lt;=Settings!$B$7,Settings!$B$6+10,"")</f>
        <v>46153</v>
      </c>
      <c r="B213" s="31">
        <f t="shared" si="9"/>
        <v>46153</v>
      </c>
      <c r="C213" s="26" t="str">
        <f>IF(Employees!A13="","",Employees!A13)</f>
        <v/>
      </c>
      <c r="D213" s="26" t="str">
        <f>IF(C213="","",Employees!B13)</f>
        <v/>
      </c>
      <c r="E213" s="26" t="str">
        <f>IF(C213="","",Employees!C13)</f>
        <v/>
      </c>
      <c r="F213" s="26">
        <f>IF(A213="","",MOD(A213-Settings!$B$6,4)+1)</f>
        <v>3</v>
      </c>
      <c r="G213" s="26" t="str">
        <f>IF(C213="","",INDEX(Rotation_Pattern!$B$4:$E$7,F213,MATCH(E213,{"A","B","C","D"},0)))</f>
        <v/>
      </c>
      <c r="H213" s="32" t="str">
        <f t="shared" si="10"/>
        <v/>
      </c>
      <c r="I213" s="32" t="str">
        <f>IF(OR(G213="Off",G213=""),"",H213+TIME(Settings!$B$8,0,0))</f>
        <v/>
      </c>
      <c r="J213" s="26">
        <f>IF(OR(G213="Off",G213=""),0,Settings!$B$8)</f>
        <v>0</v>
      </c>
      <c r="K213" s="25" t="s">
        <v>111</v>
      </c>
      <c r="L213" s="26" t="str">
        <f>IF(A213="","",IF(COUNTIF(Public_Holidays!$A$4:$A$80,A213)&gt;0,"Y","N"))</f>
        <v>N</v>
      </c>
      <c r="M213" s="26" t="str">
        <f t="shared" si="11"/>
        <v>N</v>
      </c>
      <c r="N213" s="26" t="e">
        <f ca="1">IF(A213="","",_xludf.TEXTJOIN("; ",TRUE,IF(SUMIFS($J:$J,$C:$C,C213,$B:$B,B213)&gt;Settings!$B$9,"Weekly ordinary hrs &gt;45",""),IF(SUMIFS(Claims!$H:$H,Claims!$C:$C,C213,Claims!$B:$B,B213)&gt;Settings!$B$10,"Weekly OT &gt;10",""),IF(AND(G213&lt;&gt;"Off",COUNTIFS($C:$C,C213,$A:$A,A213-1,$G:$G,"Night")&gt;0),"Rest &lt;12h after night shift",""),IF(J213&gt;5,"Meal interval required","")))</f>
        <v>#NAME?</v>
      </c>
      <c r="O213" s="25" t="s">
        <v>112</v>
      </c>
      <c r="P213" s="25"/>
    </row>
    <row r="214" spans="1:16" x14ac:dyDescent="0.35">
      <c r="A214" s="31">
        <f>IF(10+1&lt;=Settings!$B$7,Settings!$B$6+10,"")</f>
        <v>46153</v>
      </c>
      <c r="B214" s="31">
        <f t="shared" si="9"/>
        <v>46153</v>
      </c>
      <c r="C214" s="26" t="str">
        <f>IF(Employees!A14="","",Employees!A14)</f>
        <v/>
      </c>
      <c r="D214" s="26" t="str">
        <f>IF(C214="","",Employees!B14)</f>
        <v/>
      </c>
      <c r="E214" s="26" t="str">
        <f>IF(C214="","",Employees!C14)</f>
        <v/>
      </c>
      <c r="F214" s="26">
        <f>IF(A214="","",MOD(A214-Settings!$B$6,4)+1)</f>
        <v>3</v>
      </c>
      <c r="G214" s="26" t="str">
        <f>IF(C214="","",INDEX(Rotation_Pattern!$B$4:$E$7,F214,MATCH(E214,{"A","B","C","D"},0)))</f>
        <v/>
      </c>
      <c r="H214" s="32" t="str">
        <f t="shared" si="10"/>
        <v/>
      </c>
      <c r="I214" s="32" t="str">
        <f>IF(OR(G214="Off",G214=""),"",H214+TIME(Settings!$B$8,0,0))</f>
        <v/>
      </c>
      <c r="J214" s="26">
        <f>IF(OR(G214="Off",G214=""),0,Settings!$B$8)</f>
        <v>0</v>
      </c>
      <c r="K214" s="25" t="s">
        <v>111</v>
      </c>
      <c r="L214" s="26" t="str">
        <f>IF(A214="","",IF(COUNTIF(Public_Holidays!$A$4:$A$80,A214)&gt;0,"Y","N"))</f>
        <v>N</v>
      </c>
      <c r="M214" s="26" t="str">
        <f t="shared" si="11"/>
        <v>N</v>
      </c>
      <c r="N214" s="26" t="e">
        <f ca="1">IF(A214="","",_xludf.TEXTJOIN("; ",TRUE,IF(SUMIFS($J:$J,$C:$C,C214,$B:$B,B214)&gt;Settings!$B$9,"Weekly ordinary hrs &gt;45",""),IF(SUMIFS(Claims!$H:$H,Claims!$C:$C,C214,Claims!$B:$B,B214)&gt;Settings!$B$10,"Weekly OT &gt;10",""),IF(AND(G214&lt;&gt;"Off",COUNTIFS($C:$C,C214,$A:$A,A214-1,$G:$G,"Night")&gt;0),"Rest &lt;12h after night shift",""),IF(J214&gt;5,"Meal interval required","")))</f>
        <v>#NAME?</v>
      </c>
      <c r="O214" s="25" t="s">
        <v>112</v>
      </c>
      <c r="P214" s="25"/>
    </row>
    <row r="215" spans="1:16" x14ac:dyDescent="0.35">
      <c r="A215" s="31">
        <f>IF(10+1&lt;=Settings!$B$7,Settings!$B$6+10,"")</f>
        <v>46153</v>
      </c>
      <c r="B215" s="31">
        <f t="shared" si="9"/>
        <v>46153</v>
      </c>
      <c r="C215" s="26" t="str">
        <f>IF(Employees!A15="","",Employees!A15)</f>
        <v/>
      </c>
      <c r="D215" s="26" t="str">
        <f>IF(C215="","",Employees!B15)</f>
        <v/>
      </c>
      <c r="E215" s="26" t="str">
        <f>IF(C215="","",Employees!C15)</f>
        <v/>
      </c>
      <c r="F215" s="26">
        <f>IF(A215="","",MOD(A215-Settings!$B$6,4)+1)</f>
        <v>3</v>
      </c>
      <c r="G215" s="26" t="str">
        <f>IF(C215="","",INDEX(Rotation_Pattern!$B$4:$E$7,F215,MATCH(E215,{"A","B","C","D"},0)))</f>
        <v/>
      </c>
      <c r="H215" s="32" t="str">
        <f t="shared" si="10"/>
        <v/>
      </c>
      <c r="I215" s="32" t="str">
        <f>IF(OR(G215="Off",G215=""),"",H215+TIME(Settings!$B$8,0,0))</f>
        <v/>
      </c>
      <c r="J215" s="26">
        <f>IF(OR(G215="Off",G215=""),0,Settings!$B$8)</f>
        <v>0</v>
      </c>
      <c r="K215" s="25" t="s">
        <v>111</v>
      </c>
      <c r="L215" s="26" t="str">
        <f>IF(A215="","",IF(COUNTIF(Public_Holidays!$A$4:$A$80,A215)&gt;0,"Y","N"))</f>
        <v>N</v>
      </c>
      <c r="M215" s="26" t="str">
        <f t="shared" si="11"/>
        <v>N</v>
      </c>
      <c r="N215" s="26" t="e">
        <f ca="1">IF(A215="","",_xludf.TEXTJOIN("; ",TRUE,IF(SUMIFS($J:$J,$C:$C,C215,$B:$B,B215)&gt;Settings!$B$9,"Weekly ordinary hrs &gt;45",""),IF(SUMIFS(Claims!$H:$H,Claims!$C:$C,C215,Claims!$B:$B,B215)&gt;Settings!$B$10,"Weekly OT &gt;10",""),IF(AND(G215&lt;&gt;"Off",COUNTIFS($C:$C,C215,$A:$A,A215-1,$G:$G,"Night")&gt;0),"Rest &lt;12h after night shift",""),IF(J215&gt;5,"Meal interval required","")))</f>
        <v>#NAME?</v>
      </c>
      <c r="O215" s="25" t="s">
        <v>112</v>
      </c>
      <c r="P215" s="25"/>
    </row>
    <row r="216" spans="1:16" x14ac:dyDescent="0.35">
      <c r="A216" s="31">
        <f>IF(10+1&lt;=Settings!$B$7,Settings!$B$6+10,"")</f>
        <v>46153</v>
      </c>
      <c r="B216" s="31">
        <f t="shared" si="9"/>
        <v>46153</v>
      </c>
      <c r="C216" s="26" t="str">
        <f>IF(Employees!A16="","",Employees!A16)</f>
        <v/>
      </c>
      <c r="D216" s="26" t="str">
        <f>IF(C216="","",Employees!B16)</f>
        <v/>
      </c>
      <c r="E216" s="26" t="str">
        <f>IF(C216="","",Employees!C16)</f>
        <v/>
      </c>
      <c r="F216" s="26">
        <f>IF(A216="","",MOD(A216-Settings!$B$6,4)+1)</f>
        <v>3</v>
      </c>
      <c r="G216" s="26" t="str">
        <f>IF(C216="","",INDEX(Rotation_Pattern!$B$4:$E$7,F216,MATCH(E216,{"A","B","C","D"},0)))</f>
        <v/>
      </c>
      <c r="H216" s="32" t="str">
        <f t="shared" si="10"/>
        <v/>
      </c>
      <c r="I216" s="32" t="str">
        <f>IF(OR(G216="Off",G216=""),"",H216+TIME(Settings!$B$8,0,0))</f>
        <v/>
      </c>
      <c r="J216" s="26">
        <f>IF(OR(G216="Off",G216=""),0,Settings!$B$8)</f>
        <v>0</v>
      </c>
      <c r="K216" s="25" t="s">
        <v>111</v>
      </c>
      <c r="L216" s="26" t="str">
        <f>IF(A216="","",IF(COUNTIF(Public_Holidays!$A$4:$A$80,A216)&gt;0,"Y","N"))</f>
        <v>N</v>
      </c>
      <c r="M216" s="26" t="str">
        <f t="shared" si="11"/>
        <v>N</v>
      </c>
      <c r="N216" s="26" t="e">
        <f ca="1">IF(A216="","",_xludf.TEXTJOIN("; ",TRUE,IF(SUMIFS($J:$J,$C:$C,C216,$B:$B,B216)&gt;Settings!$B$9,"Weekly ordinary hrs &gt;45",""),IF(SUMIFS(Claims!$H:$H,Claims!$C:$C,C216,Claims!$B:$B,B216)&gt;Settings!$B$10,"Weekly OT &gt;10",""),IF(AND(G216&lt;&gt;"Off",COUNTIFS($C:$C,C216,$A:$A,A216-1,$G:$G,"Night")&gt;0),"Rest &lt;12h after night shift",""),IF(J216&gt;5,"Meal interval required","")))</f>
        <v>#NAME?</v>
      </c>
      <c r="O216" s="25" t="s">
        <v>112</v>
      </c>
      <c r="P216" s="25"/>
    </row>
    <row r="217" spans="1:16" x14ac:dyDescent="0.35">
      <c r="A217" s="31">
        <f>IF(10+1&lt;=Settings!$B$7,Settings!$B$6+10,"")</f>
        <v>46153</v>
      </c>
      <c r="B217" s="31">
        <f t="shared" si="9"/>
        <v>46153</v>
      </c>
      <c r="C217" s="26" t="str">
        <f>IF(Employees!A17="","",Employees!A17)</f>
        <v/>
      </c>
      <c r="D217" s="26" t="str">
        <f>IF(C217="","",Employees!B17)</f>
        <v/>
      </c>
      <c r="E217" s="26" t="str">
        <f>IF(C217="","",Employees!C17)</f>
        <v/>
      </c>
      <c r="F217" s="26">
        <f>IF(A217="","",MOD(A217-Settings!$B$6,4)+1)</f>
        <v>3</v>
      </c>
      <c r="G217" s="26" t="str">
        <f>IF(C217="","",INDEX(Rotation_Pattern!$B$4:$E$7,F217,MATCH(E217,{"A","B","C","D"},0)))</f>
        <v/>
      </c>
      <c r="H217" s="32" t="str">
        <f t="shared" si="10"/>
        <v/>
      </c>
      <c r="I217" s="32" t="str">
        <f>IF(OR(G217="Off",G217=""),"",H217+TIME(Settings!$B$8,0,0))</f>
        <v/>
      </c>
      <c r="J217" s="26">
        <f>IF(OR(G217="Off",G217=""),0,Settings!$B$8)</f>
        <v>0</v>
      </c>
      <c r="K217" s="25" t="s">
        <v>111</v>
      </c>
      <c r="L217" s="26" t="str">
        <f>IF(A217="","",IF(COUNTIF(Public_Holidays!$A$4:$A$80,A217)&gt;0,"Y","N"))</f>
        <v>N</v>
      </c>
      <c r="M217" s="26" t="str">
        <f t="shared" si="11"/>
        <v>N</v>
      </c>
      <c r="N217" s="26" t="e">
        <f ca="1">IF(A217="","",_xludf.TEXTJOIN("; ",TRUE,IF(SUMIFS($J:$J,$C:$C,C217,$B:$B,B217)&gt;Settings!$B$9,"Weekly ordinary hrs &gt;45",""),IF(SUMIFS(Claims!$H:$H,Claims!$C:$C,C217,Claims!$B:$B,B217)&gt;Settings!$B$10,"Weekly OT &gt;10",""),IF(AND(G217&lt;&gt;"Off",COUNTIFS($C:$C,C217,$A:$A,A217-1,$G:$G,"Night")&gt;0),"Rest &lt;12h after night shift",""),IF(J217&gt;5,"Meal interval required","")))</f>
        <v>#NAME?</v>
      </c>
      <c r="O217" s="25" t="s">
        <v>112</v>
      </c>
      <c r="P217" s="25"/>
    </row>
    <row r="218" spans="1:16" x14ac:dyDescent="0.35">
      <c r="A218" s="31">
        <f>IF(10+1&lt;=Settings!$B$7,Settings!$B$6+10,"")</f>
        <v>46153</v>
      </c>
      <c r="B218" s="31">
        <f t="shared" si="9"/>
        <v>46153</v>
      </c>
      <c r="C218" s="26" t="str">
        <f>IF(Employees!A18="","",Employees!A18)</f>
        <v/>
      </c>
      <c r="D218" s="26" t="str">
        <f>IF(C218="","",Employees!B18)</f>
        <v/>
      </c>
      <c r="E218" s="26" t="str">
        <f>IF(C218="","",Employees!C18)</f>
        <v/>
      </c>
      <c r="F218" s="26">
        <f>IF(A218="","",MOD(A218-Settings!$B$6,4)+1)</f>
        <v>3</v>
      </c>
      <c r="G218" s="26" t="str">
        <f>IF(C218="","",INDEX(Rotation_Pattern!$B$4:$E$7,F218,MATCH(E218,{"A","B","C","D"},0)))</f>
        <v/>
      </c>
      <c r="H218" s="32" t="str">
        <f t="shared" si="10"/>
        <v/>
      </c>
      <c r="I218" s="32" t="str">
        <f>IF(OR(G218="Off",G218=""),"",H218+TIME(Settings!$B$8,0,0))</f>
        <v/>
      </c>
      <c r="J218" s="26">
        <f>IF(OR(G218="Off",G218=""),0,Settings!$B$8)</f>
        <v>0</v>
      </c>
      <c r="K218" s="25" t="s">
        <v>111</v>
      </c>
      <c r="L218" s="26" t="str">
        <f>IF(A218="","",IF(COUNTIF(Public_Holidays!$A$4:$A$80,A218)&gt;0,"Y","N"))</f>
        <v>N</v>
      </c>
      <c r="M218" s="26" t="str">
        <f t="shared" si="11"/>
        <v>N</v>
      </c>
      <c r="N218" s="26" t="e">
        <f ca="1">IF(A218="","",_xludf.TEXTJOIN("; ",TRUE,IF(SUMIFS($J:$J,$C:$C,C218,$B:$B,B218)&gt;Settings!$B$9,"Weekly ordinary hrs &gt;45",""),IF(SUMIFS(Claims!$H:$H,Claims!$C:$C,C218,Claims!$B:$B,B218)&gt;Settings!$B$10,"Weekly OT &gt;10",""),IF(AND(G218&lt;&gt;"Off",COUNTIFS($C:$C,C218,$A:$A,A218-1,$G:$G,"Night")&gt;0),"Rest &lt;12h after night shift",""),IF(J218&gt;5,"Meal interval required","")))</f>
        <v>#NAME?</v>
      </c>
      <c r="O218" s="25" t="s">
        <v>112</v>
      </c>
      <c r="P218" s="25"/>
    </row>
    <row r="219" spans="1:16" x14ac:dyDescent="0.35">
      <c r="A219" s="31">
        <f>IF(10+1&lt;=Settings!$B$7,Settings!$B$6+10,"")</f>
        <v>46153</v>
      </c>
      <c r="B219" s="31">
        <f t="shared" si="9"/>
        <v>46153</v>
      </c>
      <c r="C219" s="26" t="str">
        <f>IF(Employees!A19="","",Employees!A19)</f>
        <v/>
      </c>
      <c r="D219" s="26" t="str">
        <f>IF(C219="","",Employees!B19)</f>
        <v/>
      </c>
      <c r="E219" s="26" t="str">
        <f>IF(C219="","",Employees!C19)</f>
        <v/>
      </c>
      <c r="F219" s="26">
        <f>IF(A219="","",MOD(A219-Settings!$B$6,4)+1)</f>
        <v>3</v>
      </c>
      <c r="G219" s="26" t="str">
        <f>IF(C219="","",INDEX(Rotation_Pattern!$B$4:$E$7,F219,MATCH(E219,{"A","B","C","D"},0)))</f>
        <v/>
      </c>
      <c r="H219" s="32" t="str">
        <f t="shared" si="10"/>
        <v/>
      </c>
      <c r="I219" s="32" t="str">
        <f>IF(OR(G219="Off",G219=""),"",H219+TIME(Settings!$B$8,0,0))</f>
        <v/>
      </c>
      <c r="J219" s="26">
        <f>IF(OR(G219="Off",G219=""),0,Settings!$B$8)</f>
        <v>0</v>
      </c>
      <c r="K219" s="25" t="s">
        <v>111</v>
      </c>
      <c r="L219" s="26" t="str">
        <f>IF(A219="","",IF(COUNTIF(Public_Holidays!$A$4:$A$80,A219)&gt;0,"Y","N"))</f>
        <v>N</v>
      </c>
      <c r="M219" s="26" t="str">
        <f t="shared" si="11"/>
        <v>N</v>
      </c>
      <c r="N219" s="26" t="e">
        <f ca="1">IF(A219="","",_xludf.TEXTJOIN("; ",TRUE,IF(SUMIFS($J:$J,$C:$C,C219,$B:$B,B219)&gt;Settings!$B$9,"Weekly ordinary hrs &gt;45",""),IF(SUMIFS(Claims!$H:$H,Claims!$C:$C,C219,Claims!$B:$B,B219)&gt;Settings!$B$10,"Weekly OT &gt;10",""),IF(AND(G219&lt;&gt;"Off",COUNTIFS($C:$C,C219,$A:$A,A219-1,$G:$G,"Night")&gt;0),"Rest &lt;12h after night shift",""),IF(J219&gt;5,"Meal interval required","")))</f>
        <v>#NAME?</v>
      </c>
      <c r="O219" s="25" t="s">
        <v>112</v>
      </c>
      <c r="P219" s="25"/>
    </row>
    <row r="220" spans="1:16" x14ac:dyDescent="0.35">
      <c r="A220" s="31">
        <f>IF(10+1&lt;=Settings!$B$7,Settings!$B$6+10,"")</f>
        <v>46153</v>
      </c>
      <c r="B220" s="31">
        <f t="shared" si="9"/>
        <v>46153</v>
      </c>
      <c r="C220" s="26" t="str">
        <f>IF(Employees!A20="","",Employees!A20)</f>
        <v/>
      </c>
      <c r="D220" s="26" t="str">
        <f>IF(C220="","",Employees!B20)</f>
        <v/>
      </c>
      <c r="E220" s="26" t="str">
        <f>IF(C220="","",Employees!C20)</f>
        <v/>
      </c>
      <c r="F220" s="26">
        <f>IF(A220="","",MOD(A220-Settings!$B$6,4)+1)</f>
        <v>3</v>
      </c>
      <c r="G220" s="26" t="str">
        <f>IF(C220="","",INDEX(Rotation_Pattern!$B$4:$E$7,F220,MATCH(E220,{"A","B","C","D"},0)))</f>
        <v/>
      </c>
      <c r="H220" s="32" t="str">
        <f t="shared" si="10"/>
        <v/>
      </c>
      <c r="I220" s="32" t="str">
        <f>IF(OR(G220="Off",G220=""),"",H220+TIME(Settings!$B$8,0,0))</f>
        <v/>
      </c>
      <c r="J220" s="26">
        <f>IF(OR(G220="Off",G220=""),0,Settings!$B$8)</f>
        <v>0</v>
      </c>
      <c r="K220" s="25" t="s">
        <v>111</v>
      </c>
      <c r="L220" s="26" t="str">
        <f>IF(A220="","",IF(COUNTIF(Public_Holidays!$A$4:$A$80,A220)&gt;0,"Y","N"))</f>
        <v>N</v>
      </c>
      <c r="M220" s="26" t="str">
        <f t="shared" si="11"/>
        <v>N</v>
      </c>
      <c r="N220" s="26" t="e">
        <f ca="1">IF(A220="","",_xludf.TEXTJOIN("; ",TRUE,IF(SUMIFS($J:$J,$C:$C,C220,$B:$B,B220)&gt;Settings!$B$9,"Weekly ordinary hrs &gt;45",""),IF(SUMIFS(Claims!$H:$H,Claims!$C:$C,C220,Claims!$B:$B,B220)&gt;Settings!$B$10,"Weekly OT &gt;10",""),IF(AND(G220&lt;&gt;"Off",COUNTIFS($C:$C,C220,$A:$A,A220-1,$G:$G,"Night")&gt;0),"Rest &lt;12h after night shift",""),IF(J220&gt;5,"Meal interval required","")))</f>
        <v>#NAME?</v>
      </c>
      <c r="O220" s="25" t="s">
        <v>112</v>
      </c>
      <c r="P220" s="25"/>
    </row>
    <row r="221" spans="1:16" x14ac:dyDescent="0.35">
      <c r="A221" s="31">
        <f>IF(10+1&lt;=Settings!$B$7,Settings!$B$6+10,"")</f>
        <v>46153</v>
      </c>
      <c r="B221" s="31">
        <f t="shared" si="9"/>
        <v>46153</v>
      </c>
      <c r="C221" s="26" t="str">
        <f>IF(Employees!A21="","",Employees!A21)</f>
        <v/>
      </c>
      <c r="D221" s="26" t="str">
        <f>IF(C221="","",Employees!B21)</f>
        <v/>
      </c>
      <c r="E221" s="26" t="str">
        <f>IF(C221="","",Employees!C21)</f>
        <v/>
      </c>
      <c r="F221" s="26">
        <f>IF(A221="","",MOD(A221-Settings!$B$6,4)+1)</f>
        <v>3</v>
      </c>
      <c r="G221" s="26" t="str">
        <f>IF(C221="","",INDEX(Rotation_Pattern!$B$4:$E$7,F221,MATCH(E221,{"A","B","C","D"},0)))</f>
        <v/>
      </c>
      <c r="H221" s="32" t="str">
        <f t="shared" si="10"/>
        <v/>
      </c>
      <c r="I221" s="32" t="str">
        <f>IF(OR(G221="Off",G221=""),"",H221+TIME(Settings!$B$8,0,0))</f>
        <v/>
      </c>
      <c r="J221" s="26">
        <f>IF(OR(G221="Off",G221=""),0,Settings!$B$8)</f>
        <v>0</v>
      </c>
      <c r="K221" s="25" t="s">
        <v>111</v>
      </c>
      <c r="L221" s="26" t="str">
        <f>IF(A221="","",IF(COUNTIF(Public_Holidays!$A$4:$A$80,A221)&gt;0,"Y","N"))</f>
        <v>N</v>
      </c>
      <c r="M221" s="26" t="str">
        <f t="shared" si="11"/>
        <v>N</v>
      </c>
      <c r="N221" s="26" t="e">
        <f ca="1">IF(A221="","",_xludf.TEXTJOIN("; ",TRUE,IF(SUMIFS($J:$J,$C:$C,C221,$B:$B,B221)&gt;Settings!$B$9,"Weekly ordinary hrs &gt;45",""),IF(SUMIFS(Claims!$H:$H,Claims!$C:$C,C221,Claims!$B:$B,B221)&gt;Settings!$B$10,"Weekly OT &gt;10",""),IF(AND(G221&lt;&gt;"Off",COUNTIFS($C:$C,C221,$A:$A,A221-1,$G:$G,"Night")&gt;0),"Rest &lt;12h after night shift",""),IF(J221&gt;5,"Meal interval required","")))</f>
        <v>#NAME?</v>
      </c>
      <c r="O221" s="25" t="s">
        <v>112</v>
      </c>
      <c r="P221" s="25"/>
    </row>
    <row r="222" spans="1:16" x14ac:dyDescent="0.35">
      <c r="A222" s="31">
        <f>IF(10+1&lt;=Settings!$B$7,Settings!$B$6+10,"")</f>
        <v>46153</v>
      </c>
      <c r="B222" s="31">
        <f t="shared" si="9"/>
        <v>46153</v>
      </c>
      <c r="C222" s="26" t="str">
        <f>IF(Employees!A22="","",Employees!A22)</f>
        <v/>
      </c>
      <c r="D222" s="26" t="str">
        <f>IF(C222="","",Employees!B22)</f>
        <v/>
      </c>
      <c r="E222" s="26" t="str">
        <f>IF(C222="","",Employees!C22)</f>
        <v/>
      </c>
      <c r="F222" s="26">
        <f>IF(A222="","",MOD(A222-Settings!$B$6,4)+1)</f>
        <v>3</v>
      </c>
      <c r="G222" s="26" t="str">
        <f>IF(C222="","",INDEX(Rotation_Pattern!$B$4:$E$7,F222,MATCH(E222,{"A","B","C","D"},0)))</f>
        <v/>
      </c>
      <c r="H222" s="32" t="str">
        <f t="shared" si="10"/>
        <v/>
      </c>
      <c r="I222" s="32" t="str">
        <f>IF(OR(G222="Off",G222=""),"",H222+TIME(Settings!$B$8,0,0))</f>
        <v/>
      </c>
      <c r="J222" s="26">
        <f>IF(OR(G222="Off",G222=""),0,Settings!$B$8)</f>
        <v>0</v>
      </c>
      <c r="K222" s="25" t="s">
        <v>111</v>
      </c>
      <c r="L222" s="26" t="str">
        <f>IF(A222="","",IF(COUNTIF(Public_Holidays!$A$4:$A$80,A222)&gt;0,"Y","N"))</f>
        <v>N</v>
      </c>
      <c r="M222" s="26" t="str">
        <f t="shared" si="11"/>
        <v>N</v>
      </c>
      <c r="N222" s="26" t="e">
        <f ca="1">IF(A222="","",_xludf.TEXTJOIN("; ",TRUE,IF(SUMIFS($J:$J,$C:$C,C222,$B:$B,B222)&gt;Settings!$B$9,"Weekly ordinary hrs &gt;45",""),IF(SUMIFS(Claims!$H:$H,Claims!$C:$C,C222,Claims!$B:$B,B222)&gt;Settings!$B$10,"Weekly OT &gt;10",""),IF(AND(G222&lt;&gt;"Off",COUNTIFS($C:$C,C222,$A:$A,A222-1,$G:$G,"Night")&gt;0),"Rest &lt;12h after night shift",""),IF(J222&gt;5,"Meal interval required","")))</f>
        <v>#NAME?</v>
      </c>
      <c r="O222" s="25" t="s">
        <v>112</v>
      </c>
      <c r="P222" s="25"/>
    </row>
    <row r="223" spans="1:16" x14ac:dyDescent="0.35">
      <c r="A223" s="31">
        <f>IF(10+1&lt;=Settings!$B$7,Settings!$B$6+10,"")</f>
        <v>46153</v>
      </c>
      <c r="B223" s="31">
        <f t="shared" si="9"/>
        <v>46153</v>
      </c>
      <c r="C223" s="26" t="str">
        <f>IF(Employees!A23="","",Employees!A23)</f>
        <v/>
      </c>
      <c r="D223" s="26" t="str">
        <f>IF(C223="","",Employees!B23)</f>
        <v/>
      </c>
      <c r="E223" s="26" t="str">
        <f>IF(C223="","",Employees!C23)</f>
        <v/>
      </c>
      <c r="F223" s="26">
        <f>IF(A223="","",MOD(A223-Settings!$B$6,4)+1)</f>
        <v>3</v>
      </c>
      <c r="G223" s="26" t="str">
        <f>IF(C223="","",INDEX(Rotation_Pattern!$B$4:$E$7,F223,MATCH(E223,{"A","B","C","D"},0)))</f>
        <v/>
      </c>
      <c r="H223" s="32" t="str">
        <f t="shared" si="10"/>
        <v/>
      </c>
      <c r="I223" s="32" t="str">
        <f>IF(OR(G223="Off",G223=""),"",H223+TIME(Settings!$B$8,0,0))</f>
        <v/>
      </c>
      <c r="J223" s="26">
        <f>IF(OR(G223="Off",G223=""),0,Settings!$B$8)</f>
        <v>0</v>
      </c>
      <c r="K223" s="25" t="s">
        <v>111</v>
      </c>
      <c r="L223" s="26" t="str">
        <f>IF(A223="","",IF(COUNTIF(Public_Holidays!$A$4:$A$80,A223)&gt;0,"Y","N"))</f>
        <v>N</v>
      </c>
      <c r="M223" s="26" t="str">
        <f t="shared" si="11"/>
        <v>N</v>
      </c>
      <c r="N223" s="26" t="e">
        <f ca="1">IF(A223="","",_xludf.TEXTJOIN("; ",TRUE,IF(SUMIFS($J:$J,$C:$C,C223,$B:$B,B223)&gt;Settings!$B$9,"Weekly ordinary hrs &gt;45",""),IF(SUMIFS(Claims!$H:$H,Claims!$C:$C,C223,Claims!$B:$B,B223)&gt;Settings!$B$10,"Weekly OT &gt;10",""),IF(AND(G223&lt;&gt;"Off",COUNTIFS($C:$C,C223,$A:$A,A223-1,$G:$G,"Night")&gt;0),"Rest &lt;12h after night shift",""),IF(J223&gt;5,"Meal interval required","")))</f>
        <v>#NAME?</v>
      </c>
      <c r="O223" s="25" t="s">
        <v>112</v>
      </c>
      <c r="P223" s="25"/>
    </row>
    <row r="224" spans="1:16" x14ac:dyDescent="0.35">
      <c r="A224" s="31">
        <f>IF(11+1&lt;=Settings!$B$7,Settings!$B$6+11,"")</f>
        <v>46154</v>
      </c>
      <c r="B224" s="31">
        <f t="shared" si="9"/>
        <v>46153</v>
      </c>
      <c r="C224" s="26" t="str">
        <f>IF(Employees!A4="","",Employees!A4)</f>
        <v>E001</v>
      </c>
      <c r="D224" s="26" t="str">
        <f>IF(C224="","",Employees!B4)</f>
        <v>Musiwa Khavalani</v>
      </c>
      <c r="E224" s="26">
        <f>IF(C224="","",Employees!C4)</f>
        <v>0</v>
      </c>
      <c r="F224" s="26">
        <f>IF(A224="","",MOD(A224-Settings!$B$6,4)+1)</f>
        <v>4</v>
      </c>
      <c r="G224" s="26" t="e">
        <f>IF(C224="","",INDEX(Rotation_Pattern!$B$4:$E$7,F224,MATCH(E224,{"A","B","C","D"},0)))</f>
        <v>#N/A</v>
      </c>
      <c r="H224" s="32" t="e">
        <f t="shared" si="10"/>
        <v>#N/A</v>
      </c>
      <c r="I224" s="32" t="e">
        <f>IF(OR(G224="Off",G224=""),"",H224+TIME(Settings!$B$8,0,0))</f>
        <v>#N/A</v>
      </c>
      <c r="J224" s="26" t="e">
        <f>IF(OR(G224="Off",G224=""),0,Settings!$B$8)</f>
        <v>#N/A</v>
      </c>
      <c r="K224" s="25" t="s">
        <v>111</v>
      </c>
      <c r="L224" s="26" t="str">
        <f>IF(A224="","",IF(COUNTIF(Public_Holidays!$A$4:$A$80,A224)&gt;0,"Y","N"))</f>
        <v>N</v>
      </c>
      <c r="M224" s="26" t="str">
        <f t="shared" si="11"/>
        <v>N</v>
      </c>
      <c r="N224" s="26" t="e">
        <f ca="1">IF(A224="","",_xludf.TEXTJOIN("; ",TRUE,IF(SUMIFS($J:$J,$C:$C,C224,$B:$B,B224)&gt;Settings!$B$9,"Weekly ordinary hrs &gt;45",""),IF(SUMIFS(Claims!$H:$H,Claims!$C:$C,C224,Claims!$B:$B,B224)&gt;Settings!$B$10,"Weekly OT &gt;10",""),IF(AND(G224&lt;&gt;"Off",COUNTIFS($C:$C,C224,$A:$A,A224-1,$G:$G,"Night")&gt;0),"Rest &lt;12h after night shift",""),IF(J224&gt;5,"Meal interval required","")))</f>
        <v>#NAME?</v>
      </c>
      <c r="O224" s="25" t="s">
        <v>112</v>
      </c>
      <c r="P224" s="25"/>
    </row>
    <row r="225" spans="1:16" x14ac:dyDescent="0.35">
      <c r="A225" s="31">
        <f>IF(11+1&lt;=Settings!$B$7,Settings!$B$6+11,"")</f>
        <v>46154</v>
      </c>
      <c r="B225" s="31">
        <f t="shared" si="9"/>
        <v>46153</v>
      </c>
      <c r="C225" s="26" t="str">
        <f>IF(Employees!A5="","",Employees!A5)</f>
        <v>E002</v>
      </c>
      <c r="D225" s="26" t="str">
        <f>IF(C225="","",Employees!B5)</f>
        <v>Mpho  Nembemhia</v>
      </c>
      <c r="E225" s="26" t="str">
        <f>IF(C225="","",Employees!C5)</f>
        <v>B</v>
      </c>
      <c r="F225" s="26">
        <f>IF(A225="","",MOD(A225-Settings!$B$6,4)+1)</f>
        <v>4</v>
      </c>
      <c r="G225" s="26" t="str">
        <f>IF(C225="","",INDEX(Rotation_Pattern!$B$4:$E$7,F225,MATCH(E225,{"A","B","C","D"},0)))</f>
        <v>Night</v>
      </c>
      <c r="H225" s="32">
        <f t="shared" si="10"/>
        <v>0.91666666666666663</v>
      </c>
      <c r="I225" s="32">
        <f>IF(OR(G225="Off",G225=""),"",H225+TIME(Settings!$B$8,0,0))</f>
        <v>1.25</v>
      </c>
      <c r="J225" s="26">
        <f>IF(OR(G225="Off",G225=""),0,Settings!$B$8)</f>
        <v>8</v>
      </c>
      <c r="K225" s="25" t="s">
        <v>111</v>
      </c>
      <c r="L225" s="26" t="str">
        <f>IF(A225="","",IF(COUNTIF(Public_Holidays!$A$4:$A$80,A225)&gt;0,"Y","N"))</f>
        <v>N</v>
      </c>
      <c r="M225" s="26" t="str">
        <f t="shared" si="11"/>
        <v>N</v>
      </c>
      <c r="N225" s="26" t="e">
        <f ca="1">IF(A225="","",_xludf.TEXTJOIN("; ",TRUE,IF(SUMIFS($J:$J,$C:$C,C225,$B:$B,B225)&gt;Settings!$B$9,"Weekly ordinary hrs &gt;45",""),IF(SUMIFS(Claims!$H:$H,Claims!$C:$C,C225,Claims!$B:$B,B225)&gt;Settings!$B$10,"Weekly OT &gt;10",""),IF(AND(G225&lt;&gt;"Off",COUNTIFS($C:$C,C225,$A:$A,A225-1,$G:$G,"Night")&gt;0),"Rest &lt;12h after night shift",""),IF(J225&gt;5,"Meal interval required","")))</f>
        <v>#NAME?</v>
      </c>
      <c r="O225" s="25" t="s">
        <v>112</v>
      </c>
      <c r="P225" s="25"/>
    </row>
    <row r="226" spans="1:16" x14ac:dyDescent="0.35">
      <c r="A226" s="31">
        <f>IF(11+1&lt;=Settings!$B$7,Settings!$B$6+11,"")</f>
        <v>46154</v>
      </c>
      <c r="B226" s="31">
        <f t="shared" si="9"/>
        <v>46153</v>
      </c>
      <c r="C226" s="26" t="str">
        <f>IF(Employees!A6="","",Employees!A6)</f>
        <v>E003</v>
      </c>
      <c r="D226" s="26" t="str">
        <f>IF(C226="","",Employees!B6)</f>
        <v>Dimpho Makhafola</v>
      </c>
      <c r="E226" s="26" t="str">
        <f>IF(C226="","",Employees!C6)</f>
        <v>C</v>
      </c>
      <c r="F226" s="26">
        <f>IF(A226="","",MOD(A226-Settings!$B$6,4)+1)</f>
        <v>4</v>
      </c>
      <c r="G226" s="26" t="str">
        <f>IF(C226="","",INDEX(Rotation_Pattern!$B$4:$E$7,F226,MATCH(E226,{"A","B","C","D"},0)))</f>
        <v>Evening</v>
      </c>
      <c r="H226" s="32">
        <f t="shared" si="10"/>
        <v>0.58333333333333337</v>
      </c>
      <c r="I226" s="32">
        <f>IF(OR(G226="Off",G226=""),"",H226+TIME(Settings!$B$8,0,0))</f>
        <v>0.91666666666666674</v>
      </c>
      <c r="J226" s="26">
        <f>IF(OR(G226="Off",G226=""),0,Settings!$B$8)</f>
        <v>8</v>
      </c>
      <c r="K226" s="25" t="s">
        <v>111</v>
      </c>
      <c r="L226" s="26" t="str">
        <f>IF(A226="","",IF(COUNTIF(Public_Holidays!$A$4:$A$80,A226)&gt;0,"Y","N"))</f>
        <v>N</v>
      </c>
      <c r="M226" s="26" t="str">
        <f t="shared" si="11"/>
        <v>N</v>
      </c>
      <c r="N226" s="26" t="e">
        <f ca="1">IF(A226="","",_xludf.TEXTJOIN("; ",TRUE,IF(SUMIFS($J:$J,$C:$C,C226,$B:$B,B226)&gt;Settings!$B$9,"Weekly ordinary hrs &gt;45",""),IF(SUMIFS(Claims!$H:$H,Claims!$C:$C,C226,Claims!$B:$B,B226)&gt;Settings!$B$10,"Weekly OT &gt;10",""),IF(AND(G226&lt;&gt;"Off",COUNTIFS($C:$C,C226,$A:$A,A226-1,$G:$G,"Night")&gt;0),"Rest &lt;12h after night shift",""),IF(J226&gt;5,"Meal interval required","")))</f>
        <v>#NAME?</v>
      </c>
      <c r="O226" s="25" t="s">
        <v>112</v>
      </c>
      <c r="P226" s="25"/>
    </row>
    <row r="227" spans="1:16" x14ac:dyDescent="0.35">
      <c r="A227" s="31">
        <f>IF(11+1&lt;=Settings!$B$7,Settings!$B$6+11,"")</f>
        <v>46154</v>
      </c>
      <c r="B227" s="31">
        <f t="shared" si="9"/>
        <v>46153</v>
      </c>
      <c r="C227" s="26" t="str">
        <f>IF(Employees!A7="","",Employees!A7)</f>
        <v>E004</v>
      </c>
      <c r="D227" s="26" t="str">
        <f>IF(C227="","",Employees!B7)</f>
        <v>Bashii Fall</v>
      </c>
      <c r="E227" s="26" t="str">
        <f>IF(C227="","",Employees!C7)</f>
        <v>D</v>
      </c>
      <c r="F227" s="26">
        <f>IF(A227="","",MOD(A227-Settings!$B$6,4)+1)</f>
        <v>4</v>
      </c>
      <c r="G227" s="26" t="str">
        <f>IF(C227="","",INDEX(Rotation_Pattern!$B$4:$E$7,F227,MATCH(E227,{"A","B","C","D"},0)))</f>
        <v>Day</v>
      </c>
      <c r="H227" s="32">
        <f t="shared" si="10"/>
        <v>0.25</v>
      </c>
      <c r="I227" s="32">
        <f>IF(OR(G227="Off",G227=""),"",H227+TIME(Settings!$B$8,0,0))</f>
        <v>0.58333333333333326</v>
      </c>
      <c r="J227" s="26">
        <f>IF(OR(G227="Off",G227=""),0,Settings!$B$8)</f>
        <v>8</v>
      </c>
      <c r="K227" s="25" t="s">
        <v>111</v>
      </c>
      <c r="L227" s="26" t="str">
        <f>IF(A227="","",IF(COUNTIF(Public_Holidays!$A$4:$A$80,A227)&gt;0,"Y","N"))</f>
        <v>N</v>
      </c>
      <c r="M227" s="26" t="str">
        <f t="shared" si="11"/>
        <v>N</v>
      </c>
      <c r="N227" s="26" t="e">
        <f ca="1">IF(A227="","",_xludf.TEXTJOIN("; ",TRUE,IF(SUMIFS($J:$J,$C:$C,C227,$B:$B,B227)&gt;Settings!$B$9,"Weekly ordinary hrs &gt;45",""),IF(SUMIFS(Claims!$H:$H,Claims!$C:$C,C227,Claims!$B:$B,B227)&gt;Settings!$B$10,"Weekly OT &gt;10",""),IF(AND(G227&lt;&gt;"Off",COUNTIFS($C:$C,C227,$A:$A,A227-1,$G:$G,"Night")&gt;0),"Rest &lt;12h after night shift",""),IF(J227&gt;5,"Meal interval required","")))</f>
        <v>#NAME?</v>
      </c>
      <c r="O227" s="25" t="s">
        <v>112</v>
      </c>
      <c r="P227" s="25"/>
    </row>
    <row r="228" spans="1:16" x14ac:dyDescent="0.35">
      <c r="A228" s="31">
        <f>IF(11+1&lt;=Settings!$B$7,Settings!$B$6+11,"")</f>
        <v>46154</v>
      </c>
      <c r="B228" s="31">
        <f t="shared" si="9"/>
        <v>46153</v>
      </c>
      <c r="C228" s="26" t="str">
        <f>IF(Employees!A8="","",Employees!A8)</f>
        <v>E005</v>
      </c>
      <c r="D228" s="26" t="str">
        <f>IF(C228="","",Employees!B8)</f>
        <v>Lesego Aphane</v>
      </c>
      <c r="E228" s="26" t="str">
        <f>IF(C228="","",Employees!C8)</f>
        <v>A</v>
      </c>
      <c r="F228" s="26">
        <f>IF(A228="","",MOD(A228-Settings!$B$6,4)+1)</f>
        <v>4</v>
      </c>
      <c r="G228" s="26" t="str">
        <f>IF(C228="","",INDEX(Rotation_Pattern!$B$4:$E$7,F228,MATCH(E228,{"A","B","C","D"},0)))</f>
        <v>Off</v>
      </c>
      <c r="H228" s="32" t="str">
        <f t="shared" si="10"/>
        <v/>
      </c>
      <c r="I228" s="32" t="str">
        <f>IF(OR(G228="Off",G228=""),"",H228+TIME(Settings!$B$8,0,0))</f>
        <v/>
      </c>
      <c r="J228" s="26">
        <f>IF(OR(G228="Off",G228=""),0,Settings!$B$8)</f>
        <v>0</v>
      </c>
      <c r="K228" s="25" t="s">
        <v>111</v>
      </c>
      <c r="L228" s="26" t="str">
        <f>IF(A228="","",IF(COUNTIF(Public_Holidays!$A$4:$A$80,A228)&gt;0,"Y","N"))</f>
        <v>N</v>
      </c>
      <c r="M228" s="26" t="str">
        <f t="shared" si="11"/>
        <v>N</v>
      </c>
      <c r="N228" s="26" t="e">
        <f ca="1">IF(A228="","",_xludf.TEXTJOIN("; ",TRUE,IF(SUMIFS($J:$J,$C:$C,C228,$B:$B,B228)&gt;Settings!$B$9,"Weekly ordinary hrs &gt;45",""),IF(SUMIFS(Claims!$H:$H,Claims!$C:$C,C228,Claims!$B:$B,B228)&gt;Settings!$B$10,"Weekly OT &gt;10",""),IF(AND(G228&lt;&gt;"Off",COUNTIFS($C:$C,C228,$A:$A,A228-1,$G:$G,"Night")&gt;0),"Rest &lt;12h after night shift",""),IF(J228&gt;5,"Meal interval required","")))</f>
        <v>#NAME?</v>
      </c>
      <c r="O228" s="25" t="s">
        <v>112</v>
      </c>
      <c r="P228" s="25"/>
    </row>
    <row r="229" spans="1:16" x14ac:dyDescent="0.35">
      <c r="A229" s="31">
        <f>IF(11+1&lt;=Settings!$B$7,Settings!$B$6+11,"")</f>
        <v>46154</v>
      </c>
      <c r="B229" s="31">
        <f t="shared" si="9"/>
        <v>46153</v>
      </c>
      <c r="C229" s="26" t="str">
        <f>IF(Employees!A9="","",Employees!A9)</f>
        <v>E006</v>
      </c>
      <c r="D229" s="26" t="str">
        <f>IF(C229="","",Employees!B9)</f>
        <v>Nhalnahla</v>
      </c>
      <c r="E229" s="26" t="str">
        <f>IF(C229="","",Employees!C9)</f>
        <v>B</v>
      </c>
      <c r="F229" s="26">
        <f>IF(A229="","",MOD(A229-Settings!$B$6,4)+1)</f>
        <v>4</v>
      </c>
      <c r="G229" s="26" t="str">
        <f>IF(C229="","",INDEX(Rotation_Pattern!$B$4:$E$7,F229,MATCH(E229,{"A","B","C","D"},0)))</f>
        <v>Night</v>
      </c>
      <c r="H229" s="32">
        <f t="shared" si="10"/>
        <v>0.91666666666666663</v>
      </c>
      <c r="I229" s="32">
        <f>IF(OR(G229="Off",G229=""),"",H229+TIME(Settings!$B$8,0,0))</f>
        <v>1.25</v>
      </c>
      <c r="J229" s="26">
        <f>IF(OR(G229="Off",G229=""),0,Settings!$B$8)</f>
        <v>8</v>
      </c>
      <c r="K229" s="25" t="s">
        <v>111</v>
      </c>
      <c r="L229" s="26" t="str">
        <f>IF(A229="","",IF(COUNTIF(Public_Holidays!$A$4:$A$80,A229)&gt;0,"Y","N"))</f>
        <v>N</v>
      </c>
      <c r="M229" s="26" t="str">
        <f t="shared" si="11"/>
        <v>N</v>
      </c>
      <c r="N229" s="26" t="e">
        <f ca="1">IF(A229="","",_xludf.TEXTJOIN("; ",TRUE,IF(SUMIFS($J:$J,$C:$C,C229,$B:$B,B229)&gt;Settings!$B$9,"Weekly ordinary hrs &gt;45",""),IF(SUMIFS(Claims!$H:$H,Claims!$C:$C,C229,Claims!$B:$B,B229)&gt;Settings!$B$10,"Weekly OT &gt;10",""),IF(AND(G229&lt;&gt;"Off",COUNTIFS($C:$C,C229,$A:$A,A229-1,$G:$G,"Night")&gt;0),"Rest &lt;12h after night shift",""),IF(J229&gt;5,"Meal interval required","")))</f>
        <v>#NAME?</v>
      </c>
      <c r="O229" s="25" t="s">
        <v>112</v>
      </c>
      <c r="P229" s="25"/>
    </row>
    <row r="230" spans="1:16" x14ac:dyDescent="0.35">
      <c r="A230" s="31">
        <f>IF(11+1&lt;=Settings!$B$7,Settings!$B$6+11,"")</f>
        <v>46154</v>
      </c>
      <c r="B230" s="31">
        <f t="shared" si="9"/>
        <v>46153</v>
      </c>
      <c r="C230" s="26" t="str">
        <f>IF(Employees!A10="","",Employees!A10)</f>
        <v>E007</v>
      </c>
      <c r="D230" s="26" t="str">
        <f>IF(C230="","",Employees!B10)</f>
        <v>Joe</v>
      </c>
      <c r="E230" s="26" t="str">
        <f>IF(C230="","",Employees!C10)</f>
        <v>C</v>
      </c>
      <c r="F230" s="26">
        <f>IF(A230="","",MOD(A230-Settings!$B$6,4)+1)</f>
        <v>4</v>
      </c>
      <c r="G230" s="26" t="str">
        <f>IF(C230="","",INDEX(Rotation_Pattern!$B$4:$E$7,F230,MATCH(E230,{"A","B","C","D"},0)))</f>
        <v>Evening</v>
      </c>
      <c r="H230" s="32">
        <f t="shared" si="10"/>
        <v>0.58333333333333337</v>
      </c>
      <c r="I230" s="32">
        <f>IF(OR(G230="Off",G230=""),"",H230+TIME(Settings!$B$8,0,0))</f>
        <v>0.91666666666666674</v>
      </c>
      <c r="J230" s="26">
        <f>IF(OR(G230="Off",G230=""),0,Settings!$B$8)</f>
        <v>8</v>
      </c>
      <c r="K230" s="25" t="s">
        <v>111</v>
      </c>
      <c r="L230" s="26" t="str">
        <f>IF(A230="","",IF(COUNTIF(Public_Holidays!$A$4:$A$80,A230)&gt;0,"Y","N"))</f>
        <v>N</v>
      </c>
      <c r="M230" s="26" t="str">
        <f t="shared" si="11"/>
        <v>N</v>
      </c>
      <c r="N230" s="26" t="e">
        <f ca="1">IF(A230="","",_xludf.TEXTJOIN("; ",TRUE,IF(SUMIFS($J:$J,$C:$C,C230,$B:$B,B230)&gt;Settings!$B$9,"Weekly ordinary hrs &gt;45",""),IF(SUMIFS(Claims!$H:$H,Claims!$C:$C,C230,Claims!$B:$B,B230)&gt;Settings!$B$10,"Weekly OT &gt;10",""),IF(AND(G230&lt;&gt;"Off",COUNTIFS($C:$C,C230,$A:$A,A230-1,$G:$G,"Night")&gt;0),"Rest &lt;12h after night shift",""),IF(J230&gt;5,"Meal interval required","")))</f>
        <v>#NAME?</v>
      </c>
      <c r="O230" s="25" t="s">
        <v>112</v>
      </c>
      <c r="P230" s="25"/>
    </row>
    <row r="231" spans="1:16" x14ac:dyDescent="0.35">
      <c r="A231" s="31">
        <f>IF(11+1&lt;=Settings!$B$7,Settings!$B$6+11,"")</f>
        <v>46154</v>
      </c>
      <c r="B231" s="31">
        <f t="shared" si="9"/>
        <v>46153</v>
      </c>
      <c r="C231" s="26" t="str">
        <f>IF(Employees!A11="","",Employees!A11)</f>
        <v>E008</v>
      </c>
      <c r="D231" s="26" t="str">
        <f>IF(C231="","",Employees!B11)</f>
        <v>Tim</v>
      </c>
      <c r="E231" s="26" t="str">
        <f>IF(C231="","",Employees!C11)</f>
        <v>D</v>
      </c>
      <c r="F231" s="26">
        <f>IF(A231="","",MOD(A231-Settings!$B$6,4)+1)</f>
        <v>4</v>
      </c>
      <c r="G231" s="26" t="str">
        <f>IF(C231="","",INDEX(Rotation_Pattern!$B$4:$E$7,F231,MATCH(E231,{"A","B","C","D"},0)))</f>
        <v>Day</v>
      </c>
      <c r="H231" s="32">
        <f t="shared" si="10"/>
        <v>0.25</v>
      </c>
      <c r="I231" s="32">
        <f>IF(OR(G231="Off",G231=""),"",H231+TIME(Settings!$B$8,0,0))</f>
        <v>0.58333333333333326</v>
      </c>
      <c r="J231" s="26">
        <f>IF(OR(G231="Off",G231=""),0,Settings!$B$8)</f>
        <v>8</v>
      </c>
      <c r="K231" s="25" t="s">
        <v>111</v>
      </c>
      <c r="L231" s="26" t="str">
        <f>IF(A231="","",IF(COUNTIF(Public_Holidays!$A$4:$A$80,A231)&gt;0,"Y","N"))</f>
        <v>N</v>
      </c>
      <c r="M231" s="26" t="str">
        <f t="shared" si="11"/>
        <v>N</v>
      </c>
      <c r="N231" s="26" t="e">
        <f ca="1">IF(A231="","",_xludf.TEXTJOIN("; ",TRUE,IF(SUMIFS($J:$J,$C:$C,C231,$B:$B,B231)&gt;Settings!$B$9,"Weekly ordinary hrs &gt;45",""),IF(SUMIFS(Claims!$H:$H,Claims!$C:$C,C231,Claims!$B:$B,B231)&gt;Settings!$B$10,"Weekly OT &gt;10",""),IF(AND(G231&lt;&gt;"Off",COUNTIFS($C:$C,C231,$A:$A,A231-1,$G:$G,"Night")&gt;0),"Rest &lt;12h after night shift",""),IF(J231&gt;5,"Meal interval required","")))</f>
        <v>#NAME?</v>
      </c>
      <c r="O231" s="25" t="s">
        <v>112</v>
      </c>
      <c r="P231" s="25"/>
    </row>
    <row r="232" spans="1:16" x14ac:dyDescent="0.35">
      <c r="A232" s="31">
        <f>IF(11+1&lt;=Settings!$B$7,Settings!$B$6+11,"")</f>
        <v>46154</v>
      </c>
      <c r="B232" s="31">
        <f t="shared" si="9"/>
        <v>46153</v>
      </c>
      <c r="C232" s="26" t="str">
        <f>IF(Employees!A12="","",Employees!A12)</f>
        <v>E009</v>
      </c>
      <c r="D232" s="26" t="str">
        <f>IF(C232="","",Employees!B12)</f>
        <v>Frank</v>
      </c>
      <c r="E232" s="26" t="str">
        <f>IF(C232="","",Employees!C12)</f>
        <v>A</v>
      </c>
      <c r="F232" s="26">
        <f>IF(A232="","",MOD(A232-Settings!$B$6,4)+1)</f>
        <v>4</v>
      </c>
      <c r="G232" s="26" t="str">
        <f>IF(C232="","",INDEX(Rotation_Pattern!$B$4:$E$7,F232,MATCH(E232,{"A","B","C","D"},0)))</f>
        <v>Off</v>
      </c>
      <c r="H232" s="32" t="str">
        <f t="shared" si="10"/>
        <v/>
      </c>
      <c r="I232" s="32" t="str">
        <f>IF(OR(G232="Off",G232=""),"",H232+TIME(Settings!$B$8,0,0))</f>
        <v/>
      </c>
      <c r="J232" s="26">
        <f>IF(OR(G232="Off",G232=""),0,Settings!$B$8)</f>
        <v>0</v>
      </c>
      <c r="K232" s="25" t="s">
        <v>111</v>
      </c>
      <c r="L232" s="26" t="str">
        <f>IF(A232="","",IF(COUNTIF(Public_Holidays!$A$4:$A$80,A232)&gt;0,"Y","N"))</f>
        <v>N</v>
      </c>
      <c r="M232" s="26" t="str">
        <f t="shared" si="11"/>
        <v>N</v>
      </c>
      <c r="N232" s="26" t="e">
        <f ca="1">IF(A232="","",_xludf.TEXTJOIN("; ",TRUE,IF(SUMIFS($J:$J,$C:$C,C232,$B:$B,B232)&gt;Settings!$B$9,"Weekly ordinary hrs &gt;45",""),IF(SUMIFS(Claims!$H:$H,Claims!$C:$C,C232,Claims!$B:$B,B232)&gt;Settings!$B$10,"Weekly OT &gt;10",""),IF(AND(G232&lt;&gt;"Off",COUNTIFS($C:$C,C232,$A:$A,A232-1,$G:$G,"Night")&gt;0),"Rest &lt;12h after night shift",""),IF(J232&gt;5,"Meal interval required","")))</f>
        <v>#NAME?</v>
      </c>
      <c r="O232" s="25" t="s">
        <v>112</v>
      </c>
      <c r="P232" s="25"/>
    </row>
    <row r="233" spans="1:16" x14ac:dyDescent="0.35">
      <c r="A233" s="31">
        <f>IF(11+1&lt;=Settings!$B$7,Settings!$B$6+11,"")</f>
        <v>46154</v>
      </c>
      <c r="B233" s="31">
        <f t="shared" si="9"/>
        <v>46153</v>
      </c>
      <c r="C233" s="26" t="str">
        <f>IF(Employees!A13="","",Employees!A13)</f>
        <v/>
      </c>
      <c r="D233" s="26" t="str">
        <f>IF(C233="","",Employees!B13)</f>
        <v/>
      </c>
      <c r="E233" s="26" t="str">
        <f>IF(C233="","",Employees!C13)</f>
        <v/>
      </c>
      <c r="F233" s="26">
        <f>IF(A233="","",MOD(A233-Settings!$B$6,4)+1)</f>
        <v>4</v>
      </c>
      <c r="G233" s="26" t="str">
        <f>IF(C233="","",INDEX(Rotation_Pattern!$B$4:$E$7,F233,MATCH(E233,{"A","B","C","D"},0)))</f>
        <v/>
      </c>
      <c r="H233" s="32" t="str">
        <f t="shared" si="10"/>
        <v/>
      </c>
      <c r="I233" s="32" t="str">
        <f>IF(OR(G233="Off",G233=""),"",H233+TIME(Settings!$B$8,0,0))</f>
        <v/>
      </c>
      <c r="J233" s="26">
        <f>IF(OR(G233="Off",G233=""),0,Settings!$B$8)</f>
        <v>0</v>
      </c>
      <c r="K233" s="25" t="s">
        <v>111</v>
      </c>
      <c r="L233" s="26" t="str">
        <f>IF(A233="","",IF(COUNTIF(Public_Holidays!$A$4:$A$80,A233)&gt;0,"Y","N"))</f>
        <v>N</v>
      </c>
      <c r="M233" s="26" t="str">
        <f t="shared" si="11"/>
        <v>N</v>
      </c>
      <c r="N233" s="26" t="e">
        <f ca="1">IF(A233="","",_xludf.TEXTJOIN("; ",TRUE,IF(SUMIFS($J:$J,$C:$C,C233,$B:$B,B233)&gt;Settings!$B$9,"Weekly ordinary hrs &gt;45",""),IF(SUMIFS(Claims!$H:$H,Claims!$C:$C,C233,Claims!$B:$B,B233)&gt;Settings!$B$10,"Weekly OT &gt;10",""),IF(AND(G233&lt;&gt;"Off",COUNTIFS($C:$C,C233,$A:$A,A233-1,$G:$G,"Night")&gt;0),"Rest &lt;12h after night shift",""),IF(J233&gt;5,"Meal interval required","")))</f>
        <v>#NAME?</v>
      </c>
      <c r="O233" s="25" t="s">
        <v>112</v>
      </c>
      <c r="P233" s="25"/>
    </row>
    <row r="234" spans="1:16" x14ac:dyDescent="0.35">
      <c r="A234" s="31">
        <f>IF(11+1&lt;=Settings!$B$7,Settings!$B$6+11,"")</f>
        <v>46154</v>
      </c>
      <c r="B234" s="31">
        <f t="shared" si="9"/>
        <v>46153</v>
      </c>
      <c r="C234" s="26" t="str">
        <f>IF(Employees!A14="","",Employees!A14)</f>
        <v/>
      </c>
      <c r="D234" s="26" t="str">
        <f>IF(C234="","",Employees!B14)</f>
        <v/>
      </c>
      <c r="E234" s="26" t="str">
        <f>IF(C234="","",Employees!C14)</f>
        <v/>
      </c>
      <c r="F234" s="26">
        <f>IF(A234="","",MOD(A234-Settings!$B$6,4)+1)</f>
        <v>4</v>
      </c>
      <c r="G234" s="26" t="str">
        <f>IF(C234="","",INDEX(Rotation_Pattern!$B$4:$E$7,F234,MATCH(E234,{"A","B","C","D"},0)))</f>
        <v/>
      </c>
      <c r="H234" s="32" t="str">
        <f t="shared" si="10"/>
        <v/>
      </c>
      <c r="I234" s="32" t="str">
        <f>IF(OR(G234="Off",G234=""),"",H234+TIME(Settings!$B$8,0,0))</f>
        <v/>
      </c>
      <c r="J234" s="26">
        <f>IF(OR(G234="Off",G234=""),0,Settings!$B$8)</f>
        <v>0</v>
      </c>
      <c r="K234" s="25" t="s">
        <v>111</v>
      </c>
      <c r="L234" s="26" t="str">
        <f>IF(A234="","",IF(COUNTIF(Public_Holidays!$A$4:$A$80,A234)&gt;0,"Y","N"))</f>
        <v>N</v>
      </c>
      <c r="M234" s="26" t="str">
        <f t="shared" si="11"/>
        <v>N</v>
      </c>
      <c r="N234" s="26" t="e">
        <f ca="1">IF(A234="","",_xludf.TEXTJOIN("; ",TRUE,IF(SUMIFS($J:$J,$C:$C,C234,$B:$B,B234)&gt;Settings!$B$9,"Weekly ordinary hrs &gt;45",""),IF(SUMIFS(Claims!$H:$H,Claims!$C:$C,C234,Claims!$B:$B,B234)&gt;Settings!$B$10,"Weekly OT &gt;10",""),IF(AND(G234&lt;&gt;"Off",COUNTIFS($C:$C,C234,$A:$A,A234-1,$G:$G,"Night")&gt;0),"Rest &lt;12h after night shift",""),IF(J234&gt;5,"Meal interval required","")))</f>
        <v>#NAME?</v>
      </c>
      <c r="O234" s="25" t="s">
        <v>112</v>
      </c>
      <c r="P234" s="25"/>
    </row>
    <row r="235" spans="1:16" x14ac:dyDescent="0.35">
      <c r="A235" s="31">
        <f>IF(11+1&lt;=Settings!$B$7,Settings!$B$6+11,"")</f>
        <v>46154</v>
      </c>
      <c r="B235" s="31">
        <f t="shared" si="9"/>
        <v>46153</v>
      </c>
      <c r="C235" s="26" t="str">
        <f>IF(Employees!A15="","",Employees!A15)</f>
        <v/>
      </c>
      <c r="D235" s="26" t="str">
        <f>IF(C235="","",Employees!B15)</f>
        <v/>
      </c>
      <c r="E235" s="26" t="str">
        <f>IF(C235="","",Employees!C15)</f>
        <v/>
      </c>
      <c r="F235" s="26">
        <f>IF(A235="","",MOD(A235-Settings!$B$6,4)+1)</f>
        <v>4</v>
      </c>
      <c r="G235" s="26" t="str">
        <f>IF(C235="","",INDEX(Rotation_Pattern!$B$4:$E$7,F235,MATCH(E235,{"A","B","C","D"},0)))</f>
        <v/>
      </c>
      <c r="H235" s="32" t="str">
        <f t="shared" si="10"/>
        <v/>
      </c>
      <c r="I235" s="32" t="str">
        <f>IF(OR(G235="Off",G235=""),"",H235+TIME(Settings!$B$8,0,0))</f>
        <v/>
      </c>
      <c r="J235" s="26">
        <f>IF(OR(G235="Off",G235=""),0,Settings!$B$8)</f>
        <v>0</v>
      </c>
      <c r="K235" s="25" t="s">
        <v>111</v>
      </c>
      <c r="L235" s="26" t="str">
        <f>IF(A235="","",IF(COUNTIF(Public_Holidays!$A$4:$A$80,A235)&gt;0,"Y","N"))</f>
        <v>N</v>
      </c>
      <c r="M235" s="26" t="str">
        <f t="shared" si="11"/>
        <v>N</v>
      </c>
      <c r="N235" s="26" t="e">
        <f ca="1">IF(A235="","",_xludf.TEXTJOIN("; ",TRUE,IF(SUMIFS($J:$J,$C:$C,C235,$B:$B,B235)&gt;Settings!$B$9,"Weekly ordinary hrs &gt;45",""),IF(SUMIFS(Claims!$H:$H,Claims!$C:$C,C235,Claims!$B:$B,B235)&gt;Settings!$B$10,"Weekly OT &gt;10",""),IF(AND(G235&lt;&gt;"Off",COUNTIFS($C:$C,C235,$A:$A,A235-1,$G:$G,"Night")&gt;0),"Rest &lt;12h after night shift",""),IF(J235&gt;5,"Meal interval required","")))</f>
        <v>#NAME?</v>
      </c>
      <c r="O235" s="25" t="s">
        <v>112</v>
      </c>
      <c r="P235" s="25"/>
    </row>
    <row r="236" spans="1:16" x14ac:dyDescent="0.35">
      <c r="A236" s="31">
        <f>IF(11+1&lt;=Settings!$B$7,Settings!$B$6+11,"")</f>
        <v>46154</v>
      </c>
      <c r="B236" s="31">
        <f t="shared" si="9"/>
        <v>46153</v>
      </c>
      <c r="C236" s="26" t="str">
        <f>IF(Employees!A16="","",Employees!A16)</f>
        <v/>
      </c>
      <c r="D236" s="26" t="str">
        <f>IF(C236="","",Employees!B16)</f>
        <v/>
      </c>
      <c r="E236" s="26" t="str">
        <f>IF(C236="","",Employees!C16)</f>
        <v/>
      </c>
      <c r="F236" s="26">
        <f>IF(A236="","",MOD(A236-Settings!$B$6,4)+1)</f>
        <v>4</v>
      </c>
      <c r="G236" s="26" t="str">
        <f>IF(C236="","",INDEX(Rotation_Pattern!$B$4:$E$7,F236,MATCH(E236,{"A","B","C","D"},0)))</f>
        <v/>
      </c>
      <c r="H236" s="32" t="str">
        <f t="shared" si="10"/>
        <v/>
      </c>
      <c r="I236" s="32" t="str">
        <f>IF(OR(G236="Off",G236=""),"",H236+TIME(Settings!$B$8,0,0))</f>
        <v/>
      </c>
      <c r="J236" s="26">
        <f>IF(OR(G236="Off",G236=""),0,Settings!$B$8)</f>
        <v>0</v>
      </c>
      <c r="K236" s="25" t="s">
        <v>111</v>
      </c>
      <c r="L236" s="26" t="str">
        <f>IF(A236="","",IF(COUNTIF(Public_Holidays!$A$4:$A$80,A236)&gt;0,"Y","N"))</f>
        <v>N</v>
      </c>
      <c r="M236" s="26" t="str">
        <f t="shared" si="11"/>
        <v>N</v>
      </c>
      <c r="N236" s="26" t="e">
        <f ca="1">IF(A236="","",_xludf.TEXTJOIN("; ",TRUE,IF(SUMIFS($J:$J,$C:$C,C236,$B:$B,B236)&gt;Settings!$B$9,"Weekly ordinary hrs &gt;45",""),IF(SUMIFS(Claims!$H:$H,Claims!$C:$C,C236,Claims!$B:$B,B236)&gt;Settings!$B$10,"Weekly OT &gt;10",""),IF(AND(G236&lt;&gt;"Off",COUNTIFS($C:$C,C236,$A:$A,A236-1,$G:$G,"Night")&gt;0),"Rest &lt;12h after night shift",""),IF(J236&gt;5,"Meal interval required","")))</f>
        <v>#NAME?</v>
      </c>
      <c r="O236" s="25" t="s">
        <v>112</v>
      </c>
      <c r="P236" s="25"/>
    </row>
    <row r="237" spans="1:16" x14ac:dyDescent="0.35">
      <c r="A237" s="31">
        <f>IF(11+1&lt;=Settings!$B$7,Settings!$B$6+11,"")</f>
        <v>46154</v>
      </c>
      <c r="B237" s="31">
        <f t="shared" si="9"/>
        <v>46153</v>
      </c>
      <c r="C237" s="26" t="str">
        <f>IF(Employees!A17="","",Employees!A17)</f>
        <v/>
      </c>
      <c r="D237" s="26" t="str">
        <f>IF(C237="","",Employees!B17)</f>
        <v/>
      </c>
      <c r="E237" s="26" t="str">
        <f>IF(C237="","",Employees!C17)</f>
        <v/>
      </c>
      <c r="F237" s="26">
        <f>IF(A237="","",MOD(A237-Settings!$B$6,4)+1)</f>
        <v>4</v>
      </c>
      <c r="G237" s="26" t="str">
        <f>IF(C237="","",INDEX(Rotation_Pattern!$B$4:$E$7,F237,MATCH(E237,{"A","B","C","D"},0)))</f>
        <v/>
      </c>
      <c r="H237" s="32" t="str">
        <f t="shared" si="10"/>
        <v/>
      </c>
      <c r="I237" s="32" t="str">
        <f>IF(OR(G237="Off",G237=""),"",H237+TIME(Settings!$B$8,0,0))</f>
        <v/>
      </c>
      <c r="J237" s="26">
        <f>IF(OR(G237="Off",G237=""),0,Settings!$B$8)</f>
        <v>0</v>
      </c>
      <c r="K237" s="25" t="s">
        <v>111</v>
      </c>
      <c r="L237" s="26" t="str">
        <f>IF(A237="","",IF(COUNTIF(Public_Holidays!$A$4:$A$80,A237)&gt;0,"Y","N"))</f>
        <v>N</v>
      </c>
      <c r="M237" s="26" t="str">
        <f t="shared" si="11"/>
        <v>N</v>
      </c>
      <c r="N237" s="26" t="e">
        <f ca="1">IF(A237="","",_xludf.TEXTJOIN("; ",TRUE,IF(SUMIFS($J:$J,$C:$C,C237,$B:$B,B237)&gt;Settings!$B$9,"Weekly ordinary hrs &gt;45",""),IF(SUMIFS(Claims!$H:$H,Claims!$C:$C,C237,Claims!$B:$B,B237)&gt;Settings!$B$10,"Weekly OT &gt;10",""),IF(AND(G237&lt;&gt;"Off",COUNTIFS($C:$C,C237,$A:$A,A237-1,$G:$G,"Night")&gt;0),"Rest &lt;12h after night shift",""),IF(J237&gt;5,"Meal interval required","")))</f>
        <v>#NAME?</v>
      </c>
      <c r="O237" s="25" t="s">
        <v>112</v>
      </c>
      <c r="P237" s="25"/>
    </row>
    <row r="238" spans="1:16" x14ac:dyDescent="0.35">
      <c r="A238" s="31">
        <f>IF(11+1&lt;=Settings!$B$7,Settings!$B$6+11,"")</f>
        <v>46154</v>
      </c>
      <c r="B238" s="31">
        <f t="shared" si="9"/>
        <v>46153</v>
      </c>
      <c r="C238" s="26" t="str">
        <f>IF(Employees!A18="","",Employees!A18)</f>
        <v/>
      </c>
      <c r="D238" s="26" t="str">
        <f>IF(C238="","",Employees!B18)</f>
        <v/>
      </c>
      <c r="E238" s="26" t="str">
        <f>IF(C238="","",Employees!C18)</f>
        <v/>
      </c>
      <c r="F238" s="26">
        <f>IF(A238="","",MOD(A238-Settings!$B$6,4)+1)</f>
        <v>4</v>
      </c>
      <c r="G238" s="26" t="str">
        <f>IF(C238="","",INDEX(Rotation_Pattern!$B$4:$E$7,F238,MATCH(E238,{"A","B","C","D"},0)))</f>
        <v/>
      </c>
      <c r="H238" s="32" t="str">
        <f t="shared" si="10"/>
        <v/>
      </c>
      <c r="I238" s="32" t="str">
        <f>IF(OR(G238="Off",G238=""),"",H238+TIME(Settings!$B$8,0,0))</f>
        <v/>
      </c>
      <c r="J238" s="26">
        <f>IF(OR(G238="Off",G238=""),0,Settings!$B$8)</f>
        <v>0</v>
      </c>
      <c r="K238" s="25" t="s">
        <v>111</v>
      </c>
      <c r="L238" s="26" t="str">
        <f>IF(A238="","",IF(COUNTIF(Public_Holidays!$A$4:$A$80,A238)&gt;0,"Y","N"))</f>
        <v>N</v>
      </c>
      <c r="M238" s="26" t="str">
        <f t="shared" si="11"/>
        <v>N</v>
      </c>
      <c r="N238" s="26" t="e">
        <f ca="1">IF(A238="","",_xludf.TEXTJOIN("; ",TRUE,IF(SUMIFS($J:$J,$C:$C,C238,$B:$B,B238)&gt;Settings!$B$9,"Weekly ordinary hrs &gt;45",""),IF(SUMIFS(Claims!$H:$H,Claims!$C:$C,C238,Claims!$B:$B,B238)&gt;Settings!$B$10,"Weekly OT &gt;10",""),IF(AND(G238&lt;&gt;"Off",COUNTIFS($C:$C,C238,$A:$A,A238-1,$G:$G,"Night")&gt;0),"Rest &lt;12h after night shift",""),IF(J238&gt;5,"Meal interval required","")))</f>
        <v>#NAME?</v>
      </c>
      <c r="O238" s="25" t="s">
        <v>112</v>
      </c>
      <c r="P238" s="25"/>
    </row>
    <row r="239" spans="1:16" x14ac:dyDescent="0.35">
      <c r="A239" s="31">
        <f>IF(11+1&lt;=Settings!$B$7,Settings!$B$6+11,"")</f>
        <v>46154</v>
      </c>
      <c r="B239" s="31">
        <f t="shared" si="9"/>
        <v>46153</v>
      </c>
      <c r="C239" s="26" t="str">
        <f>IF(Employees!A19="","",Employees!A19)</f>
        <v/>
      </c>
      <c r="D239" s="26" t="str">
        <f>IF(C239="","",Employees!B19)</f>
        <v/>
      </c>
      <c r="E239" s="26" t="str">
        <f>IF(C239="","",Employees!C19)</f>
        <v/>
      </c>
      <c r="F239" s="26">
        <f>IF(A239="","",MOD(A239-Settings!$B$6,4)+1)</f>
        <v>4</v>
      </c>
      <c r="G239" s="26" t="str">
        <f>IF(C239="","",INDEX(Rotation_Pattern!$B$4:$E$7,F239,MATCH(E239,{"A","B","C","D"},0)))</f>
        <v/>
      </c>
      <c r="H239" s="32" t="str">
        <f t="shared" si="10"/>
        <v/>
      </c>
      <c r="I239" s="32" t="str">
        <f>IF(OR(G239="Off",G239=""),"",H239+TIME(Settings!$B$8,0,0))</f>
        <v/>
      </c>
      <c r="J239" s="26">
        <f>IF(OR(G239="Off",G239=""),0,Settings!$B$8)</f>
        <v>0</v>
      </c>
      <c r="K239" s="25" t="s">
        <v>111</v>
      </c>
      <c r="L239" s="26" t="str">
        <f>IF(A239="","",IF(COUNTIF(Public_Holidays!$A$4:$A$80,A239)&gt;0,"Y","N"))</f>
        <v>N</v>
      </c>
      <c r="M239" s="26" t="str">
        <f t="shared" si="11"/>
        <v>N</v>
      </c>
      <c r="N239" s="26" t="e">
        <f ca="1">IF(A239="","",_xludf.TEXTJOIN("; ",TRUE,IF(SUMIFS($J:$J,$C:$C,C239,$B:$B,B239)&gt;Settings!$B$9,"Weekly ordinary hrs &gt;45",""),IF(SUMIFS(Claims!$H:$H,Claims!$C:$C,C239,Claims!$B:$B,B239)&gt;Settings!$B$10,"Weekly OT &gt;10",""),IF(AND(G239&lt;&gt;"Off",COUNTIFS($C:$C,C239,$A:$A,A239-1,$G:$G,"Night")&gt;0),"Rest &lt;12h after night shift",""),IF(J239&gt;5,"Meal interval required","")))</f>
        <v>#NAME?</v>
      </c>
      <c r="O239" s="25" t="s">
        <v>112</v>
      </c>
      <c r="P239" s="25"/>
    </row>
    <row r="240" spans="1:16" x14ac:dyDescent="0.35">
      <c r="A240" s="31">
        <f>IF(11+1&lt;=Settings!$B$7,Settings!$B$6+11,"")</f>
        <v>46154</v>
      </c>
      <c r="B240" s="31">
        <f t="shared" si="9"/>
        <v>46153</v>
      </c>
      <c r="C240" s="26" t="str">
        <f>IF(Employees!A20="","",Employees!A20)</f>
        <v/>
      </c>
      <c r="D240" s="26" t="str">
        <f>IF(C240="","",Employees!B20)</f>
        <v/>
      </c>
      <c r="E240" s="26" t="str">
        <f>IF(C240="","",Employees!C20)</f>
        <v/>
      </c>
      <c r="F240" s="26">
        <f>IF(A240="","",MOD(A240-Settings!$B$6,4)+1)</f>
        <v>4</v>
      </c>
      <c r="G240" s="26" t="str">
        <f>IF(C240="","",INDEX(Rotation_Pattern!$B$4:$E$7,F240,MATCH(E240,{"A","B","C","D"},0)))</f>
        <v/>
      </c>
      <c r="H240" s="32" t="str">
        <f t="shared" si="10"/>
        <v/>
      </c>
      <c r="I240" s="32" t="str">
        <f>IF(OR(G240="Off",G240=""),"",H240+TIME(Settings!$B$8,0,0))</f>
        <v/>
      </c>
      <c r="J240" s="26">
        <f>IF(OR(G240="Off",G240=""),0,Settings!$B$8)</f>
        <v>0</v>
      </c>
      <c r="K240" s="25" t="s">
        <v>111</v>
      </c>
      <c r="L240" s="26" t="str">
        <f>IF(A240="","",IF(COUNTIF(Public_Holidays!$A$4:$A$80,A240)&gt;0,"Y","N"))</f>
        <v>N</v>
      </c>
      <c r="M240" s="26" t="str">
        <f t="shared" si="11"/>
        <v>N</v>
      </c>
      <c r="N240" s="26" t="e">
        <f ca="1">IF(A240="","",_xludf.TEXTJOIN("; ",TRUE,IF(SUMIFS($J:$J,$C:$C,C240,$B:$B,B240)&gt;Settings!$B$9,"Weekly ordinary hrs &gt;45",""),IF(SUMIFS(Claims!$H:$H,Claims!$C:$C,C240,Claims!$B:$B,B240)&gt;Settings!$B$10,"Weekly OT &gt;10",""),IF(AND(G240&lt;&gt;"Off",COUNTIFS($C:$C,C240,$A:$A,A240-1,$G:$G,"Night")&gt;0),"Rest &lt;12h after night shift",""),IF(J240&gt;5,"Meal interval required","")))</f>
        <v>#NAME?</v>
      </c>
      <c r="O240" s="25" t="s">
        <v>112</v>
      </c>
      <c r="P240" s="25"/>
    </row>
    <row r="241" spans="1:16" x14ac:dyDescent="0.35">
      <c r="A241" s="31">
        <f>IF(11+1&lt;=Settings!$B$7,Settings!$B$6+11,"")</f>
        <v>46154</v>
      </c>
      <c r="B241" s="31">
        <f t="shared" si="9"/>
        <v>46153</v>
      </c>
      <c r="C241" s="26" t="str">
        <f>IF(Employees!A21="","",Employees!A21)</f>
        <v/>
      </c>
      <c r="D241" s="26" t="str">
        <f>IF(C241="","",Employees!B21)</f>
        <v/>
      </c>
      <c r="E241" s="26" t="str">
        <f>IF(C241="","",Employees!C21)</f>
        <v/>
      </c>
      <c r="F241" s="26">
        <f>IF(A241="","",MOD(A241-Settings!$B$6,4)+1)</f>
        <v>4</v>
      </c>
      <c r="G241" s="26" t="str">
        <f>IF(C241="","",INDEX(Rotation_Pattern!$B$4:$E$7,F241,MATCH(E241,{"A","B","C","D"},0)))</f>
        <v/>
      </c>
      <c r="H241" s="32" t="str">
        <f t="shared" si="10"/>
        <v/>
      </c>
      <c r="I241" s="32" t="str">
        <f>IF(OR(G241="Off",G241=""),"",H241+TIME(Settings!$B$8,0,0))</f>
        <v/>
      </c>
      <c r="J241" s="26">
        <f>IF(OR(G241="Off",G241=""),0,Settings!$B$8)</f>
        <v>0</v>
      </c>
      <c r="K241" s="25" t="s">
        <v>111</v>
      </c>
      <c r="L241" s="26" t="str">
        <f>IF(A241="","",IF(COUNTIF(Public_Holidays!$A$4:$A$80,A241)&gt;0,"Y","N"))</f>
        <v>N</v>
      </c>
      <c r="M241" s="26" t="str">
        <f t="shared" si="11"/>
        <v>N</v>
      </c>
      <c r="N241" s="26" t="e">
        <f ca="1">IF(A241="","",_xludf.TEXTJOIN("; ",TRUE,IF(SUMIFS($J:$J,$C:$C,C241,$B:$B,B241)&gt;Settings!$B$9,"Weekly ordinary hrs &gt;45",""),IF(SUMIFS(Claims!$H:$H,Claims!$C:$C,C241,Claims!$B:$B,B241)&gt;Settings!$B$10,"Weekly OT &gt;10",""),IF(AND(G241&lt;&gt;"Off",COUNTIFS($C:$C,C241,$A:$A,A241-1,$G:$G,"Night")&gt;0),"Rest &lt;12h after night shift",""),IF(J241&gt;5,"Meal interval required","")))</f>
        <v>#NAME?</v>
      </c>
      <c r="O241" s="25" t="s">
        <v>112</v>
      </c>
      <c r="P241" s="25"/>
    </row>
    <row r="242" spans="1:16" x14ac:dyDescent="0.35">
      <c r="A242" s="31">
        <f>IF(11+1&lt;=Settings!$B$7,Settings!$B$6+11,"")</f>
        <v>46154</v>
      </c>
      <c r="B242" s="31">
        <f t="shared" si="9"/>
        <v>46153</v>
      </c>
      <c r="C242" s="26" t="str">
        <f>IF(Employees!A22="","",Employees!A22)</f>
        <v/>
      </c>
      <c r="D242" s="26" t="str">
        <f>IF(C242="","",Employees!B22)</f>
        <v/>
      </c>
      <c r="E242" s="26" t="str">
        <f>IF(C242="","",Employees!C22)</f>
        <v/>
      </c>
      <c r="F242" s="26">
        <f>IF(A242="","",MOD(A242-Settings!$B$6,4)+1)</f>
        <v>4</v>
      </c>
      <c r="G242" s="26" t="str">
        <f>IF(C242="","",INDEX(Rotation_Pattern!$B$4:$E$7,F242,MATCH(E242,{"A","B","C","D"},0)))</f>
        <v/>
      </c>
      <c r="H242" s="32" t="str">
        <f t="shared" si="10"/>
        <v/>
      </c>
      <c r="I242" s="32" t="str">
        <f>IF(OR(G242="Off",G242=""),"",H242+TIME(Settings!$B$8,0,0))</f>
        <v/>
      </c>
      <c r="J242" s="26">
        <f>IF(OR(G242="Off",G242=""),0,Settings!$B$8)</f>
        <v>0</v>
      </c>
      <c r="K242" s="25" t="s">
        <v>111</v>
      </c>
      <c r="L242" s="26" t="str">
        <f>IF(A242="","",IF(COUNTIF(Public_Holidays!$A$4:$A$80,A242)&gt;0,"Y","N"))</f>
        <v>N</v>
      </c>
      <c r="M242" s="26" t="str">
        <f t="shared" si="11"/>
        <v>N</v>
      </c>
      <c r="N242" s="26" t="e">
        <f ca="1">IF(A242="","",_xludf.TEXTJOIN("; ",TRUE,IF(SUMIFS($J:$J,$C:$C,C242,$B:$B,B242)&gt;Settings!$B$9,"Weekly ordinary hrs &gt;45",""),IF(SUMIFS(Claims!$H:$H,Claims!$C:$C,C242,Claims!$B:$B,B242)&gt;Settings!$B$10,"Weekly OT &gt;10",""),IF(AND(G242&lt;&gt;"Off",COUNTIFS($C:$C,C242,$A:$A,A242-1,$G:$G,"Night")&gt;0),"Rest &lt;12h after night shift",""),IF(J242&gt;5,"Meal interval required","")))</f>
        <v>#NAME?</v>
      </c>
      <c r="O242" s="25" t="s">
        <v>112</v>
      </c>
      <c r="P242" s="25"/>
    </row>
    <row r="243" spans="1:16" x14ac:dyDescent="0.35">
      <c r="A243" s="31">
        <f>IF(11+1&lt;=Settings!$B$7,Settings!$B$6+11,"")</f>
        <v>46154</v>
      </c>
      <c r="B243" s="31">
        <f t="shared" si="9"/>
        <v>46153</v>
      </c>
      <c r="C243" s="26" t="str">
        <f>IF(Employees!A23="","",Employees!A23)</f>
        <v/>
      </c>
      <c r="D243" s="26" t="str">
        <f>IF(C243="","",Employees!B23)</f>
        <v/>
      </c>
      <c r="E243" s="26" t="str">
        <f>IF(C243="","",Employees!C23)</f>
        <v/>
      </c>
      <c r="F243" s="26">
        <f>IF(A243="","",MOD(A243-Settings!$B$6,4)+1)</f>
        <v>4</v>
      </c>
      <c r="G243" s="26" t="str">
        <f>IF(C243="","",INDEX(Rotation_Pattern!$B$4:$E$7,F243,MATCH(E243,{"A","B","C","D"},0)))</f>
        <v/>
      </c>
      <c r="H243" s="32" t="str">
        <f t="shared" si="10"/>
        <v/>
      </c>
      <c r="I243" s="32" t="str">
        <f>IF(OR(G243="Off",G243=""),"",H243+TIME(Settings!$B$8,0,0))</f>
        <v/>
      </c>
      <c r="J243" s="26">
        <f>IF(OR(G243="Off",G243=""),0,Settings!$B$8)</f>
        <v>0</v>
      </c>
      <c r="K243" s="25" t="s">
        <v>111</v>
      </c>
      <c r="L243" s="26" t="str">
        <f>IF(A243="","",IF(COUNTIF(Public_Holidays!$A$4:$A$80,A243)&gt;0,"Y","N"))</f>
        <v>N</v>
      </c>
      <c r="M243" s="26" t="str">
        <f t="shared" si="11"/>
        <v>N</v>
      </c>
      <c r="N243" s="26" t="e">
        <f ca="1">IF(A243="","",_xludf.TEXTJOIN("; ",TRUE,IF(SUMIFS($J:$J,$C:$C,C243,$B:$B,B243)&gt;Settings!$B$9,"Weekly ordinary hrs &gt;45",""),IF(SUMIFS(Claims!$H:$H,Claims!$C:$C,C243,Claims!$B:$B,B243)&gt;Settings!$B$10,"Weekly OT &gt;10",""),IF(AND(G243&lt;&gt;"Off",COUNTIFS($C:$C,C243,$A:$A,A243-1,$G:$G,"Night")&gt;0),"Rest &lt;12h after night shift",""),IF(J243&gt;5,"Meal interval required","")))</f>
        <v>#NAME?</v>
      </c>
      <c r="O243" s="25" t="s">
        <v>112</v>
      </c>
      <c r="P243" s="25"/>
    </row>
    <row r="244" spans="1:16" x14ac:dyDescent="0.35">
      <c r="A244" s="31">
        <f>IF(12+1&lt;=Settings!$B$7,Settings!$B$6+12,"")</f>
        <v>46155</v>
      </c>
      <c r="B244" s="31">
        <f t="shared" si="9"/>
        <v>46153</v>
      </c>
      <c r="C244" s="26" t="str">
        <f>IF(Employees!A4="","",Employees!A4)</f>
        <v>E001</v>
      </c>
      <c r="D244" s="26" t="str">
        <f>IF(C244="","",Employees!B4)</f>
        <v>Musiwa Khavalani</v>
      </c>
      <c r="E244" s="26">
        <f>IF(C244="","",Employees!C4)</f>
        <v>0</v>
      </c>
      <c r="F244" s="26">
        <f>IF(A244="","",MOD(A244-Settings!$B$6,4)+1)</f>
        <v>1</v>
      </c>
      <c r="G244" s="26" t="e">
        <f>IF(C244="","",INDEX(Rotation_Pattern!$B$4:$E$7,F244,MATCH(E244,{"A","B","C","D"},0)))</f>
        <v>#N/A</v>
      </c>
      <c r="H244" s="32" t="e">
        <f t="shared" si="10"/>
        <v>#N/A</v>
      </c>
      <c r="I244" s="32" t="e">
        <f>IF(OR(G244="Off",G244=""),"",H244+TIME(Settings!$B$8,0,0))</f>
        <v>#N/A</v>
      </c>
      <c r="J244" s="26" t="e">
        <f>IF(OR(G244="Off",G244=""),0,Settings!$B$8)</f>
        <v>#N/A</v>
      </c>
      <c r="K244" s="25" t="s">
        <v>111</v>
      </c>
      <c r="L244" s="26" t="str">
        <f>IF(A244="","",IF(COUNTIF(Public_Holidays!$A$4:$A$80,A244)&gt;0,"Y","N"))</f>
        <v>N</v>
      </c>
      <c r="M244" s="26" t="str">
        <f t="shared" si="11"/>
        <v>N</v>
      </c>
      <c r="N244" s="26" t="e">
        <f ca="1">IF(A244="","",_xludf.TEXTJOIN("; ",TRUE,IF(SUMIFS($J:$J,$C:$C,C244,$B:$B,B244)&gt;Settings!$B$9,"Weekly ordinary hrs &gt;45",""),IF(SUMIFS(Claims!$H:$H,Claims!$C:$C,C244,Claims!$B:$B,B244)&gt;Settings!$B$10,"Weekly OT &gt;10",""),IF(AND(G244&lt;&gt;"Off",COUNTIFS($C:$C,C244,$A:$A,A244-1,$G:$G,"Night")&gt;0),"Rest &lt;12h after night shift",""),IF(J244&gt;5,"Meal interval required","")))</f>
        <v>#NAME?</v>
      </c>
      <c r="O244" s="25" t="s">
        <v>112</v>
      </c>
      <c r="P244" s="25"/>
    </row>
    <row r="245" spans="1:16" x14ac:dyDescent="0.35">
      <c r="A245" s="31">
        <f>IF(12+1&lt;=Settings!$B$7,Settings!$B$6+12,"")</f>
        <v>46155</v>
      </c>
      <c r="B245" s="31">
        <f t="shared" si="9"/>
        <v>46153</v>
      </c>
      <c r="C245" s="26" t="str">
        <f>IF(Employees!A5="","",Employees!A5)</f>
        <v>E002</v>
      </c>
      <c r="D245" s="26" t="str">
        <f>IF(C245="","",Employees!B5)</f>
        <v>Mpho  Nembemhia</v>
      </c>
      <c r="E245" s="26" t="str">
        <f>IF(C245="","",Employees!C5)</f>
        <v>B</v>
      </c>
      <c r="F245" s="26">
        <f>IF(A245="","",MOD(A245-Settings!$B$6,4)+1)</f>
        <v>1</v>
      </c>
      <c r="G245" s="26" t="str">
        <f>IF(C245="","",INDEX(Rotation_Pattern!$B$4:$E$7,F245,MATCH(E245,{"A","B","C","D"},0)))</f>
        <v>Off</v>
      </c>
      <c r="H245" s="32" t="str">
        <f t="shared" si="10"/>
        <v/>
      </c>
      <c r="I245" s="32" t="str">
        <f>IF(OR(G245="Off",G245=""),"",H245+TIME(Settings!$B$8,0,0))</f>
        <v/>
      </c>
      <c r="J245" s="26">
        <f>IF(OR(G245="Off",G245=""),0,Settings!$B$8)</f>
        <v>0</v>
      </c>
      <c r="K245" s="25" t="s">
        <v>111</v>
      </c>
      <c r="L245" s="26" t="str">
        <f>IF(A245="","",IF(COUNTIF(Public_Holidays!$A$4:$A$80,A245)&gt;0,"Y","N"))</f>
        <v>N</v>
      </c>
      <c r="M245" s="26" t="str">
        <f t="shared" si="11"/>
        <v>N</v>
      </c>
      <c r="N245" s="26" t="e">
        <f ca="1">IF(A245="","",_xludf.TEXTJOIN("; ",TRUE,IF(SUMIFS($J:$J,$C:$C,C245,$B:$B,B245)&gt;Settings!$B$9,"Weekly ordinary hrs &gt;45",""),IF(SUMIFS(Claims!$H:$H,Claims!$C:$C,C245,Claims!$B:$B,B245)&gt;Settings!$B$10,"Weekly OT &gt;10",""),IF(AND(G245&lt;&gt;"Off",COUNTIFS($C:$C,C245,$A:$A,A245-1,$G:$G,"Night")&gt;0),"Rest &lt;12h after night shift",""),IF(J245&gt;5,"Meal interval required","")))</f>
        <v>#NAME?</v>
      </c>
      <c r="O245" s="25" t="s">
        <v>112</v>
      </c>
      <c r="P245" s="25"/>
    </row>
    <row r="246" spans="1:16" x14ac:dyDescent="0.35">
      <c r="A246" s="31">
        <f>IF(12+1&lt;=Settings!$B$7,Settings!$B$6+12,"")</f>
        <v>46155</v>
      </c>
      <c r="B246" s="31">
        <f t="shared" si="9"/>
        <v>46153</v>
      </c>
      <c r="C246" s="26" t="str">
        <f>IF(Employees!A6="","",Employees!A6)</f>
        <v>E003</v>
      </c>
      <c r="D246" s="26" t="str">
        <f>IF(C246="","",Employees!B6)</f>
        <v>Dimpho Makhafola</v>
      </c>
      <c r="E246" s="26" t="str">
        <f>IF(C246="","",Employees!C6)</f>
        <v>C</v>
      </c>
      <c r="F246" s="26">
        <f>IF(A246="","",MOD(A246-Settings!$B$6,4)+1)</f>
        <v>1</v>
      </c>
      <c r="G246" s="26" t="str">
        <f>IF(C246="","",INDEX(Rotation_Pattern!$B$4:$E$7,F246,MATCH(E246,{"A","B","C","D"},0)))</f>
        <v>Evening</v>
      </c>
      <c r="H246" s="32">
        <f t="shared" si="10"/>
        <v>0.58333333333333337</v>
      </c>
      <c r="I246" s="32">
        <f>IF(OR(G246="Off",G246=""),"",H246+TIME(Settings!$B$8,0,0))</f>
        <v>0.91666666666666674</v>
      </c>
      <c r="J246" s="26">
        <f>IF(OR(G246="Off",G246=""),0,Settings!$B$8)</f>
        <v>8</v>
      </c>
      <c r="K246" s="25" t="s">
        <v>111</v>
      </c>
      <c r="L246" s="26" t="str">
        <f>IF(A246="","",IF(COUNTIF(Public_Holidays!$A$4:$A$80,A246)&gt;0,"Y","N"))</f>
        <v>N</v>
      </c>
      <c r="M246" s="26" t="str">
        <f t="shared" si="11"/>
        <v>N</v>
      </c>
      <c r="N246" s="26" t="e">
        <f ca="1">IF(A246="","",_xludf.TEXTJOIN("; ",TRUE,IF(SUMIFS($J:$J,$C:$C,C246,$B:$B,B246)&gt;Settings!$B$9,"Weekly ordinary hrs &gt;45",""),IF(SUMIFS(Claims!$H:$H,Claims!$C:$C,C246,Claims!$B:$B,B246)&gt;Settings!$B$10,"Weekly OT &gt;10",""),IF(AND(G246&lt;&gt;"Off",COUNTIFS($C:$C,C246,$A:$A,A246-1,$G:$G,"Night")&gt;0),"Rest &lt;12h after night shift",""),IF(J246&gt;5,"Meal interval required","")))</f>
        <v>#NAME?</v>
      </c>
      <c r="O246" s="25" t="s">
        <v>112</v>
      </c>
      <c r="P246" s="25"/>
    </row>
    <row r="247" spans="1:16" x14ac:dyDescent="0.35">
      <c r="A247" s="31">
        <f>IF(12+1&lt;=Settings!$B$7,Settings!$B$6+12,"")</f>
        <v>46155</v>
      </c>
      <c r="B247" s="31">
        <f t="shared" si="9"/>
        <v>46153</v>
      </c>
      <c r="C247" s="26" t="str">
        <f>IF(Employees!A7="","",Employees!A7)</f>
        <v>E004</v>
      </c>
      <c r="D247" s="26" t="str">
        <f>IF(C247="","",Employees!B7)</f>
        <v>Bashii Fall</v>
      </c>
      <c r="E247" s="26" t="str">
        <f>IF(C247="","",Employees!C7)</f>
        <v>D</v>
      </c>
      <c r="F247" s="26">
        <f>IF(A247="","",MOD(A247-Settings!$B$6,4)+1)</f>
        <v>1</v>
      </c>
      <c r="G247" s="26" t="str">
        <f>IF(C247="","",INDEX(Rotation_Pattern!$B$4:$E$7,F247,MATCH(E247,{"A","B","C","D"},0)))</f>
        <v>Night</v>
      </c>
      <c r="H247" s="32">
        <f t="shared" si="10"/>
        <v>0.91666666666666663</v>
      </c>
      <c r="I247" s="32">
        <f>IF(OR(G247="Off",G247=""),"",H247+TIME(Settings!$B$8,0,0))</f>
        <v>1.25</v>
      </c>
      <c r="J247" s="26">
        <f>IF(OR(G247="Off",G247=""),0,Settings!$B$8)</f>
        <v>8</v>
      </c>
      <c r="K247" s="25" t="s">
        <v>111</v>
      </c>
      <c r="L247" s="26" t="str">
        <f>IF(A247="","",IF(COUNTIF(Public_Holidays!$A$4:$A$80,A247)&gt;0,"Y","N"))</f>
        <v>N</v>
      </c>
      <c r="M247" s="26" t="str">
        <f t="shared" si="11"/>
        <v>N</v>
      </c>
      <c r="N247" s="26" t="e">
        <f ca="1">IF(A247="","",_xludf.TEXTJOIN("; ",TRUE,IF(SUMIFS($J:$J,$C:$C,C247,$B:$B,B247)&gt;Settings!$B$9,"Weekly ordinary hrs &gt;45",""),IF(SUMIFS(Claims!$H:$H,Claims!$C:$C,C247,Claims!$B:$B,B247)&gt;Settings!$B$10,"Weekly OT &gt;10",""),IF(AND(G247&lt;&gt;"Off",COUNTIFS($C:$C,C247,$A:$A,A247-1,$G:$G,"Night")&gt;0),"Rest &lt;12h after night shift",""),IF(J247&gt;5,"Meal interval required","")))</f>
        <v>#NAME?</v>
      </c>
      <c r="O247" s="25" t="s">
        <v>112</v>
      </c>
      <c r="P247" s="25"/>
    </row>
    <row r="248" spans="1:16" x14ac:dyDescent="0.35">
      <c r="A248" s="31">
        <f>IF(12+1&lt;=Settings!$B$7,Settings!$B$6+12,"")</f>
        <v>46155</v>
      </c>
      <c r="B248" s="31">
        <f t="shared" si="9"/>
        <v>46153</v>
      </c>
      <c r="C248" s="26" t="str">
        <f>IF(Employees!A8="","",Employees!A8)</f>
        <v>E005</v>
      </c>
      <c r="D248" s="26" t="str">
        <f>IF(C248="","",Employees!B8)</f>
        <v>Lesego Aphane</v>
      </c>
      <c r="E248" s="26" t="str">
        <f>IF(C248="","",Employees!C8)</f>
        <v>A</v>
      </c>
      <c r="F248" s="26">
        <f>IF(A248="","",MOD(A248-Settings!$B$6,4)+1)</f>
        <v>1</v>
      </c>
      <c r="G248" s="26" t="str">
        <f>IF(C248="","",INDEX(Rotation_Pattern!$B$4:$E$7,F248,MATCH(E248,{"A","B","C","D"},0)))</f>
        <v>Day</v>
      </c>
      <c r="H248" s="32">
        <f t="shared" si="10"/>
        <v>0.25</v>
      </c>
      <c r="I248" s="32">
        <f>IF(OR(G248="Off",G248=""),"",H248+TIME(Settings!$B$8,0,0))</f>
        <v>0.58333333333333326</v>
      </c>
      <c r="J248" s="26">
        <f>IF(OR(G248="Off",G248=""),0,Settings!$B$8)</f>
        <v>8</v>
      </c>
      <c r="K248" s="25" t="s">
        <v>111</v>
      </c>
      <c r="L248" s="26" t="str">
        <f>IF(A248="","",IF(COUNTIF(Public_Holidays!$A$4:$A$80,A248)&gt;0,"Y","N"))</f>
        <v>N</v>
      </c>
      <c r="M248" s="26" t="str">
        <f t="shared" si="11"/>
        <v>N</v>
      </c>
      <c r="N248" s="26" t="e">
        <f ca="1">IF(A248="","",_xludf.TEXTJOIN("; ",TRUE,IF(SUMIFS($J:$J,$C:$C,C248,$B:$B,B248)&gt;Settings!$B$9,"Weekly ordinary hrs &gt;45",""),IF(SUMIFS(Claims!$H:$H,Claims!$C:$C,C248,Claims!$B:$B,B248)&gt;Settings!$B$10,"Weekly OT &gt;10",""),IF(AND(G248&lt;&gt;"Off",COUNTIFS($C:$C,C248,$A:$A,A248-1,$G:$G,"Night")&gt;0),"Rest &lt;12h after night shift",""),IF(J248&gt;5,"Meal interval required","")))</f>
        <v>#NAME?</v>
      </c>
      <c r="O248" s="25" t="s">
        <v>112</v>
      </c>
      <c r="P248" s="25"/>
    </row>
    <row r="249" spans="1:16" x14ac:dyDescent="0.35">
      <c r="A249" s="31">
        <f>IF(12+1&lt;=Settings!$B$7,Settings!$B$6+12,"")</f>
        <v>46155</v>
      </c>
      <c r="B249" s="31">
        <f t="shared" si="9"/>
        <v>46153</v>
      </c>
      <c r="C249" s="26" t="str">
        <f>IF(Employees!A9="","",Employees!A9)</f>
        <v>E006</v>
      </c>
      <c r="D249" s="26" t="str">
        <f>IF(C249="","",Employees!B9)</f>
        <v>Nhalnahla</v>
      </c>
      <c r="E249" s="26" t="str">
        <f>IF(C249="","",Employees!C9)</f>
        <v>B</v>
      </c>
      <c r="F249" s="26">
        <f>IF(A249="","",MOD(A249-Settings!$B$6,4)+1)</f>
        <v>1</v>
      </c>
      <c r="G249" s="26" t="str">
        <f>IF(C249="","",INDEX(Rotation_Pattern!$B$4:$E$7,F249,MATCH(E249,{"A","B","C","D"},0)))</f>
        <v>Off</v>
      </c>
      <c r="H249" s="32" t="str">
        <f t="shared" si="10"/>
        <v/>
      </c>
      <c r="I249" s="32" t="str">
        <f>IF(OR(G249="Off",G249=""),"",H249+TIME(Settings!$B$8,0,0))</f>
        <v/>
      </c>
      <c r="J249" s="26">
        <f>IF(OR(G249="Off",G249=""),0,Settings!$B$8)</f>
        <v>0</v>
      </c>
      <c r="K249" s="25" t="s">
        <v>111</v>
      </c>
      <c r="L249" s="26" t="str">
        <f>IF(A249="","",IF(COUNTIF(Public_Holidays!$A$4:$A$80,A249)&gt;0,"Y","N"))</f>
        <v>N</v>
      </c>
      <c r="M249" s="26" t="str">
        <f t="shared" si="11"/>
        <v>N</v>
      </c>
      <c r="N249" s="26" t="e">
        <f ca="1">IF(A249="","",_xludf.TEXTJOIN("; ",TRUE,IF(SUMIFS($J:$J,$C:$C,C249,$B:$B,B249)&gt;Settings!$B$9,"Weekly ordinary hrs &gt;45",""),IF(SUMIFS(Claims!$H:$H,Claims!$C:$C,C249,Claims!$B:$B,B249)&gt;Settings!$B$10,"Weekly OT &gt;10",""),IF(AND(G249&lt;&gt;"Off",COUNTIFS($C:$C,C249,$A:$A,A249-1,$G:$G,"Night")&gt;0),"Rest &lt;12h after night shift",""),IF(J249&gt;5,"Meal interval required","")))</f>
        <v>#NAME?</v>
      </c>
      <c r="O249" s="25" t="s">
        <v>112</v>
      </c>
      <c r="P249" s="25"/>
    </row>
    <row r="250" spans="1:16" x14ac:dyDescent="0.35">
      <c r="A250" s="31">
        <f>IF(12+1&lt;=Settings!$B$7,Settings!$B$6+12,"")</f>
        <v>46155</v>
      </c>
      <c r="B250" s="31">
        <f t="shared" si="9"/>
        <v>46153</v>
      </c>
      <c r="C250" s="26" t="str">
        <f>IF(Employees!A10="","",Employees!A10)</f>
        <v>E007</v>
      </c>
      <c r="D250" s="26" t="str">
        <f>IF(C250="","",Employees!B10)</f>
        <v>Joe</v>
      </c>
      <c r="E250" s="26" t="str">
        <f>IF(C250="","",Employees!C10)</f>
        <v>C</v>
      </c>
      <c r="F250" s="26">
        <f>IF(A250="","",MOD(A250-Settings!$B$6,4)+1)</f>
        <v>1</v>
      </c>
      <c r="G250" s="26" t="str">
        <f>IF(C250="","",INDEX(Rotation_Pattern!$B$4:$E$7,F250,MATCH(E250,{"A","B","C","D"},0)))</f>
        <v>Evening</v>
      </c>
      <c r="H250" s="32">
        <f t="shared" si="10"/>
        <v>0.58333333333333337</v>
      </c>
      <c r="I250" s="32">
        <f>IF(OR(G250="Off",G250=""),"",H250+TIME(Settings!$B$8,0,0))</f>
        <v>0.91666666666666674</v>
      </c>
      <c r="J250" s="26">
        <f>IF(OR(G250="Off",G250=""),0,Settings!$B$8)</f>
        <v>8</v>
      </c>
      <c r="K250" s="25" t="s">
        <v>111</v>
      </c>
      <c r="L250" s="26" t="str">
        <f>IF(A250="","",IF(COUNTIF(Public_Holidays!$A$4:$A$80,A250)&gt;0,"Y","N"))</f>
        <v>N</v>
      </c>
      <c r="M250" s="26" t="str">
        <f t="shared" si="11"/>
        <v>N</v>
      </c>
      <c r="N250" s="26" t="e">
        <f ca="1">IF(A250="","",_xludf.TEXTJOIN("; ",TRUE,IF(SUMIFS($J:$J,$C:$C,C250,$B:$B,B250)&gt;Settings!$B$9,"Weekly ordinary hrs &gt;45",""),IF(SUMIFS(Claims!$H:$H,Claims!$C:$C,C250,Claims!$B:$B,B250)&gt;Settings!$B$10,"Weekly OT &gt;10",""),IF(AND(G250&lt;&gt;"Off",COUNTIFS($C:$C,C250,$A:$A,A250-1,$G:$G,"Night")&gt;0),"Rest &lt;12h after night shift",""),IF(J250&gt;5,"Meal interval required","")))</f>
        <v>#NAME?</v>
      </c>
      <c r="O250" s="25" t="s">
        <v>112</v>
      </c>
      <c r="P250" s="25"/>
    </row>
    <row r="251" spans="1:16" x14ac:dyDescent="0.35">
      <c r="A251" s="31">
        <f>IF(12+1&lt;=Settings!$B$7,Settings!$B$6+12,"")</f>
        <v>46155</v>
      </c>
      <c r="B251" s="31">
        <f t="shared" si="9"/>
        <v>46153</v>
      </c>
      <c r="C251" s="26" t="str">
        <f>IF(Employees!A11="","",Employees!A11)</f>
        <v>E008</v>
      </c>
      <c r="D251" s="26" t="str">
        <f>IF(C251="","",Employees!B11)</f>
        <v>Tim</v>
      </c>
      <c r="E251" s="26" t="str">
        <f>IF(C251="","",Employees!C11)</f>
        <v>D</v>
      </c>
      <c r="F251" s="26">
        <f>IF(A251="","",MOD(A251-Settings!$B$6,4)+1)</f>
        <v>1</v>
      </c>
      <c r="G251" s="26" t="str">
        <f>IF(C251="","",INDEX(Rotation_Pattern!$B$4:$E$7,F251,MATCH(E251,{"A","B","C","D"},0)))</f>
        <v>Night</v>
      </c>
      <c r="H251" s="32">
        <f t="shared" si="10"/>
        <v>0.91666666666666663</v>
      </c>
      <c r="I251" s="32">
        <f>IF(OR(G251="Off",G251=""),"",H251+TIME(Settings!$B$8,0,0))</f>
        <v>1.25</v>
      </c>
      <c r="J251" s="26">
        <f>IF(OR(G251="Off",G251=""),0,Settings!$B$8)</f>
        <v>8</v>
      </c>
      <c r="K251" s="25" t="s">
        <v>111</v>
      </c>
      <c r="L251" s="26" t="str">
        <f>IF(A251="","",IF(COUNTIF(Public_Holidays!$A$4:$A$80,A251)&gt;0,"Y","N"))</f>
        <v>N</v>
      </c>
      <c r="M251" s="26" t="str">
        <f t="shared" si="11"/>
        <v>N</v>
      </c>
      <c r="N251" s="26" t="e">
        <f ca="1">IF(A251="","",_xludf.TEXTJOIN("; ",TRUE,IF(SUMIFS($J:$J,$C:$C,C251,$B:$B,B251)&gt;Settings!$B$9,"Weekly ordinary hrs &gt;45",""),IF(SUMIFS(Claims!$H:$H,Claims!$C:$C,C251,Claims!$B:$B,B251)&gt;Settings!$B$10,"Weekly OT &gt;10",""),IF(AND(G251&lt;&gt;"Off",COUNTIFS($C:$C,C251,$A:$A,A251-1,$G:$G,"Night")&gt;0),"Rest &lt;12h after night shift",""),IF(J251&gt;5,"Meal interval required","")))</f>
        <v>#NAME?</v>
      </c>
      <c r="O251" s="25" t="s">
        <v>112</v>
      </c>
      <c r="P251" s="25"/>
    </row>
    <row r="252" spans="1:16" x14ac:dyDescent="0.35">
      <c r="A252" s="31">
        <f>IF(12+1&lt;=Settings!$B$7,Settings!$B$6+12,"")</f>
        <v>46155</v>
      </c>
      <c r="B252" s="31">
        <f t="shared" si="9"/>
        <v>46153</v>
      </c>
      <c r="C252" s="26" t="str">
        <f>IF(Employees!A12="","",Employees!A12)</f>
        <v>E009</v>
      </c>
      <c r="D252" s="26" t="str">
        <f>IF(C252="","",Employees!B12)</f>
        <v>Frank</v>
      </c>
      <c r="E252" s="26" t="str">
        <f>IF(C252="","",Employees!C12)</f>
        <v>A</v>
      </c>
      <c r="F252" s="26">
        <f>IF(A252="","",MOD(A252-Settings!$B$6,4)+1)</f>
        <v>1</v>
      </c>
      <c r="G252" s="26" t="str">
        <f>IF(C252="","",INDEX(Rotation_Pattern!$B$4:$E$7,F252,MATCH(E252,{"A","B","C","D"},0)))</f>
        <v>Day</v>
      </c>
      <c r="H252" s="32">
        <f t="shared" si="10"/>
        <v>0.25</v>
      </c>
      <c r="I252" s="32">
        <f>IF(OR(G252="Off",G252=""),"",H252+TIME(Settings!$B$8,0,0))</f>
        <v>0.58333333333333326</v>
      </c>
      <c r="J252" s="26">
        <f>IF(OR(G252="Off",G252=""),0,Settings!$B$8)</f>
        <v>8</v>
      </c>
      <c r="K252" s="25" t="s">
        <v>111</v>
      </c>
      <c r="L252" s="26" t="str">
        <f>IF(A252="","",IF(COUNTIF(Public_Holidays!$A$4:$A$80,A252)&gt;0,"Y","N"))</f>
        <v>N</v>
      </c>
      <c r="M252" s="26" t="str">
        <f t="shared" si="11"/>
        <v>N</v>
      </c>
      <c r="N252" s="26" t="e">
        <f ca="1">IF(A252="","",_xludf.TEXTJOIN("; ",TRUE,IF(SUMIFS($J:$J,$C:$C,C252,$B:$B,B252)&gt;Settings!$B$9,"Weekly ordinary hrs &gt;45",""),IF(SUMIFS(Claims!$H:$H,Claims!$C:$C,C252,Claims!$B:$B,B252)&gt;Settings!$B$10,"Weekly OT &gt;10",""),IF(AND(G252&lt;&gt;"Off",COUNTIFS($C:$C,C252,$A:$A,A252-1,$G:$G,"Night")&gt;0),"Rest &lt;12h after night shift",""),IF(J252&gt;5,"Meal interval required","")))</f>
        <v>#NAME?</v>
      </c>
      <c r="O252" s="25" t="s">
        <v>112</v>
      </c>
      <c r="P252" s="25"/>
    </row>
    <row r="253" spans="1:16" x14ac:dyDescent="0.35">
      <c r="A253" s="31">
        <f>IF(12+1&lt;=Settings!$B$7,Settings!$B$6+12,"")</f>
        <v>46155</v>
      </c>
      <c r="B253" s="31">
        <f t="shared" si="9"/>
        <v>46153</v>
      </c>
      <c r="C253" s="26" t="str">
        <f>IF(Employees!A13="","",Employees!A13)</f>
        <v/>
      </c>
      <c r="D253" s="26" t="str">
        <f>IF(C253="","",Employees!B13)</f>
        <v/>
      </c>
      <c r="E253" s="26" t="str">
        <f>IF(C253="","",Employees!C13)</f>
        <v/>
      </c>
      <c r="F253" s="26">
        <f>IF(A253="","",MOD(A253-Settings!$B$6,4)+1)</f>
        <v>1</v>
      </c>
      <c r="G253" s="26" t="str">
        <f>IF(C253="","",INDEX(Rotation_Pattern!$B$4:$E$7,F253,MATCH(E253,{"A","B","C","D"},0)))</f>
        <v/>
      </c>
      <c r="H253" s="32" t="str">
        <f t="shared" si="10"/>
        <v/>
      </c>
      <c r="I253" s="32" t="str">
        <f>IF(OR(G253="Off",G253=""),"",H253+TIME(Settings!$B$8,0,0))</f>
        <v/>
      </c>
      <c r="J253" s="26">
        <f>IF(OR(G253="Off",G253=""),0,Settings!$B$8)</f>
        <v>0</v>
      </c>
      <c r="K253" s="25" t="s">
        <v>111</v>
      </c>
      <c r="L253" s="26" t="str">
        <f>IF(A253="","",IF(COUNTIF(Public_Holidays!$A$4:$A$80,A253)&gt;0,"Y","N"))</f>
        <v>N</v>
      </c>
      <c r="M253" s="26" t="str">
        <f t="shared" si="11"/>
        <v>N</v>
      </c>
      <c r="N253" s="26" t="e">
        <f ca="1">IF(A253="","",_xludf.TEXTJOIN("; ",TRUE,IF(SUMIFS($J:$J,$C:$C,C253,$B:$B,B253)&gt;Settings!$B$9,"Weekly ordinary hrs &gt;45",""),IF(SUMIFS(Claims!$H:$H,Claims!$C:$C,C253,Claims!$B:$B,B253)&gt;Settings!$B$10,"Weekly OT &gt;10",""),IF(AND(G253&lt;&gt;"Off",COUNTIFS($C:$C,C253,$A:$A,A253-1,$G:$G,"Night")&gt;0),"Rest &lt;12h after night shift",""),IF(J253&gt;5,"Meal interval required","")))</f>
        <v>#NAME?</v>
      </c>
      <c r="O253" s="25" t="s">
        <v>112</v>
      </c>
      <c r="P253" s="25"/>
    </row>
    <row r="254" spans="1:16" x14ac:dyDescent="0.35">
      <c r="A254" s="31">
        <f>IF(12+1&lt;=Settings!$B$7,Settings!$B$6+12,"")</f>
        <v>46155</v>
      </c>
      <c r="B254" s="31">
        <f t="shared" si="9"/>
        <v>46153</v>
      </c>
      <c r="C254" s="26" t="str">
        <f>IF(Employees!A14="","",Employees!A14)</f>
        <v/>
      </c>
      <c r="D254" s="26" t="str">
        <f>IF(C254="","",Employees!B14)</f>
        <v/>
      </c>
      <c r="E254" s="26" t="str">
        <f>IF(C254="","",Employees!C14)</f>
        <v/>
      </c>
      <c r="F254" s="26">
        <f>IF(A254="","",MOD(A254-Settings!$B$6,4)+1)</f>
        <v>1</v>
      </c>
      <c r="G254" s="26" t="str">
        <f>IF(C254="","",INDEX(Rotation_Pattern!$B$4:$E$7,F254,MATCH(E254,{"A","B","C","D"},0)))</f>
        <v/>
      </c>
      <c r="H254" s="32" t="str">
        <f t="shared" si="10"/>
        <v/>
      </c>
      <c r="I254" s="32" t="str">
        <f>IF(OR(G254="Off",G254=""),"",H254+TIME(Settings!$B$8,0,0))</f>
        <v/>
      </c>
      <c r="J254" s="26">
        <f>IF(OR(G254="Off",G254=""),0,Settings!$B$8)</f>
        <v>0</v>
      </c>
      <c r="K254" s="25" t="s">
        <v>111</v>
      </c>
      <c r="L254" s="26" t="str">
        <f>IF(A254="","",IF(COUNTIF(Public_Holidays!$A$4:$A$80,A254)&gt;0,"Y","N"))</f>
        <v>N</v>
      </c>
      <c r="M254" s="26" t="str">
        <f t="shared" si="11"/>
        <v>N</v>
      </c>
      <c r="N254" s="26" t="e">
        <f ca="1">IF(A254="","",_xludf.TEXTJOIN("; ",TRUE,IF(SUMIFS($J:$J,$C:$C,C254,$B:$B,B254)&gt;Settings!$B$9,"Weekly ordinary hrs &gt;45",""),IF(SUMIFS(Claims!$H:$H,Claims!$C:$C,C254,Claims!$B:$B,B254)&gt;Settings!$B$10,"Weekly OT &gt;10",""),IF(AND(G254&lt;&gt;"Off",COUNTIFS($C:$C,C254,$A:$A,A254-1,$G:$G,"Night")&gt;0),"Rest &lt;12h after night shift",""),IF(J254&gt;5,"Meal interval required","")))</f>
        <v>#NAME?</v>
      </c>
      <c r="O254" s="25" t="s">
        <v>112</v>
      </c>
      <c r="P254" s="25"/>
    </row>
    <row r="255" spans="1:16" x14ac:dyDescent="0.35">
      <c r="A255" s="31">
        <f>IF(12+1&lt;=Settings!$B$7,Settings!$B$6+12,"")</f>
        <v>46155</v>
      </c>
      <c r="B255" s="31">
        <f t="shared" si="9"/>
        <v>46153</v>
      </c>
      <c r="C255" s="26" t="str">
        <f>IF(Employees!A15="","",Employees!A15)</f>
        <v/>
      </c>
      <c r="D255" s="26" t="str">
        <f>IF(C255="","",Employees!B15)</f>
        <v/>
      </c>
      <c r="E255" s="26" t="str">
        <f>IF(C255="","",Employees!C15)</f>
        <v/>
      </c>
      <c r="F255" s="26">
        <f>IF(A255="","",MOD(A255-Settings!$B$6,4)+1)</f>
        <v>1</v>
      </c>
      <c r="G255" s="26" t="str">
        <f>IF(C255="","",INDEX(Rotation_Pattern!$B$4:$E$7,F255,MATCH(E255,{"A","B","C","D"},0)))</f>
        <v/>
      </c>
      <c r="H255" s="32" t="str">
        <f t="shared" si="10"/>
        <v/>
      </c>
      <c r="I255" s="32" t="str">
        <f>IF(OR(G255="Off",G255=""),"",H255+TIME(Settings!$B$8,0,0))</f>
        <v/>
      </c>
      <c r="J255" s="26">
        <f>IF(OR(G255="Off",G255=""),0,Settings!$B$8)</f>
        <v>0</v>
      </c>
      <c r="K255" s="25" t="s">
        <v>111</v>
      </c>
      <c r="L255" s="26" t="str">
        <f>IF(A255="","",IF(COUNTIF(Public_Holidays!$A$4:$A$80,A255)&gt;0,"Y","N"))</f>
        <v>N</v>
      </c>
      <c r="M255" s="26" t="str">
        <f t="shared" si="11"/>
        <v>N</v>
      </c>
      <c r="N255" s="26" t="e">
        <f ca="1">IF(A255="","",_xludf.TEXTJOIN("; ",TRUE,IF(SUMIFS($J:$J,$C:$C,C255,$B:$B,B255)&gt;Settings!$B$9,"Weekly ordinary hrs &gt;45",""),IF(SUMIFS(Claims!$H:$H,Claims!$C:$C,C255,Claims!$B:$B,B255)&gt;Settings!$B$10,"Weekly OT &gt;10",""),IF(AND(G255&lt;&gt;"Off",COUNTIFS($C:$C,C255,$A:$A,A255-1,$G:$G,"Night")&gt;0),"Rest &lt;12h after night shift",""),IF(J255&gt;5,"Meal interval required","")))</f>
        <v>#NAME?</v>
      </c>
      <c r="O255" s="25" t="s">
        <v>112</v>
      </c>
      <c r="P255" s="25"/>
    </row>
    <row r="256" spans="1:16" x14ac:dyDescent="0.35">
      <c r="A256" s="31">
        <f>IF(12+1&lt;=Settings!$B$7,Settings!$B$6+12,"")</f>
        <v>46155</v>
      </c>
      <c r="B256" s="31">
        <f t="shared" si="9"/>
        <v>46153</v>
      </c>
      <c r="C256" s="26" t="str">
        <f>IF(Employees!A16="","",Employees!A16)</f>
        <v/>
      </c>
      <c r="D256" s="26" t="str">
        <f>IF(C256="","",Employees!B16)</f>
        <v/>
      </c>
      <c r="E256" s="26" t="str">
        <f>IF(C256="","",Employees!C16)</f>
        <v/>
      </c>
      <c r="F256" s="26">
        <f>IF(A256="","",MOD(A256-Settings!$B$6,4)+1)</f>
        <v>1</v>
      </c>
      <c r="G256" s="26" t="str">
        <f>IF(C256="","",INDEX(Rotation_Pattern!$B$4:$E$7,F256,MATCH(E256,{"A","B","C","D"},0)))</f>
        <v/>
      </c>
      <c r="H256" s="32" t="str">
        <f t="shared" si="10"/>
        <v/>
      </c>
      <c r="I256" s="32" t="str">
        <f>IF(OR(G256="Off",G256=""),"",H256+TIME(Settings!$B$8,0,0))</f>
        <v/>
      </c>
      <c r="J256" s="26">
        <f>IF(OR(G256="Off",G256=""),0,Settings!$B$8)</f>
        <v>0</v>
      </c>
      <c r="K256" s="25" t="s">
        <v>111</v>
      </c>
      <c r="L256" s="26" t="str">
        <f>IF(A256="","",IF(COUNTIF(Public_Holidays!$A$4:$A$80,A256)&gt;0,"Y","N"))</f>
        <v>N</v>
      </c>
      <c r="M256" s="26" t="str">
        <f t="shared" si="11"/>
        <v>N</v>
      </c>
      <c r="N256" s="26" t="e">
        <f ca="1">IF(A256="","",_xludf.TEXTJOIN("; ",TRUE,IF(SUMIFS($J:$J,$C:$C,C256,$B:$B,B256)&gt;Settings!$B$9,"Weekly ordinary hrs &gt;45",""),IF(SUMIFS(Claims!$H:$H,Claims!$C:$C,C256,Claims!$B:$B,B256)&gt;Settings!$B$10,"Weekly OT &gt;10",""),IF(AND(G256&lt;&gt;"Off",COUNTIFS($C:$C,C256,$A:$A,A256-1,$G:$G,"Night")&gt;0),"Rest &lt;12h after night shift",""),IF(J256&gt;5,"Meal interval required","")))</f>
        <v>#NAME?</v>
      </c>
      <c r="O256" s="25" t="s">
        <v>112</v>
      </c>
      <c r="P256" s="25"/>
    </row>
    <row r="257" spans="1:16" x14ac:dyDescent="0.35">
      <c r="A257" s="31">
        <f>IF(12+1&lt;=Settings!$B$7,Settings!$B$6+12,"")</f>
        <v>46155</v>
      </c>
      <c r="B257" s="31">
        <f t="shared" si="9"/>
        <v>46153</v>
      </c>
      <c r="C257" s="26" t="str">
        <f>IF(Employees!A17="","",Employees!A17)</f>
        <v/>
      </c>
      <c r="D257" s="26" t="str">
        <f>IF(C257="","",Employees!B17)</f>
        <v/>
      </c>
      <c r="E257" s="26" t="str">
        <f>IF(C257="","",Employees!C17)</f>
        <v/>
      </c>
      <c r="F257" s="26">
        <f>IF(A257="","",MOD(A257-Settings!$B$6,4)+1)</f>
        <v>1</v>
      </c>
      <c r="G257" s="26" t="str">
        <f>IF(C257="","",INDEX(Rotation_Pattern!$B$4:$E$7,F257,MATCH(E257,{"A","B","C","D"},0)))</f>
        <v/>
      </c>
      <c r="H257" s="32" t="str">
        <f t="shared" si="10"/>
        <v/>
      </c>
      <c r="I257" s="32" t="str">
        <f>IF(OR(G257="Off",G257=""),"",H257+TIME(Settings!$B$8,0,0))</f>
        <v/>
      </c>
      <c r="J257" s="26">
        <f>IF(OR(G257="Off",G257=""),0,Settings!$B$8)</f>
        <v>0</v>
      </c>
      <c r="K257" s="25" t="s">
        <v>111</v>
      </c>
      <c r="L257" s="26" t="str">
        <f>IF(A257="","",IF(COUNTIF(Public_Holidays!$A$4:$A$80,A257)&gt;0,"Y","N"))</f>
        <v>N</v>
      </c>
      <c r="M257" s="26" t="str">
        <f t="shared" si="11"/>
        <v>N</v>
      </c>
      <c r="N257" s="26" t="e">
        <f ca="1">IF(A257="","",_xludf.TEXTJOIN("; ",TRUE,IF(SUMIFS($J:$J,$C:$C,C257,$B:$B,B257)&gt;Settings!$B$9,"Weekly ordinary hrs &gt;45",""),IF(SUMIFS(Claims!$H:$H,Claims!$C:$C,C257,Claims!$B:$B,B257)&gt;Settings!$B$10,"Weekly OT &gt;10",""),IF(AND(G257&lt;&gt;"Off",COUNTIFS($C:$C,C257,$A:$A,A257-1,$G:$G,"Night")&gt;0),"Rest &lt;12h after night shift",""),IF(J257&gt;5,"Meal interval required","")))</f>
        <v>#NAME?</v>
      </c>
      <c r="O257" s="25" t="s">
        <v>112</v>
      </c>
      <c r="P257" s="25"/>
    </row>
    <row r="258" spans="1:16" x14ac:dyDescent="0.35">
      <c r="A258" s="31">
        <f>IF(12+1&lt;=Settings!$B$7,Settings!$B$6+12,"")</f>
        <v>46155</v>
      </c>
      <c r="B258" s="31">
        <f t="shared" si="9"/>
        <v>46153</v>
      </c>
      <c r="C258" s="26" t="str">
        <f>IF(Employees!A18="","",Employees!A18)</f>
        <v/>
      </c>
      <c r="D258" s="26" t="str">
        <f>IF(C258="","",Employees!B18)</f>
        <v/>
      </c>
      <c r="E258" s="26" t="str">
        <f>IF(C258="","",Employees!C18)</f>
        <v/>
      </c>
      <c r="F258" s="26">
        <f>IF(A258="","",MOD(A258-Settings!$B$6,4)+1)</f>
        <v>1</v>
      </c>
      <c r="G258" s="26" t="str">
        <f>IF(C258="","",INDEX(Rotation_Pattern!$B$4:$E$7,F258,MATCH(E258,{"A","B","C","D"},0)))</f>
        <v/>
      </c>
      <c r="H258" s="32" t="str">
        <f t="shared" si="10"/>
        <v/>
      </c>
      <c r="I258" s="32" t="str">
        <f>IF(OR(G258="Off",G258=""),"",H258+TIME(Settings!$B$8,0,0))</f>
        <v/>
      </c>
      <c r="J258" s="26">
        <f>IF(OR(G258="Off",G258=""),0,Settings!$B$8)</f>
        <v>0</v>
      </c>
      <c r="K258" s="25" t="s">
        <v>111</v>
      </c>
      <c r="L258" s="26" t="str">
        <f>IF(A258="","",IF(COUNTIF(Public_Holidays!$A$4:$A$80,A258)&gt;0,"Y","N"))</f>
        <v>N</v>
      </c>
      <c r="M258" s="26" t="str">
        <f t="shared" si="11"/>
        <v>N</v>
      </c>
      <c r="N258" s="26" t="e">
        <f ca="1">IF(A258="","",_xludf.TEXTJOIN("; ",TRUE,IF(SUMIFS($J:$J,$C:$C,C258,$B:$B,B258)&gt;Settings!$B$9,"Weekly ordinary hrs &gt;45",""),IF(SUMIFS(Claims!$H:$H,Claims!$C:$C,C258,Claims!$B:$B,B258)&gt;Settings!$B$10,"Weekly OT &gt;10",""),IF(AND(G258&lt;&gt;"Off",COUNTIFS($C:$C,C258,$A:$A,A258-1,$G:$G,"Night")&gt;0),"Rest &lt;12h after night shift",""),IF(J258&gt;5,"Meal interval required","")))</f>
        <v>#NAME?</v>
      </c>
      <c r="O258" s="25" t="s">
        <v>112</v>
      </c>
      <c r="P258" s="25"/>
    </row>
    <row r="259" spans="1:16" x14ac:dyDescent="0.35">
      <c r="A259" s="31">
        <f>IF(12+1&lt;=Settings!$B$7,Settings!$B$6+12,"")</f>
        <v>46155</v>
      </c>
      <c r="B259" s="31">
        <f t="shared" si="9"/>
        <v>46153</v>
      </c>
      <c r="C259" s="26" t="str">
        <f>IF(Employees!A19="","",Employees!A19)</f>
        <v/>
      </c>
      <c r="D259" s="26" t="str">
        <f>IF(C259="","",Employees!B19)</f>
        <v/>
      </c>
      <c r="E259" s="26" t="str">
        <f>IF(C259="","",Employees!C19)</f>
        <v/>
      </c>
      <c r="F259" s="26">
        <f>IF(A259="","",MOD(A259-Settings!$B$6,4)+1)</f>
        <v>1</v>
      </c>
      <c r="G259" s="26" t="str">
        <f>IF(C259="","",INDEX(Rotation_Pattern!$B$4:$E$7,F259,MATCH(E259,{"A","B","C","D"},0)))</f>
        <v/>
      </c>
      <c r="H259" s="32" t="str">
        <f t="shared" si="10"/>
        <v/>
      </c>
      <c r="I259" s="32" t="str">
        <f>IF(OR(G259="Off",G259=""),"",H259+TIME(Settings!$B$8,0,0))</f>
        <v/>
      </c>
      <c r="J259" s="26">
        <f>IF(OR(G259="Off",G259=""),0,Settings!$B$8)</f>
        <v>0</v>
      </c>
      <c r="K259" s="25" t="s">
        <v>111</v>
      </c>
      <c r="L259" s="26" t="str">
        <f>IF(A259="","",IF(COUNTIF(Public_Holidays!$A$4:$A$80,A259)&gt;0,"Y","N"))</f>
        <v>N</v>
      </c>
      <c r="M259" s="26" t="str">
        <f t="shared" si="11"/>
        <v>N</v>
      </c>
      <c r="N259" s="26" t="e">
        <f ca="1">IF(A259="","",_xludf.TEXTJOIN("; ",TRUE,IF(SUMIFS($J:$J,$C:$C,C259,$B:$B,B259)&gt;Settings!$B$9,"Weekly ordinary hrs &gt;45",""),IF(SUMIFS(Claims!$H:$H,Claims!$C:$C,C259,Claims!$B:$B,B259)&gt;Settings!$B$10,"Weekly OT &gt;10",""),IF(AND(G259&lt;&gt;"Off",COUNTIFS($C:$C,C259,$A:$A,A259-1,$G:$G,"Night")&gt;0),"Rest &lt;12h after night shift",""),IF(J259&gt;5,"Meal interval required","")))</f>
        <v>#NAME?</v>
      </c>
      <c r="O259" s="25" t="s">
        <v>112</v>
      </c>
      <c r="P259" s="25"/>
    </row>
    <row r="260" spans="1:16" x14ac:dyDescent="0.35">
      <c r="A260" s="31">
        <f>IF(12+1&lt;=Settings!$B$7,Settings!$B$6+12,"")</f>
        <v>46155</v>
      </c>
      <c r="B260" s="31">
        <f t="shared" ref="B260:B323" si="12">IF(A260="","",A260-WEEKDAY(A260,2)+1)</f>
        <v>46153</v>
      </c>
      <c r="C260" s="26" t="str">
        <f>IF(Employees!A20="","",Employees!A20)</f>
        <v/>
      </c>
      <c r="D260" s="26" t="str">
        <f>IF(C260="","",Employees!B20)</f>
        <v/>
      </c>
      <c r="E260" s="26" t="str">
        <f>IF(C260="","",Employees!C20)</f>
        <v/>
      </c>
      <c r="F260" s="26">
        <f>IF(A260="","",MOD(A260-Settings!$B$6,4)+1)</f>
        <v>1</v>
      </c>
      <c r="G260" s="26" t="str">
        <f>IF(C260="","",INDEX(Rotation_Pattern!$B$4:$E$7,F260,MATCH(E260,{"A","B","C","D"},0)))</f>
        <v/>
      </c>
      <c r="H260" s="32" t="str">
        <f t="shared" ref="H260:H323" si="13">IF(OR(G260="Off",G260=""),"",IF(G260="Day",TIME(6,0,0),IF(G260="Evening",TIME(14,0,0),TIME(22,0,0))))</f>
        <v/>
      </c>
      <c r="I260" s="32" t="str">
        <f>IF(OR(G260="Off",G260=""),"",H260+TIME(Settings!$B$8,0,0))</f>
        <v/>
      </c>
      <c r="J260" s="26">
        <f>IF(OR(G260="Off",G260=""),0,Settings!$B$8)</f>
        <v>0</v>
      </c>
      <c r="K260" s="25" t="s">
        <v>111</v>
      </c>
      <c r="L260" s="26" t="str">
        <f>IF(A260="","",IF(COUNTIF(Public_Holidays!$A$4:$A$80,A260)&gt;0,"Y","N"))</f>
        <v>N</v>
      </c>
      <c r="M260" s="26" t="str">
        <f t="shared" ref="M260:M323" si="14">IF(A260="","",IF(WEEKDAY(A260,2)=7,"Y","N"))</f>
        <v>N</v>
      </c>
      <c r="N260" s="26" t="e">
        <f ca="1">IF(A260="","",_xludf.TEXTJOIN("; ",TRUE,IF(SUMIFS($J:$J,$C:$C,C260,$B:$B,B260)&gt;Settings!$B$9,"Weekly ordinary hrs &gt;45",""),IF(SUMIFS(Claims!$H:$H,Claims!$C:$C,C260,Claims!$B:$B,B260)&gt;Settings!$B$10,"Weekly OT &gt;10",""),IF(AND(G260&lt;&gt;"Off",COUNTIFS($C:$C,C260,$A:$A,A260-1,$G:$G,"Night")&gt;0),"Rest &lt;12h after night shift",""),IF(J260&gt;5,"Meal interval required","")))</f>
        <v>#NAME?</v>
      </c>
      <c r="O260" s="25" t="s">
        <v>112</v>
      </c>
      <c r="P260" s="25"/>
    </row>
    <row r="261" spans="1:16" x14ac:dyDescent="0.35">
      <c r="A261" s="31">
        <f>IF(12+1&lt;=Settings!$B$7,Settings!$B$6+12,"")</f>
        <v>46155</v>
      </c>
      <c r="B261" s="31">
        <f t="shared" si="12"/>
        <v>46153</v>
      </c>
      <c r="C261" s="26" t="str">
        <f>IF(Employees!A21="","",Employees!A21)</f>
        <v/>
      </c>
      <c r="D261" s="26" t="str">
        <f>IF(C261="","",Employees!B21)</f>
        <v/>
      </c>
      <c r="E261" s="26" t="str">
        <f>IF(C261="","",Employees!C21)</f>
        <v/>
      </c>
      <c r="F261" s="26">
        <f>IF(A261="","",MOD(A261-Settings!$B$6,4)+1)</f>
        <v>1</v>
      </c>
      <c r="G261" s="26" t="str">
        <f>IF(C261="","",INDEX(Rotation_Pattern!$B$4:$E$7,F261,MATCH(E261,{"A","B","C","D"},0)))</f>
        <v/>
      </c>
      <c r="H261" s="32" t="str">
        <f t="shared" si="13"/>
        <v/>
      </c>
      <c r="I261" s="32" t="str">
        <f>IF(OR(G261="Off",G261=""),"",H261+TIME(Settings!$B$8,0,0))</f>
        <v/>
      </c>
      <c r="J261" s="26">
        <f>IF(OR(G261="Off",G261=""),0,Settings!$B$8)</f>
        <v>0</v>
      </c>
      <c r="K261" s="25" t="s">
        <v>111</v>
      </c>
      <c r="L261" s="26" t="str">
        <f>IF(A261="","",IF(COUNTIF(Public_Holidays!$A$4:$A$80,A261)&gt;0,"Y","N"))</f>
        <v>N</v>
      </c>
      <c r="M261" s="26" t="str">
        <f t="shared" si="14"/>
        <v>N</v>
      </c>
      <c r="N261" s="26" t="e">
        <f ca="1">IF(A261="","",_xludf.TEXTJOIN("; ",TRUE,IF(SUMIFS($J:$J,$C:$C,C261,$B:$B,B261)&gt;Settings!$B$9,"Weekly ordinary hrs &gt;45",""),IF(SUMIFS(Claims!$H:$H,Claims!$C:$C,C261,Claims!$B:$B,B261)&gt;Settings!$B$10,"Weekly OT &gt;10",""),IF(AND(G261&lt;&gt;"Off",COUNTIFS($C:$C,C261,$A:$A,A261-1,$G:$G,"Night")&gt;0),"Rest &lt;12h after night shift",""),IF(J261&gt;5,"Meal interval required","")))</f>
        <v>#NAME?</v>
      </c>
      <c r="O261" s="25" t="s">
        <v>112</v>
      </c>
      <c r="P261" s="25"/>
    </row>
    <row r="262" spans="1:16" x14ac:dyDescent="0.35">
      <c r="A262" s="31">
        <f>IF(12+1&lt;=Settings!$B$7,Settings!$B$6+12,"")</f>
        <v>46155</v>
      </c>
      <c r="B262" s="31">
        <f t="shared" si="12"/>
        <v>46153</v>
      </c>
      <c r="C262" s="26" t="str">
        <f>IF(Employees!A22="","",Employees!A22)</f>
        <v/>
      </c>
      <c r="D262" s="26" t="str">
        <f>IF(C262="","",Employees!B22)</f>
        <v/>
      </c>
      <c r="E262" s="26" t="str">
        <f>IF(C262="","",Employees!C22)</f>
        <v/>
      </c>
      <c r="F262" s="26">
        <f>IF(A262="","",MOD(A262-Settings!$B$6,4)+1)</f>
        <v>1</v>
      </c>
      <c r="G262" s="26" t="str">
        <f>IF(C262="","",INDEX(Rotation_Pattern!$B$4:$E$7,F262,MATCH(E262,{"A","B","C","D"},0)))</f>
        <v/>
      </c>
      <c r="H262" s="32" t="str">
        <f t="shared" si="13"/>
        <v/>
      </c>
      <c r="I262" s="32" t="str">
        <f>IF(OR(G262="Off",G262=""),"",H262+TIME(Settings!$B$8,0,0))</f>
        <v/>
      </c>
      <c r="J262" s="26">
        <f>IF(OR(G262="Off",G262=""),0,Settings!$B$8)</f>
        <v>0</v>
      </c>
      <c r="K262" s="25" t="s">
        <v>111</v>
      </c>
      <c r="L262" s="26" t="str">
        <f>IF(A262="","",IF(COUNTIF(Public_Holidays!$A$4:$A$80,A262)&gt;0,"Y","N"))</f>
        <v>N</v>
      </c>
      <c r="M262" s="26" t="str">
        <f t="shared" si="14"/>
        <v>N</v>
      </c>
      <c r="N262" s="26" t="e">
        <f ca="1">IF(A262="","",_xludf.TEXTJOIN("; ",TRUE,IF(SUMIFS($J:$J,$C:$C,C262,$B:$B,B262)&gt;Settings!$B$9,"Weekly ordinary hrs &gt;45",""),IF(SUMIFS(Claims!$H:$H,Claims!$C:$C,C262,Claims!$B:$B,B262)&gt;Settings!$B$10,"Weekly OT &gt;10",""),IF(AND(G262&lt;&gt;"Off",COUNTIFS($C:$C,C262,$A:$A,A262-1,$G:$G,"Night")&gt;0),"Rest &lt;12h after night shift",""),IF(J262&gt;5,"Meal interval required","")))</f>
        <v>#NAME?</v>
      </c>
      <c r="O262" s="25" t="s">
        <v>112</v>
      </c>
      <c r="P262" s="25"/>
    </row>
    <row r="263" spans="1:16" x14ac:dyDescent="0.35">
      <c r="A263" s="31">
        <f>IF(12+1&lt;=Settings!$B$7,Settings!$B$6+12,"")</f>
        <v>46155</v>
      </c>
      <c r="B263" s="31">
        <f t="shared" si="12"/>
        <v>46153</v>
      </c>
      <c r="C263" s="26" t="str">
        <f>IF(Employees!A23="","",Employees!A23)</f>
        <v/>
      </c>
      <c r="D263" s="26" t="str">
        <f>IF(C263="","",Employees!B23)</f>
        <v/>
      </c>
      <c r="E263" s="26" t="str">
        <f>IF(C263="","",Employees!C23)</f>
        <v/>
      </c>
      <c r="F263" s="26">
        <f>IF(A263="","",MOD(A263-Settings!$B$6,4)+1)</f>
        <v>1</v>
      </c>
      <c r="G263" s="26" t="str">
        <f>IF(C263="","",INDEX(Rotation_Pattern!$B$4:$E$7,F263,MATCH(E263,{"A","B","C","D"},0)))</f>
        <v/>
      </c>
      <c r="H263" s="32" t="str">
        <f t="shared" si="13"/>
        <v/>
      </c>
      <c r="I263" s="32" t="str">
        <f>IF(OR(G263="Off",G263=""),"",H263+TIME(Settings!$B$8,0,0))</f>
        <v/>
      </c>
      <c r="J263" s="26">
        <f>IF(OR(G263="Off",G263=""),0,Settings!$B$8)</f>
        <v>0</v>
      </c>
      <c r="K263" s="25" t="s">
        <v>111</v>
      </c>
      <c r="L263" s="26" t="str">
        <f>IF(A263="","",IF(COUNTIF(Public_Holidays!$A$4:$A$80,A263)&gt;0,"Y","N"))</f>
        <v>N</v>
      </c>
      <c r="M263" s="26" t="str">
        <f t="shared" si="14"/>
        <v>N</v>
      </c>
      <c r="N263" s="26" t="e">
        <f ca="1">IF(A263="","",_xludf.TEXTJOIN("; ",TRUE,IF(SUMIFS($J:$J,$C:$C,C263,$B:$B,B263)&gt;Settings!$B$9,"Weekly ordinary hrs &gt;45",""),IF(SUMIFS(Claims!$H:$H,Claims!$C:$C,C263,Claims!$B:$B,B263)&gt;Settings!$B$10,"Weekly OT &gt;10",""),IF(AND(G263&lt;&gt;"Off",COUNTIFS($C:$C,C263,$A:$A,A263-1,$G:$G,"Night")&gt;0),"Rest &lt;12h after night shift",""),IF(J263&gt;5,"Meal interval required","")))</f>
        <v>#NAME?</v>
      </c>
      <c r="O263" s="25" t="s">
        <v>112</v>
      </c>
      <c r="P263" s="25"/>
    </row>
    <row r="264" spans="1:16" x14ac:dyDescent="0.35">
      <c r="A264" s="31">
        <f>IF(13+1&lt;=Settings!$B$7,Settings!$B$6+13,"")</f>
        <v>46156</v>
      </c>
      <c r="B264" s="31">
        <f t="shared" si="12"/>
        <v>46153</v>
      </c>
      <c r="C264" s="26" t="str">
        <f>IF(Employees!A4="","",Employees!A4)</f>
        <v>E001</v>
      </c>
      <c r="D264" s="26" t="str">
        <f>IF(C264="","",Employees!B4)</f>
        <v>Musiwa Khavalani</v>
      </c>
      <c r="E264" s="26">
        <f>IF(C264="","",Employees!C4)</f>
        <v>0</v>
      </c>
      <c r="F264" s="26">
        <f>IF(A264="","",MOD(A264-Settings!$B$6,4)+1)</f>
        <v>2</v>
      </c>
      <c r="G264" s="26" t="e">
        <f>IF(C264="","",INDEX(Rotation_Pattern!$B$4:$E$7,F264,MATCH(E264,{"A","B","C","D"},0)))</f>
        <v>#N/A</v>
      </c>
      <c r="H264" s="32" t="e">
        <f t="shared" si="13"/>
        <v>#N/A</v>
      </c>
      <c r="I264" s="32" t="e">
        <f>IF(OR(G264="Off",G264=""),"",H264+TIME(Settings!$B$8,0,0))</f>
        <v>#N/A</v>
      </c>
      <c r="J264" s="26" t="e">
        <f>IF(OR(G264="Off",G264=""),0,Settings!$B$8)</f>
        <v>#N/A</v>
      </c>
      <c r="K264" s="25" t="s">
        <v>111</v>
      </c>
      <c r="L264" s="26" t="str">
        <f>IF(A264="","",IF(COUNTIF(Public_Holidays!$A$4:$A$80,A264)&gt;0,"Y","N"))</f>
        <v>N</v>
      </c>
      <c r="M264" s="26" t="str">
        <f t="shared" si="14"/>
        <v>N</v>
      </c>
      <c r="N264" s="26" t="e">
        <f ca="1">IF(A264="","",_xludf.TEXTJOIN("; ",TRUE,IF(SUMIFS($J:$J,$C:$C,C264,$B:$B,B264)&gt;Settings!$B$9,"Weekly ordinary hrs &gt;45",""),IF(SUMIFS(Claims!$H:$H,Claims!$C:$C,C264,Claims!$B:$B,B264)&gt;Settings!$B$10,"Weekly OT &gt;10",""),IF(AND(G264&lt;&gt;"Off",COUNTIFS($C:$C,C264,$A:$A,A264-1,$G:$G,"Night")&gt;0),"Rest &lt;12h after night shift",""),IF(J264&gt;5,"Meal interval required","")))</f>
        <v>#NAME?</v>
      </c>
      <c r="O264" s="25" t="s">
        <v>112</v>
      </c>
      <c r="P264" s="25"/>
    </row>
    <row r="265" spans="1:16" x14ac:dyDescent="0.35">
      <c r="A265" s="31">
        <f>IF(13+1&lt;=Settings!$B$7,Settings!$B$6+13,"")</f>
        <v>46156</v>
      </c>
      <c r="B265" s="31">
        <f t="shared" si="12"/>
        <v>46153</v>
      </c>
      <c r="C265" s="26" t="str">
        <f>IF(Employees!A5="","",Employees!A5)</f>
        <v>E002</v>
      </c>
      <c r="D265" s="26" t="str">
        <f>IF(C265="","",Employees!B5)</f>
        <v>Mpho  Nembemhia</v>
      </c>
      <c r="E265" s="26" t="str">
        <f>IF(C265="","",Employees!C5)</f>
        <v>B</v>
      </c>
      <c r="F265" s="26">
        <f>IF(A265="","",MOD(A265-Settings!$B$6,4)+1)</f>
        <v>2</v>
      </c>
      <c r="G265" s="26" t="str">
        <f>IF(C265="","",INDEX(Rotation_Pattern!$B$4:$E$7,F265,MATCH(E265,{"A","B","C","D"},0)))</f>
        <v>Day</v>
      </c>
      <c r="H265" s="32">
        <f t="shared" si="13"/>
        <v>0.25</v>
      </c>
      <c r="I265" s="32">
        <f>IF(OR(G265="Off",G265=""),"",H265+TIME(Settings!$B$8,0,0))</f>
        <v>0.58333333333333326</v>
      </c>
      <c r="J265" s="26">
        <f>IF(OR(G265="Off",G265=""),0,Settings!$B$8)</f>
        <v>8</v>
      </c>
      <c r="K265" s="25" t="s">
        <v>111</v>
      </c>
      <c r="L265" s="26" t="str">
        <f>IF(A265="","",IF(COUNTIF(Public_Holidays!$A$4:$A$80,A265)&gt;0,"Y","N"))</f>
        <v>N</v>
      </c>
      <c r="M265" s="26" t="str">
        <f t="shared" si="14"/>
        <v>N</v>
      </c>
      <c r="N265" s="26" t="e">
        <f ca="1">IF(A265="","",_xludf.TEXTJOIN("; ",TRUE,IF(SUMIFS($J:$J,$C:$C,C265,$B:$B,B265)&gt;Settings!$B$9,"Weekly ordinary hrs &gt;45",""),IF(SUMIFS(Claims!$H:$H,Claims!$C:$C,C265,Claims!$B:$B,B265)&gt;Settings!$B$10,"Weekly OT &gt;10",""),IF(AND(G265&lt;&gt;"Off",COUNTIFS($C:$C,C265,$A:$A,A265-1,$G:$G,"Night")&gt;0),"Rest &lt;12h after night shift",""),IF(J265&gt;5,"Meal interval required","")))</f>
        <v>#NAME?</v>
      </c>
      <c r="O265" s="25" t="s">
        <v>112</v>
      </c>
      <c r="P265" s="25"/>
    </row>
    <row r="266" spans="1:16" x14ac:dyDescent="0.35">
      <c r="A266" s="31">
        <f>IF(13+1&lt;=Settings!$B$7,Settings!$B$6+13,"")</f>
        <v>46156</v>
      </c>
      <c r="B266" s="31">
        <f t="shared" si="12"/>
        <v>46153</v>
      </c>
      <c r="C266" s="26" t="str">
        <f>IF(Employees!A6="","",Employees!A6)</f>
        <v>E003</v>
      </c>
      <c r="D266" s="26" t="str">
        <f>IF(C266="","",Employees!B6)</f>
        <v>Dimpho Makhafola</v>
      </c>
      <c r="E266" s="26" t="str">
        <f>IF(C266="","",Employees!C6)</f>
        <v>C</v>
      </c>
      <c r="F266" s="26">
        <f>IF(A266="","",MOD(A266-Settings!$B$6,4)+1)</f>
        <v>2</v>
      </c>
      <c r="G266" s="26" t="str">
        <f>IF(C266="","",INDEX(Rotation_Pattern!$B$4:$E$7,F266,MATCH(E266,{"A","B","C","D"},0)))</f>
        <v>Off</v>
      </c>
      <c r="H266" s="32" t="str">
        <f t="shared" si="13"/>
        <v/>
      </c>
      <c r="I266" s="32" t="str">
        <f>IF(OR(G266="Off",G266=""),"",H266+TIME(Settings!$B$8,0,0))</f>
        <v/>
      </c>
      <c r="J266" s="26">
        <f>IF(OR(G266="Off",G266=""),0,Settings!$B$8)</f>
        <v>0</v>
      </c>
      <c r="K266" s="25" t="s">
        <v>111</v>
      </c>
      <c r="L266" s="26" t="str">
        <f>IF(A266="","",IF(COUNTIF(Public_Holidays!$A$4:$A$80,A266)&gt;0,"Y","N"))</f>
        <v>N</v>
      </c>
      <c r="M266" s="26" t="str">
        <f t="shared" si="14"/>
        <v>N</v>
      </c>
      <c r="N266" s="26" t="e">
        <f ca="1">IF(A266="","",_xludf.TEXTJOIN("; ",TRUE,IF(SUMIFS($J:$J,$C:$C,C266,$B:$B,B266)&gt;Settings!$B$9,"Weekly ordinary hrs &gt;45",""),IF(SUMIFS(Claims!$H:$H,Claims!$C:$C,C266,Claims!$B:$B,B266)&gt;Settings!$B$10,"Weekly OT &gt;10",""),IF(AND(G266&lt;&gt;"Off",COUNTIFS($C:$C,C266,$A:$A,A266-1,$G:$G,"Night")&gt;0),"Rest &lt;12h after night shift",""),IF(J266&gt;5,"Meal interval required","")))</f>
        <v>#NAME?</v>
      </c>
      <c r="O266" s="25" t="s">
        <v>112</v>
      </c>
      <c r="P266" s="25"/>
    </row>
    <row r="267" spans="1:16" x14ac:dyDescent="0.35">
      <c r="A267" s="31">
        <f>IF(13+1&lt;=Settings!$B$7,Settings!$B$6+13,"")</f>
        <v>46156</v>
      </c>
      <c r="B267" s="31">
        <f t="shared" si="12"/>
        <v>46153</v>
      </c>
      <c r="C267" s="26" t="str">
        <f>IF(Employees!A7="","",Employees!A7)</f>
        <v>E004</v>
      </c>
      <c r="D267" s="26" t="str">
        <f>IF(C267="","",Employees!B7)</f>
        <v>Bashii Fall</v>
      </c>
      <c r="E267" s="26" t="str">
        <f>IF(C267="","",Employees!C7)</f>
        <v>D</v>
      </c>
      <c r="F267" s="26">
        <f>IF(A267="","",MOD(A267-Settings!$B$6,4)+1)</f>
        <v>2</v>
      </c>
      <c r="G267" s="26" t="str">
        <f>IF(C267="","",INDEX(Rotation_Pattern!$B$4:$E$7,F267,MATCH(E267,{"A","B","C","D"},0)))</f>
        <v>Night</v>
      </c>
      <c r="H267" s="32">
        <f t="shared" si="13"/>
        <v>0.91666666666666663</v>
      </c>
      <c r="I267" s="32">
        <f>IF(OR(G267="Off",G267=""),"",H267+TIME(Settings!$B$8,0,0))</f>
        <v>1.25</v>
      </c>
      <c r="J267" s="26">
        <f>IF(OR(G267="Off",G267=""),0,Settings!$B$8)</f>
        <v>8</v>
      </c>
      <c r="K267" s="25" t="s">
        <v>111</v>
      </c>
      <c r="L267" s="26" t="str">
        <f>IF(A267="","",IF(COUNTIF(Public_Holidays!$A$4:$A$80,A267)&gt;0,"Y","N"))</f>
        <v>N</v>
      </c>
      <c r="M267" s="26" t="str">
        <f t="shared" si="14"/>
        <v>N</v>
      </c>
      <c r="N267" s="26" t="e">
        <f ca="1">IF(A267="","",_xludf.TEXTJOIN("; ",TRUE,IF(SUMIFS($J:$J,$C:$C,C267,$B:$B,B267)&gt;Settings!$B$9,"Weekly ordinary hrs &gt;45",""),IF(SUMIFS(Claims!$H:$H,Claims!$C:$C,C267,Claims!$B:$B,B267)&gt;Settings!$B$10,"Weekly OT &gt;10",""),IF(AND(G267&lt;&gt;"Off",COUNTIFS($C:$C,C267,$A:$A,A267-1,$G:$G,"Night")&gt;0),"Rest &lt;12h after night shift",""),IF(J267&gt;5,"Meal interval required","")))</f>
        <v>#NAME?</v>
      </c>
      <c r="O267" s="25" t="s">
        <v>112</v>
      </c>
      <c r="P267" s="25"/>
    </row>
    <row r="268" spans="1:16" x14ac:dyDescent="0.35">
      <c r="A268" s="31">
        <f>IF(13+1&lt;=Settings!$B$7,Settings!$B$6+13,"")</f>
        <v>46156</v>
      </c>
      <c r="B268" s="31">
        <f t="shared" si="12"/>
        <v>46153</v>
      </c>
      <c r="C268" s="26" t="str">
        <f>IF(Employees!A8="","",Employees!A8)</f>
        <v>E005</v>
      </c>
      <c r="D268" s="26" t="str">
        <f>IF(C268="","",Employees!B8)</f>
        <v>Lesego Aphane</v>
      </c>
      <c r="E268" s="26" t="str">
        <f>IF(C268="","",Employees!C8)</f>
        <v>A</v>
      </c>
      <c r="F268" s="26">
        <f>IF(A268="","",MOD(A268-Settings!$B$6,4)+1)</f>
        <v>2</v>
      </c>
      <c r="G268" s="26" t="str">
        <f>IF(C268="","",INDEX(Rotation_Pattern!$B$4:$E$7,F268,MATCH(E268,{"A","B","C","D"},0)))</f>
        <v>Evening</v>
      </c>
      <c r="H268" s="32">
        <f t="shared" si="13"/>
        <v>0.58333333333333337</v>
      </c>
      <c r="I268" s="32">
        <f>IF(OR(G268="Off",G268=""),"",H268+TIME(Settings!$B$8,0,0))</f>
        <v>0.91666666666666674</v>
      </c>
      <c r="J268" s="26">
        <f>IF(OR(G268="Off",G268=""),0,Settings!$B$8)</f>
        <v>8</v>
      </c>
      <c r="K268" s="25" t="s">
        <v>111</v>
      </c>
      <c r="L268" s="26" t="str">
        <f>IF(A268="","",IF(COUNTIF(Public_Holidays!$A$4:$A$80,A268)&gt;0,"Y","N"))</f>
        <v>N</v>
      </c>
      <c r="M268" s="26" t="str">
        <f t="shared" si="14"/>
        <v>N</v>
      </c>
      <c r="N268" s="26" t="e">
        <f ca="1">IF(A268="","",_xludf.TEXTJOIN("; ",TRUE,IF(SUMIFS($J:$J,$C:$C,C268,$B:$B,B268)&gt;Settings!$B$9,"Weekly ordinary hrs &gt;45",""),IF(SUMIFS(Claims!$H:$H,Claims!$C:$C,C268,Claims!$B:$B,B268)&gt;Settings!$B$10,"Weekly OT &gt;10",""),IF(AND(G268&lt;&gt;"Off",COUNTIFS($C:$C,C268,$A:$A,A268-1,$G:$G,"Night")&gt;0),"Rest &lt;12h after night shift",""),IF(J268&gt;5,"Meal interval required","")))</f>
        <v>#NAME?</v>
      </c>
      <c r="O268" s="25" t="s">
        <v>112</v>
      </c>
      <c r="P268" s="25"/>
    </row>
    <row r="269" spans="1:16" x14ac:dyDescent="0.35">
      <c r="A269" s="31">
        <f>IF(13+1&lt;=Settings!$B$7,Settings!$B$6+13,"")</f>
        <v>46156</v>
      </c>
      <c r="B269" s="31">
        <f t="shared" si="12"/>
        <v>46153</v>
      </c>
      <c r="C269" s="26" t="str">
        <f>IF(Employees!A9="","",Employees!A9)</f>
        <v>E006</v>
      </c>
      <c r="D269" s="26" t="str">
        <f>IF(C269="","",Employees!B9)</f>
        <v>Nhalnahla</v>
      </c>
      <c r="E269" s="26" t="str">
        <f>IF(C269="","",Employees!C9)</f>
        <v>B</v>
      </c>
      <c r="F269" s="26">
        <f>IF(A269="","",MOD(A269-Settings!$B$6,4)+1)</f>
        <v>2</v>
      </c>
      <c r="G269" s="26" t="str">
        <f>IF(C269="","",INDEX(Rotation_Pattern!$B$4:$E$7,F269,MATCH(E269,{"A","B","C","D"},0)))</f>
        <v>Day</v>
      </c>
      <c r="H269" s="32">
        <f t="shared" si="13"/>
        <v>0.25</v>
      </c>
      <c r="I269" s="32">
        <f>IF(OR(G269="Off",G269=""),"",H269+TIME(Settings!$B$8,0,0))</f>
        <v>0.58333333333333326</v>
      </c>
      <c r="J269" s="26">
        <f>IF(OR(G269="Off",G269=""),0,Settings!$B$8)</f>
        <v>8</v>
      </c>
      <c r="K269" s="25" t="s">
        <v>111</v>
      </c>
      <c r="L269" s="26" t="str">
        <f>IF(A269="","",IF(COUNTIF(Public_Holidays!$A$4:$A$80,A269)&gt;0,"Y","N"))</f>
        <v>N</v>
      </c>
      <c r="M269" s="26" t="str">
        <f t="shared" si="14"/>
        <v>N</v>
      </c>
      <c r="N269" s="26" t="e">
        <f ca="1">IF(A269="","",_xludf.TEXTJOIN("; ",TRUE,IF(SUMIFS($J:$J,$C:$C,C269,$B:$B,B269)&gt;Settings!$B$9,"Weekly ordinary hrs &gt;45",""),IF(SUMIFS(Claims!$H:$H,Claims!$C:$C,C269,Claims!$B:$B,B269)&gt;Settings!$B$10,"Weekly OT &gt;10",""),IF(AND(G269&lt;&gt;"Off",COUNTIFS($C:$C,C269,$A:$A,A269-1,$G:$G,"Night")&gt;0),"Rest &lt;12h after night shift",""),IF(J269&gt;5,"Meal interval required","")))</f>
        <v>#NAME?</v>
      </c>
      <c r="O269" s="25" t="s">
        <v>112</v>
      </c>
      <c r="P269" s="25"/>
    </row>
    <row r="270" spans="1:16" x14ac:dyDescent="0.35">
      <c r="A270" s="31">
        <f>IF(13+1&lt;=Settings!$B$7,Settings!$B$6+13,"")</f>
        <v>46156</v>
      </c>
      <c r="B270" s="31">
        <f t="shared" si="12"/>
        <v>46153</v>
      </c>
      <c r="C270" s="26" t="str">
        <f>IF(Employees!A10="","",Employees!A10)</f>
        <v>E007</v>
      </c>
      <c r="D270" s="26" t="str">
        <f>IF(C270="","",Employees!B10)</f>
        <v>Joe</v>
      </c>
      <c r="E270" s="26" t="str">
        <f>IF(C270="","",Employees!C10)</f>
        <v>C</v>
      </c>
      <c r="F270" s="26">
        <f>IF(A270="","",MOD(A270-Settings!$B$6,4)+1)</f>
        <v>2</v>
      </c>
      <c r="G270" s="26" t="str">
        <f>IF(C270="","",INDEX(Rotation_Pattern!$B$4:$E$7,F270,MATCH(E270,{"A","B","C","D"},0)))</f>
        <v>Off</v>
      </c>
      <c r="H270" s="32" t="str">
        <f t="shared" si="13"/>
        <v/>
      </c>
      <c r="I270" s="32" t="str">
        <f>IF(OR(G270="Off",G270=""),"",H270+TIME(Settings!$B$8,0,0))</f>
        <v/>
      </c>
      <c r="J270" s="26">
        <f>IF(OR(G270="Off",G270=""),0,Settings!$B$8)</f>
        <v>0</v>
      </c>
      <c r="K270" s="25" t="s">
        <v>111</v>
      </c>
      <c r="L270" s="26" t="str">
        <f>IF(A270="","",IF(COUNTIF(Public_Holidays!$A$4:$A$80,A270)&gt;0,"Y","N"))</f>
        <v>N</v>
      </c>
      <c r="M270" s="26" t="str">
        <f t="shared" si="14"/>
        <v>N</v>
      </c>
      <c r="N270" s="26" t="e">
        <f ca="1">IF(A270="","",_xludf.TEXTJOIN("; ",TRUE,IF(SUMIFS($J:$J,$C:$C,C270,$B:$B,B270)&gt;Settings!$B$9,"Weekly ordinary hrs &gt;45",""),IF(SUMIFS(Claims!$H:$H,Claims!$C:$C,C270,Claims!$B:$B,B270)&gt;Settings!$B$10,"Weekly OT &gt;10",""),IF(AND(G270&lt;&gt;"Off",COUNTIFS($C:$C,C270,$A:$A,A270-1,$G:$G,"Night")&gt;0),"Rest &lt;12h after night shift",""),IF(J270&gt;5,"Meal interval required","")))</f>
        <v>#NAME?</v>
      </c>
      <c r="O270" s="25" t="s">
        <v>112</v>
      </c>
      <c r="P270" s="25"/>
    </row>
    <row r="271" spans="1:16" x14ac:dyDescent="0.35">
      <c r="A271" s="31">
        <f>IF(13+1&lt;=Settings!$B$7,Settings!$B$6+13,"")</f>
        <v>46156</v>
      </c>
      <c r="B271" s="31">
        <f t="shared" si="12"/>
        <v>46153</v>
      </c>
      <c r="C271" s="26" t="str">
        <f>IF(Employees!A11="","",Employees!A11)</f>
        <v>E008</v>
      </c>
      <c r="D271" s="26" t="str">
        <f>IF(C271="","",Employees!B11)</f>
        <v>Tim</v>
      </c>
      <c r="E271" s="26" t="str">
        <f>IF(C271="","",Employees!C11)</f>
        <v>D</v>
      </c>
      <c r="F271" s="26">
        <f>IF(A271="","",MOD(A271-Settings!$B$6,4)+1)</f>
        <v>2</v>
      </c>
      <c r="G271" s="26" t="str">
        <f>IF(C271="","",INDEX(Rotation_Pattern!$B$4:$E$7,F271,MATCH(E271,{"A","B","C","D"},0)))</f>
        <v>Night</v>
      </c>
      <c r="H271" s="32">
        <f t="shared" si="13"/>
        <v>0.91666666666666663</v>
      </c>
      <c r="I271" s="32">
        <f>IF(OR(G271="Off",G271=""),"",H271+TIME(Settings!$B$8,0,0))</f>
        <v>1.25</v>
      </c>
      <c r="J271" s="26">
        <f>IF(OR(G271="Off",G271=""),0,Settings!$B$8)</f>
        <v>8</v>
      </c>
      <c r="K271" s="25" t="s">
        <v>111</v>
      </c>
      <c r="L271" s="26" t="str">
        <f>IF(A271="","",IF(COUNTIF(Public_Holidays!$A$4:$A$80,A271)&gt;0,"Y","N"))</f>
        <v>N</v>
      </c>
      <c r="M271" s="26" t="str">
        <f t="shared" si="14"/>
        <v>N</v>
      </c>
      <c r="N271" s="26" t="e">
        <f ca="1">IF(A271="","",_xludf.TEXTJOIN("; ",TRUE,IF(SUMIFS($J:$J,$C:$C,C271,$B:$B,B271)&gt;Settings!$B$9,"Weekly ordinary hrs &gt;45",""),IF(SUMIFS(Claims!$H:$H,Claims!$C:$C,C271,Claims!$B:$B,B271)&gt;Settings!$B$10,"Weekly OT &gt;10",""),IF(AND(G271&lt;&gt;"Off",COUNTIFS($C:$C,C271,$A:$A,A271-1,$G:$G,"Night")&gt;0),"Rest &lt;12h after night shift",""),IF(J271&gt;5,"Meal interval required","")))</f>
        <v>#NAME?</v>
      </c>
      <c r="O271" s="25" t="s">
        <v>112</v>
      </c>
      <c r="P271" s="25"/>
    </row>
    <row r="272" spans="1:16" x14ac:dyDescent="0.35">
      <c r="A272" s="31">
        <f>IF(13+1&lt;=Settings!$B$7,Settings!$B$6+13,"")</f>
        <v>46156</v>
      </c>
      <c r="B272" s="31">
        <f t="shared" si="12"/>
        <v>46153</v>
      </c>
      <c r="C272" s="26" t="str">
        <f>IF(Employees!A12="","",Employees!A12)</f>
        <v>E009</v>
      </c>
      <c r="D272" s="26" t="str">
        <f>IF(C272="","",Employees!B12)</f>
        <v>Frank</v>
      </c>
      <c r="E272" s="26" t="str">
        <f>IF(C272="","",Employees!C12)</f>
        <v>A</v>
      </c>
      <c r="F272" s="26">
        <f>IF(A272="","",MOD(A272-Settings!$B$6,4)+1)</f>
        <v>2</v>
      </c>
      <c r="G272" s="26" t="str">
        <f>IF(C272="","",INDEX(Rotation_Pattern!$B$4:$E$7,F272,MATCH(E272,{"A","B","C","D"},0)))</f>
        <v>Evening</v>
      </c>
      <c r="H272" s="32">
        <f t="shared" si="13"/>
        <v>0.58333333333333337</v>
      </c>
      <c r="I272" s="32">
        <f>IF(OR(G272="Off",G272=""),"",H272+TIME(Settings!$B$8,0,0))</f>
        <v>0.91666666666666674</v>
      </c>
      <c r="J272" s="26">
        <f>IF(OR(G272="Off",G272=""),0,Settings!$B$8)</f>
        <v>8</v>
      </c>
      <c r="K272" s="25" t="s">
        <v>111</v>
      </c>
      <c r="L272" s="26" t="str">
        <f>IF(A272="","",IF(COUNTIF(Public_Holidays!$A$4:$A$80,A272)&gt;0,"Y","N"))</f>
        <v>N</v>
      </c>
      <c r="M272" s="26" t="str">
        <f t="shared" si="14"/>
        <v>N</v>
      </c>
      <c r="N272" s="26" t="e">
        <f ca="1">IF(A272="","",_xludf.TEXTJOIN("; ",TRUE,IF(SUMIFS($J:$J,$C:$C,C272,$B:$B,B272)&gt;Settings!$B$9,"Weekly ordinary hrs &gt;45",""),IF(SUMIFS(Claims!$H:$H,Claims!$C:$C,C272,Claims!$B:$B,B272)&gt;Settings!$B$10,"Weekly OT &gt;10",""),IF(AND(G272&lt;&gt;"Off",COUNTIFS($C:$C,C272,$A:$A,A272-1,$G:$G,"Night")&gt;0),"Rest &lt;12h after night shift",""),IF(J272&gt;5,"Meal interval required","")))</f>
        <v>#NAME?</v>
      </c>
      <c r="O272" s="25" t="s">
        <v>112</v>
      </c>
      <c r="P272" s="25"/>
    </row>
    <row r="273" spans="1:16" x14ac:dyDescent="0.35">
      <c r="A273" s="31">
        <f>IF(13+1&lt;=Settings!$B$7,Settings!$B$6+13,"")</f>
        <v>46156</v>
      </c>
      <c r="B273" s="31">
        <f t="shared" si="12"/>
        <v>46153</v>
      </c>
      <c r="C273" s="26" t="str">
        <f>IF(Employees!A13="","",Employees!A13)</f>
        <v/>
      </c>
      <c r="D273" s="26" t="str">
        <f>IF(C273="","",Employees!B13)</f>
        <v/>
      </c>
      <c r="E273" s="26" t="str">
        <f>IF(C273="","",Employees!C13)</f>
        <v/>
      </c>
      <c r="F273" s="26">
        <f>IF(A273="","",MOD(A273-Settings!$B$6,4)+1)</f>
        <v>2</v>
      </c>
      <c r="G273" s="26" t="str">
        <f>IF(C273="","",INDEX(Rotation_Pattern!$B$4:$E$7,F273,MATCH(E273,{"A","B","C","D"},0)))</f>
        <v/>
      </c>
      <c r="H273" s="32" t="str">
        <f t="shared" si="13"/>
        <v/>
      </c>
      <c r="I273" s="32" t="str">
        <f>IF(OR(G273="Off",G273=""),"",H273+TIME(Settings!$B$8,0,0))</f>
        <v/>
      </c>
      <c r="J273" s="26">
        <f>IF(OR(G273="Off",G273=""),0,Settings!$B$8)</f>
        <v>0</v>
      </c>
      <c r="K273" s="25" t="s">
        <v>111</v>
      </c>
      <c r="L273" s="26" t="str">
        <f>IF(A273="","",IF(COUNTIF(Public_Holidays!$A$4:$A$80,A273)&gt;0,"Y","N"))</f>
        <v>N</v>
      </c>
      <c r="M273" s="26" t="str">
        <f t="shared" si="14"/>
        <v>N</v>
      </c>
      <c r="N273" s="26" t="e">
        <f ca="1">IF(A273="","",_xludf.TEXTJOIN("; ",TRUE,IF(SUMIFS($J:$J,$C:$C,C273,$B:$B,B273)&gt;Settings!$B$9,"Weekly ordinary hrs &gt;45",""),IF(SUMIFS(Claims!$H:$H,Claims!$C:$C,C273,Claims!$B:$B,B273)&gt;Settings!$B$10,"Weekly OT &gt;10",""),IF(AND(G273&lt;&gt;"Off",COUNTIFS($C:$C,C273,$A:$A,A273-1,$G:$G,"Night")&gt;0),"Rest &lt;12h after night shift",""),IF(J273&gt;5,"Meal interval required","")))</f>
        <v>#NAME?</v>
      </c>
      <c r="O273" s="25" t="s">
        <v>112</v>
      </c>
      <c r="P273" s="25"/>
    </row>
    <row r="274" spans="1:16" x14ac:dyDescent="0.35">
      <c r="A274" s="31">
        <f>IF(13+1&lt;=Settings!$B$7,Settings!$B$6+13,"")</f>
        <v>46156</v>
      </c>
      <c r="B274" s="31">
        <f t="shared" si="12"/>
        <v>46153</v>
      </c>
      <c r="C274" s="26" t="str">
        <f>IF(Employees!A14="","",Employees!A14)</f>
        <v/>
      </c>
      <c r="D274" s="26" t="str">
        <f>IF(C274="","",Employees!B14)</f>
        <v/>
      </c>
      <c r="E274" s="26" t="str">
        <f>IF(C274="","",Employees!C14)</f>
        <v/>
      </c>
      <c r="F274" s="26">
        <f>IF(A274="","",MOD(A274-Settings!$B$6,4)+1)</f>
        <v>2</v>
      </c>
      <c r="G274" s="26" t="str">
        <f>IF(C274="","",INDEX(Rotation_Pattern!$B$4:$E$7,F274,MATCH(E274,{"A","B","C","D"},0)))</f>
        <v/>
      </c>
      <c r="H274" s="32" t="str">
        <f t="shared" si="13"/>
        <v/>
      </c>
      <c r="I274" s="32" t="str">
        <f>IF(OR(G274="Off",G274=""),"",H274+TIME(Settings!$B$8,0,0))</f>
        <v/>
      </c>
      <c r="J274" s="26">
        <f>IF(OR(G274="Off",G274=""),0,Settings!$B$8)</f>
        <v>0</v>
      </c>
      <c r="K274" s="25" t="s">
        <v>111</v>
      </c>
      <c r="L274" s="26" t="str">
        <f>IF(A274="","",IF(COUNTIF(Public_Holidays!$A$4:$A$80,A274)&gt;0,"Y","N"))</f>
        <v>N</v>
      </c>
      <c r="M274" s="26" t="str">
        <f t="shared" si="14"/>
        <v>N</v>
      </c>
      <c r="N274" s="26" t="e">
        <f ca="1">IF(A274="","",_xludf.TEXTJOIN("; ",TRUE,IF(SUMIFS($J:$J,$C:$C,C274,$B:$B,B274)&gt;Settings!$B$9,"Weekly ordinary hrs &gt;45",""),IF(SUMIFS(Claims!$H:$H,Claims!$C:$C,C274,Claims!$B:$B,B274)&gt;Settings!$B$10,"Weekly OT &gt;10",""),IF(AND(G274&lt;&gt;"Off",COUNTIFS($C:$C,C274,$A:$A,A274-1,$G:$G,"Night")&gt;0),"Rest &lt;12h after night shift",""),IF(J274&gt;5,"Meal interval required","")))</f>
        <v>#NAME?</v>
      </c>
      <c r="O274" s="25" t="s">
        <v>112</v>
      </c>
      <c r="P274" s="25"/>
    </row>
    <row r="275" spans="1:16" x14ac:dyDescent="0.35">
      <c r="A275" s="31">
        <f>IF(13+1&lt;=Settings!$B$7,Settings!$B$6+13,"")</f>
        <v>46156</v>
      </c>
      <c r="B275" s="31">
        <f t="shared" si="12"/>
        <v>46153</v>
      </c>
      <c r="C275" s="26" t="str">
        <f>IF(Employees!A15="","",Employees!A15)</f>
        <v/>
      </c>
      <c r="D275" s="26" t="str">
        <f>IF(C275="","",Employees!B15)</f>
        <v/>
      </c>
      <c r="E275" s="26" t="str">
        <f>IF(C275="","",Employees!C15)</f>
        <v/>
      </c>
      <c r="F275" s="26">
        <f>IF(A275="","",MOD(A275-Settings!$B$6,4)+1)</f>
        <v>2</v>
      </c>
      <c r="G275" s="26" t="str">
        <f>IF(C275="","",INDEX(Rotation_Pattern!$B$4:$E$7,F275,MATCH(E275,{"A","B","C","D"},0)))</f>
        <v/>
      </c>
      <c r="H275" s="32" t="str">
        <f t="shared" si="13"/>
        <v/>
      </c>
      <c r="I275" s="32" t="str">
        <f>IF(OR(G275="Off",G275=""),"",H275+TIME(Settings!$B$8,0,0))</f>
        <v/>
      </c>
      <c r="J275" s="26">
        <f>IF(OR(G275="Off",G275=""),0,Settings!$B$8)</f>
        <v>0</v>
      </c>
      <c r="K275" s="25" t="s">
        <v>111</v>
      </c>
      <c r="L275" s="26" t="str">
        <f>IF(A275="","",IF(COUNTIF(Public_Holidays!$A$4:$A$80,A275)&gt;0,"Y","N"))</f>
        <v>N</v>
      </c>
      <c r="M275" s="26" t="str">
        <f t="shared" si="14"/>
        <v>N</v>
      </c>
      <c r="N275" s="26" t="e">
        <f ca="1">IF(A275="","",_xludf.TEXTJOIN("; ",TRUE,IF(SUMIFS($J:$J,$C:$C,C275,$B:$B,B275)&gt;Settings!$B$9,"Weekly ordinary hrs &gt;45",""),IF(SUMIFS(Claims!$H:$H,Claims!$C:$C,C275,Claims!$B:$B,B275)&gt;Settings!$B$10,"Weekly OT &gt;10",""),IF(AND(G275&lt;&gt;"Off",COUNTIFS($C:$C,C275,$A:$A,A275-1,$G:$G,"Night")&gt;0),"Rest &lt;12h after night shift",""),IF(J275&gt;5,"Meal interval required","")))</f>
        <v>#NAME?</v>
      </c>
      <c r="O275" s="25" t="s">
        <v>112</v>
      </c>
      <c r="P275" s="25"/>
    </row>
    <row r="276" spans="1:16" x14ac:dyDescent="0.35">
      <c r="A276" s="31">
        <f>IF(13+1&lt;=Settings!$B$7,Settings!$B$6+13,"")</f>
        <v>46156</v>
      </c>
      <c r="B276" s="31">
        <f t="shared" si="12"/>
        <v>46153</v>
      </c>
      <c r="C276" s="26" t="str">
        <f>IF(Employees!A16="","",Employees!A16)</f>
        <v/>
      </c>
      <c r="D276" s="26" t="str">
        <f>IF(C276="","",Employees!B16)</f>
        <v/>
      </c>
      <c r="E276" s="26" t="str">
        <f>IF(C276="","",Employees!C16)</f>
        <v/>
      </c>
      <c r="F276" s="26">
        <f>IF(A276="","",MOD(A276-Settings!$B$6,4)+1)</f>
        <v>2</v>
      </c>
      <c r="G276" s="26" t="str">
        <f>IF(C276="","",INDEX(Rotation_Pattern!$B$4:$E$7,F276,MATCH(E276,{"A","B","C","D"},0)))</f>
        <v/>
      </c>
      <c r="H276" s="32" t="str">
        <f t="shared" si="13"/>
        <v/>
      </c>
      <c r="I276" s="32" t="str">
        <f>IF(OR(G276="Off",G276=""),"",H276+TIME(Settings!$B$8,0,0))</f>
        <v/>
      </c>
      <c r="J276" s="26">
        <f>IF(OR(G276="Off",G276=""),0,Settings!$B$8)</f>
        <v>0</v>
      </c>
      <c r="K276" s="25" t="s">
        <v>111</v>
      </c>
      <c r="L276" s="26" t="str">
        <f>IF(A276="","",IF(COUNTIF(Public_Holidays!$A$4:$A$80,A276)&gt;0,"Y","N"))</f>
        <v>N</v>
      </c>
      <c r="M276" s="26" t="str">
        <f t="shared" si="14"/>
        <v>N</v>
      </c>
      <c r="N276" s="26" t="e">
        <f ca="1">IF(A276="","",_xludf.TEXTJOIN("; ",TRUE,IF(SUMIFS($J:$J,$C:$C,C276,$B:$B,B276)&gt;Settings!$B$9,"Weekly ordinary hrs &gt;45",""),IF(SUMIFS(Claims!$H:$H,Claims!$C:$C,C276,Claims!$B:$B,B276)&gt;Settings!$B$10,"Weekly OT &gt;10",""),IF(AND(G276&lt;&gt;"Off",COUNTIFS($C:$C,C276,$A:$A,A276-1,$G:$G,"Night")&gt;0),"Rest &lt;12h after night shift",""),IF(J276&gt;5,"Meal interval required","")))</f>
        <v>#NAME?</v>
      </c>
      <c r="O276" s="25" t="s">
        <v>112</v>
      </c>
      <c r="P276" s="25"/>
    </row>
    <row r="277" spans="1:16" x14ac:dyDescent="0.35">
      <c r="A277" s="31">
        <f>IF(13+1&lt;=Settings!$B$7,Settings!$B$6+13,"")</f>
        <v>46156</v>
      </c>
      <c r="B277" s="31">
        <f t="shared" si="12"/>
        <v>46153</v>
      </c>
      <c r="C277" s="26" t="str">
        <f>IF(Employees!A17="","",Employees!A17)</f>
        <v/>
      </c>
      <c r="D277" s="26" t="str">
        <f>IF(C277="","",Employees!B17)</f>
        <v/>
      </c>
      <c r="E277" s="26" t="str">
        <f>IF(C277="","",Employees!C17)</f>
        <v/>
      </c>
      <c r="F277" s="26">
        <f>IF(A277="","",MOD(A277-Settings!$B$6,4)+1)</f>
        <v>2</v>
      </c>
      <c r="G277" s="26" t="str">
        <f>IF(C277="","",INDEX(Rotation_Pattern!$B$4:$E$7,F277,MATCH(E277,{"A","B","C","D"},0)))</f>
        <v/>
      </c>
      <c r="H277" s="32" t="str">
        <f t="shared" si="13"/>
        <v/>
      </c>
      <c r="I277" s="32" t="str">
        <f>IF(OR(G277="Off",G277=""),"",H277+TIME(Settings!$B$8,0,0))</f>
        <v/>
      </c>
      <c r="J277" s="26">
        <f>IF(OR(G277="Off",G277=""),0,Settings!$B$8)</f>
        <v>0</v>
      </c>
      <c r="K277" s="25" t="s">
        <v>111</v>
      </c>
      <c r="L277" s="26" t="str">
        <f>IF(A277="","",IF(COUNTIF(Public_Holidays!$A$4:$A$80,A277)&gt;0,"Y","N"))</f>
        <v>N</v>
      </c>
      <c r="M277" s="26" t="str">
        <f t="shared" si="14"/>
        <v>N</v>
      </c>
      <c r="N277" s="26" t="e">
        <f ca="1">IF(A277="","",_xludf.TEXTJOIN("; ",TRUE,IF(SUMIFS($J:$J,$C:$C,C277,$B:$B,B277)&gt;Settings!$B$9,"Weekly ordinary hrs &gt;45",""),IF(SUMIFS(Claims!$H:$H,Claims!$C:$C,C277,Claims!$B:$B,B277)&gt;Settings!$B$10,"Weekly OT &gt;10",""),IF(AND(G277&lt;&gt;"Off",COUNTIFS($C:$C,C277,$A:$A,A277-1,$G:$G,"Night")&gt;0),"Rest &lt;12h after night shift",""),IF(J277&gt;5,"Meal interval required","")))</f>
        <v>#NAME?</v>
      </c>
      <c r="O277" s="25" t="s">
        <v>112</v>
      </c>
      <c r="P277" s="25"/>
    </row>
    <row r="278" spans="1:16" x14ac:dyDescent="0.35">
      <c r="A278" s="31">
        <f>IF(13+1&lt;=Settings!$B$7,Settings!$B$6+13,"")</f>
        <v>46156</v>
      </c>
      <c r="B278" s="31">
        <f t="shared" si="12"/>
        <v>46153</v>
      </c>
      <c r="C278" s="26" t="str">
        <f>IF(Employees!A18="","",Employees!A18)</f>
        <v/>
      </c>
      <c r="D278" s="26" t="str">
        <f>IF(C278="","",Employees!B18)</f>
        <v/>
      </c>
      <c r="E278" s="26" t="str">
        <f>IF(C278="","",Employees!C18)</f>
        <v/>
      </c>
      <c r="F278" s="26">
        <f>IF(A278="","",MOD(A278-Settings!$B$6,4)+1)</f>
        <v>2</v>
      </c>
      <c r="G278" s="26" t="str">
        <f>IF(C278="","",INDEX(Rotation_Pattern!$B$4:$E$7,F278,MATCH(E278,{"A","B","C","D"},0)))</f>
        <v/>
      </c>
      <c r="H278" s="32" t="str">
        <f t="shared" si="13"/>
        <v/>
      </c>
      <c r="I278" s="32" t="str">
        <f>IF(OR(G278="Off",G278=""),"",H278+TIME(Settings!$B$8,0,0))</f>
        <v/>
      </c>
      <c r="J278" s="26">
        <f>IF(OR(G278="Off",G278=""),0,Settings!$B$8)</f>
        <v>0</v>
      </c>
      <c r="K278" s="25" t="s">
        <v>111</v>
      </c>
      <c r="L278" s="26" t="str">
        <f>IF(A278="","",IF(COUNTIF(Public_Holidays!$A$4:$A$80,A278)&gt;0,"Y","N"))</f>
        <v>N</v>
      </c>
      <c r="M278" s="26" t="str">
        <f t="shared" si="14"/>
        <v>N</v>
      </c>
      <c r="N278" s="26" t="e">
        <f ca="1">IF(A278="","",_xludf.TEXTJOIN("; ",TRUE,IF(SUMIFS($J:$J,$C:$C,C278,$B:$B,B278)&gt;Settings!$B$9,"Weekly ordinary hrs &gt;45",""),IF(SUMIFS(Claims!$H:$H,Claims!$C:$C,C278,Claims!$B:$B,B278)&gt;Settings!$B$10,"Weekly OT &gt;10",""),IF(AND(G278&lt;&gt;"Off",COUNTIFS($C:$C,C278,$A:$A,A278-1,$G:$G,"Night")&gt;0),"Rest &lt;12h after night shift",""),IF(J278&gt;5,"Meal interval required","")))</f>
        <v>#NAME?</v>
      </c>
      <c r="O278" s="25" t="s">
        <v>112</v>
      </c>
      <c r="P278" s="25"/>
    </row>
    <row r="279" spans="1:16" x14ac:dyDescent="0.35">
      <c r="A279" s="31">
        <f>IF(13+1&lt;=Settings!$B$7,Settings!$B$6+13,"")</f>
        <v>46156</v>
      </c>
      <c r="B279" s="31">
        <f t="shared" si="12"/>
        <v>46153</v>
      </c>
      <c r="C279" s="26" t="str">
        <f>IF(Employees!A19="","",Employees!A19)</f>
        <v/>
      </c>
      <c r="D279" s="26" t="str">
        <f>IF(C279="","",Employees!B19)</f>
        <v/>
      </c>
      <c r="E279" s="26" t="str">
        <f>IF(C279="","",Employees!C19)</f>
        <v/>
      </c>
      <c r="F279" s="26">
        <f>IF(A279="","",MOD(A279-Settings!$B$6,4)+1)</f>
        <v>2</v>
      </c>
      <c r="G279" s="26" t="str">
        <f>IF(C279="","",INDEX(Rotation_Pattern!$B$4:$E$7,F279,MATCH(E279,{"A","B","C","D"},0)))</f>
        <v/>
      </c>
      <c r="H279" s="32" t="str">
        <f t="shared" si="13"/>
        <v/>
      </c>
      <c r="I279" s="32" t="str">
        <f>IF(OR(G279="Off",G279=""),"",H279+TIME(Settings!$B$8,0,0))</f>
        <v/>
      </c>
      <c r="J279" s="26">
        <f>IF(OR(G279="Off",G279=""),0,Settings!$B$8)</f>
        <v>0</v>
      </c>
      <c r="K279" s="25" t="s">
        <v>111</v>
      </c>
      <c r="L279" s="26" t="str">
        <f>IF(A279="","",IF(COUNTIF(Public_Holidays!$A$4:$A$80,A279)&gt;0,"Y","N"))</f>
        <v>N</v>
      </c>
      <c r="M279" s="26" t="str">
        <f t="shared" si="14"/>
        <v>N</v>
      </c>
      <c r="N279" s="26" t="e">
        <f ca="1">IF(A279="","",_xludf.TEXTJOIN("; ",TRUE,IF(SUMIFS($J:$J,$C:$C,C279,$B:$B,B279)&gt;Settings!$B$9,"Weekly ordinary hrs &gt;45",""),IF(SUMIFS(Claims!$H:$H,Claims!$C:$C,C279,Claims!$B:$B,B279)&gt;Settings!$B$10,"Weekly OT &gt;10",""),IF(AND(G279&lt;&gt;"Off",COUNTIFS($C:$C,C279,$A:$A,A279-1,$G:$G,"Night")&gt;0),"Rest &lt;12h after night shift",""),IF(J279&gt;5,"Meal interval required","")))</f>
        <v>#NAME?</v>
      </c>
      <c r="O279" s="25" t="s">
        <v>112</v>
      </c>
      <c r="P279" s="25"/>
    </row>
    <row r="280" spans="1:16" x14ac:dyDescent="0.35">
      <c r="A280" s="31">
        <f>IF(13+1&lt;=Settings!$B$7,Settings!$B$6+13,"")</f>
        <v>46156</v>
      </c>
      <c r="B280" s="31">
        <f t="shared" si="12"/>
        <v>46153</v>
      </c>
      <c r="C280" s="26" t="str">
        <f>IF(Employees!A20="","",Employees!A20)</f>
        <v/>
      </c>
      <c r="D280" s="26" t="str">
        <f>IF(C280="","",Employees!B20)</f>
        <v/>
      </c>
      <c r="E280" s="26" t="str">
        <f>IF(C280="","",Employees!C20)</f>
        <v/>
      </c>
      <c r="F280" s="26">
        <f>IF(A280="","",MOD(A280-Settings!$B$6,4)+1)</f>
        <v>2</v>
      </c>
      <c r="G280" s="26" t="str">
        <f>IF(C280="","",INDEX(Rotation_Pattern!$B$4:$E$7,F280,MATCH(E280,{"A","B","C","D"},0)))</f>
        <v/>
      </c>
      <c r="H280" s="32" t="str">
        <f t="shared" si="13"/>
        <v/>
      </c>
      <c r="I280" s="32" t="str">
        <f>IF(OR(G280="Off",G280=""),"",H280+TIME(Settings!$B$8,0,0))</f>
        <v/>
      </c>
      <c r="J280" s="26">
        <f>IF(OR(G280="Off",G280=""),0,Settings!$B$8)</f>
        <v>0</v>
      </c>
      <c r="K280" s="25" t="s">
        <v>111</v>
      </c>
      <c r="L280" s="26" t="str">
        <f>IF(A280="","",IF(COUNTIF(Public_Holidays!$A$4:$A$80,A280)&gt;0,"Y","N"))</f>
        <v>N</v>
      </c>
      <c r="M280" s="26" t="str">
        <f t="shared" si="14"/>
        <v>N</v>
      </c>
      <c r="N280" s="26" t="e">
        <f ca="1">IF(A280="","",_xludf.TEXTJOIN("; ",TRUE,IF(SUMIFS($J:$J,$C:$C,C280,$B:$B,B280)&gt;Settings!$B$9,"Weekly ordinary hrs &gt;45",""),IF(SUMIFS(Claims!$H:$H,Claims!$C:$C,C280,Claims!$B:$B,B280)&gt;Settings!$B$10,"Weekly OT &gt;10",""),IF(AND(G280&lt;&gt;"Off",COUNTIFS($C:$C,C280,$A:$A,A280-1,$G:$G,"Night")&gt;0),"Rest &lt;12h after night shift",""),IF(J280&gt;5,"Meal interval required","")))</f>
        <v>#NAME?</v>
      </c>
      <c r="O280" s="25" t="s">
        <v>112</v>
      </c>
      <c r="P280" s="25"/>
    </row>
    <row r="281" spans="1:16" x14ac:dyDescent="0.35">
      <c r="A281" s="31">
        <f>IF(13+1&lt;=Settings!$B$7,Settings!$B$6+13,"")</f>
        <v>46156</v>
      </c>
      <c r="B281" s="31">
        <f t="shared" si="12"/>
        <v>46153</v>
      </c>
      <c r="C281" s="26" t="str">
        <f>IF(Employees!A21="","",Employees!A21)</f>
        <v/>
      </c>
      <c r="D281" s="26" t="str">
        <f>IF(C281="","",Employees!B21)</f>
        <v/>
      </c>
      <c r="E281" s="26" t="str">
        <f>IF(C281="","",Employees!C21)</f>
        <v/>
      </c>
      <c r="F281" s="26">
        <f>IF(A281="","",MOD(A281-Settings!$B$6,4)+1)</f>
        <v>2</v>
      </c>
      <c r="G281" s="26" t="str">
        <f>IF(C281="","",INDEX(Rotation_Pattern!$B$4:$E$7,F281,MATCH(E281,{"A","B","C","D"},0)))</f>
        <v/>
      </c>
      <c r="H281" s="32" t="str">
        <f t="shared" si="13"/>
        <v/>
      </c>
      <c r="I281" s="32" t="str">
        <f>IF(OR(G281="Off",G281=""),"",H281+TIME(Settings!$B$8,0,0))</f>
        <v/>
      </c>
      <c r="J281" s="26">
        <f>IF(OR(G281="Off",G281=""),0,Settings!$B$8)</f>
        <v>0</v>
      </c>
      <c r="K281" s="25" t="s">
        <v>111</v>
      </c>
      <c r="L281" s="26" t="str">
        <f>IF(A281="","",IF(COUNTIF(Public_Holidays!$A$4:$A$80,A281)&gt;0,"Y","N"))</f>
        <v>N</v>
      </c>
      <c r="M281" s="26" t="str">
        <f t="shared" si="14"/>
        <v>N</v>
      </c>
      <c r="N281" s="26" t="e">
        <f ca="1">IF(A281="","",_xludf.TEXTJOIN("; ",TRUE,IF(SUMIFS($J:$J,$C:$C,C281,$B:$B,B281)&gt;Settings!$B$9,"Weekly ordinary hrs &gt;45",""),IF(SUMIFS(Claims!$H:$H,Claims!$C:$C,C281,Claims!$B:$B,B281)&gt;Settings!$B$10,"Weekly OT &gt;10",""),IF(AND(G281&lt;&gt;"Off",COUNTIFS($C:$C,C281,$A:$A,A281-1,$G:$G,"Night")&gt;0),"Rest &lt;12h after night shift",""),IF(J281&gt;5,"Meal interval required","")))</f>
        <v>#NAME?</v>
      </c>
      <c r="O281" s="25" t="s">
        <v>112</v>
      </c>
      <c r="P281" s="25"/>
    </row>
    <row r="282" spans="1:16" x14ac:dyDescent="0.35">
      <c r="A282" s="31">
        <f>IF(13+1&lt;=Settings!$B$7,Settings!$B$6+13,"")</f>
        <v>46156</v>
      </c>
      <c r="B282" s="31">
        <f t="shared" si="12"/>
        <v>46153</v>
      </c>
      <c r="C282" s="26" t="str">
        <f>IF(Employees!A22="","",Employees!A22)</f>
        <v/>
      </c>
      <c r="D282" s="26" t="str">
        <f>IF(C282="","",Employees!B22)</f>
        <v/>
      </c>
      <c r="E282" s="26" t="str">
        <f>IF(C282="","",Employees!C22)</f>
        <v/>
      </c>
      <c r="F282" s="26">
        <f>IF(A282="","",MOD(A282-Settings!$B$6,4)+1)</f>
        <v>2</v>
      </c>
      <c r="G282" s="26" t="str">
        <f>IF(C282="","",INDEX(Rotation_Pattern!$B$4:$E$7,F282,MATCH(E282,{"A","B","C","D"},0)))</f>
        <v/>
      </c>
      <c r="H282" s="32" t="str">
        <f t="shared" si="13"/>
        <v/>
      </c>
      <c r="I282" s="32" t="str">
        <f>IF(OR(G282="Off",G282=""),"",H282+TIME(Settings!$B$8,0,0))</f>
        <v/>
      </c>
      <c r="J282" s="26">
        <f>IF(OR(G282="Off",G282=""),0,Settings!$B$8)</f>
        <v>0</v>
      </c>
      <c r="K282" s="25" t="s">
        <v>111</v>
      </c>
      <c r="L282" s="26" t="str">
        <f>IF(A282="","",IF(COUNTIF(Public_Holidays!$A$4:$A$80,A282)&gt;0,"Y","N"))</f>
        <v>N</v>
      </c>
      <c r="M282" s="26" t="str">
        <f t="shared" si="14"/>
        <v>N</v>
      </c>
      <c r="N282" s="26" t="e">
        <f ca="1">IF(A282="","",_xludf.TEXTJOIN("; ",TRUE,IF(SUMIFS($J:$J,$C:$C,C282,$B:$B,B282)&gt;Settings!$B$9,"Weekly ordinary hrs &gt;45",""),IF(SUMIFS(Claims!$H:$H,Claims!$C:$C,C282,Claims!$B:$B,B282)&gt;Settings!$B$10,"Weekly OT &gt;10",""),IF(AND(G282&lt;&gt;"Off",COUNTIFS($C:$C,C282,$A:$A,A282-1,$G:$G,"Night")&gt;0),"Rest &lt;12h after night shift",""),IF(J282&gt;5,"Meal interval required","")))</f>
        <v>#NAME?</v>
      </c>
      <c r="O282" s="25" t="s">
        <v>112</v>
      </c>
      <c r="P282" s="25"/>
    </row>
    <row r="283" spans="1:16" x14ac:dyDescent="0.35">
      <c r="A283" s="31">
        <f>IF(13+1&lt;=Settings!$B$7,Settings!$B$6+13,"")</f>
        <v>46156</v>
      </c>
      <c r="B283" s="31">
        <f t="shared" si="12"/>
        <v>46153</v>
      </c>
      <c r="C283" s="26" t="str">
        <f>IF(Employees!A23="","",Employees!A23)</f>
        <v/>
      </c>
      <c r="D283" s="26" t="str">
        <f>IF(C283="","",Employees!B23)</f>
        <v/>
      </c>
      <c r="E283" s="26" t="str">
        <f>IF(C283="","",Employees!C23)</f>
        <v/>
      </c>
      <c r="F283" s="26">
        <f>IF(A283="","",MOD(A283-Settings!$B$6,4)+1)</f>
        <v>2</v>
      </c>
      <c r="G283" s="26" t="str">
        <f>IF(C283="","",INDEX(Rotation_Pattern!$B$4:$E$7,F283,MATCH(E283,{"A","B","C","D"},0)))</f>
        <v/>
      </c>
      <c r="H283" s="32" t="str">
        <f t="shared" si="13"/>
        <v/>
      </c>
      <c r="I283" s="32" t="str">
        <f>IF(OR(G283="Off",G283=""),"",H283+TIME(Settings!$B$8,0,0))</f>
        <v/>
      </c>
      <c r="J283" s="26">
        <f>IF(OR(G283="Off",G283=""),0,Settings!$B$8)</f>
        <v>0</v>
      </c>
      <c r="K283" s="25" t="s">
        <v>111</v>
      </c>
      <c r="L283" s="26" t="str">
        <f>IF(A283="","",IF(COUNTIF(Public_Holidays!$A$4:$A$80,A283)&gt;0,"Y","N"))</f>
        <v>N</v>
      </c>
      <c r="M283" s="26" t="str">
        <f t="shared" si="14"/>
        <v>N</v>
      </c>
      <c r="N283" s="26" t="e">
        <f ca="1">IF(A283="","",_xludf.TEXTJOIN("; ",TRUE,IF(SUMIFS($J:$J,$C:$C,C283,$B:$B,B283)&gt;Settings!$B$9,"Weekly ordinary hrs &gt;45",""),IF(SUMIFS(Claims!$H:$H,Claims!$C:$C,C283,Claims!$B:$B,B283)&gt;Settings!$B$10,"Weekly OT &gt;10",""),IF(AND(G283&lt;&gt;"Off",COUNTIFS($C:$C,C283,$A:$A,A283-1,$G:$G,"Night")&gt;0),"Rest &lt;12h after night shift",""),IF(J283&gt;5,"Meal interval required","")))</f>
        <v>#NAME?</v>
      </c>
      <c r="O283" s="25" t="s">
        <v>112</v>
      </c>
      <c r="P283" s="25"/>
    </row>
    <row r="284" spans="1:16" x14ac:dyDescent="0.35">
      <c r="A284" s="31">
        <f>IF(14+1&lt;=Settings!$B$7,Settings!$B$6+14,"")</f>
        <v>46157</v>
      </c>
      <c r="B284" s="31">
        <f t="shared" si="12"/>
        <v>46153</v>
      </c>
      <c r="C284" s="26" t="str">
        <f>IF(Employees!A4="","",Employees!A4)</f>
        <v>E001</v>
      </c>
      <c r="D284" s="26" t="str">
        <f>IF(C284="","",Employees!B4)</f>
        <v>Musiwa Khavalani</v>
      </c>
      <c r="E284" s="26">
        <f>IF(C284="","",Employees!C4)</f>
        <v>0</v>
      </c>
      <c r="F284" s="26">
        <f>IF(A284="","",MOD(A284-Settings!$B$6,4)+1)</f>
        <v>3</v>
      </c>
      <c r="G284" s="26" t="e">
        <f>IF(C284="","",INDEX(Rotation_Pattern!$B$4:$E$7,F284,MATCH(E284,{"A","B","C","D"},0)))</f>
        <v>#N/A</v>
      </c>
      <c r="H284" s="32" t="e">
        <f t="shared" si="13"/>
        <v>#N/A</v>
      </c>
      <c r="I284" s="32" t="e">
        <f>IF(OR(G284="Off",G284=""),"",H284+TIME(Settings!$B$8,0,0))</f>
        <v>#N/A</v>
      </c>
      <c r="J284" s="26" t="e">
        <f>IF(OR(G284="Off",G284=""),0,Settings!$B$8)</f>
        <v>#N/A</v>
      </c>
      <c r="K284" s="25" t="s">
        <v>111</v>
      </c>
      <c r="L284" s="26" t="str">
        <f>IF(A284="","",IF(COUNTIF(Public_Holidays!$A$4:$A$80,A284)&gt;0,"Y","N"))</f>
        <v>N</v>
      </c>
      <c r="M284" s="26" t="str">
        <f t="shared" si="14"/>
        <v>N</v>
      </c>
      <c r="N284" s="26" t="e">
        <f ca="1">IF(A284="","",_xludf.TEXTJOIN("; ",TRUE,IF(SUMIFS($J:$J,$C:$C,C284,$B:$B,B284)&gt;Settings!$B$9,"Weekly ordinary hrs &gt;45",""),IF(SUMIFS(Claims!$H:$H,Claims!$C:$C,C284,Claims!$B:$B,B284)&gt;Settings!$B$10,"Weekly OT &gt;10",""),IF(AND(G284&lt;&gt;"Off",COUNTIFS($C:$C,C284,$A:$A,A284-1,$G:$G,"Night")&gt;0),"Rest &lt;12h after night shift",""),IF(J284&gt;5,"Meal interval required","")))</f>
        <v>#NAME?</v>
      </c>
      <c r="O284" s="25" t="s">
        <v>112</v>
      </c>
      <c r="P284" s="25"/>
    </row>
    <row r="285" spans="1:16" x14ac:dyDescent="0.35">
      <c r="A285" s="31">
        <f>IF(14+1&lt;=Settings!$B$7,Settings!$B$6+14,"")</f>
        <v>46157</v>
      </c>
      <c r="B285" s="31">
        <f t="shared" si="12"/>
        <v>46153</v>
      </c>
      <c r="C285" s="26" t="str">
        <f>IF(Employees!A5="","",Employees!A5)</f>
        <v>E002</v>
      </c>
      <c r="D285" s="26" t="str">
        <f>IF(C285="","",Employees!B5)</f>
        <v>Mpho  Nembemhia</v>
      </c>
      <c r="E285" s="26" t="str">
        <f>IF(C285="","",Employees!C5)</f>
        <v>B</v>
      </c>
      <c r="F285" s="26">
        <f>IF(A285="","",MOD(A285-Settings!$B$6,4)+1)</f>
        <v>3</v>
      </c>
      <c r="G285" s="26" t="str">
        <f>IF(C285="","",INDEX(Rotation_Pattern!$B$4:$E$7,F285,MATCH(E285,{"A","B","C","D"},0)))</f>
        <v>Evening</v>
      </c>
      <c r="H285" s="32">
        <f t="shared" si="13"/>
        <v>0.58333333333333337</v>
      </c>
      <c r="I285" s="32">
        <f>IF(OR(G285="Off",G285=""),"",H285+TIME(Settings!$B$8,0,0))</f>
        <v>0.91666666666666674</v>
      </c>
      <c r="J285" s="26">
        <f>IF(OR(G285="Off",G285=""),0,Settings!$B$8)</f>
        <v>8</v>
      </c>
      <c r="K285" s="25" t="s">
        <v>111</v>
      </c>
      <c r="L285" s="26" t="str">
        <f>IF(A285="","",IF(COUNTIF(Public_Holidays!$A$4:$A$80,A285)&gt;0,"Y","N"))</f>
        <v>N</v>
      </c>
      <c r="M285" s="26" t="str">
        <f t="shared" si="14"/>
        <v>N</v>
      </c>
      <c r="N285" s="26" t="e">
        <f ca="1">IF(A285="","",_xludf.TEXTJOIN("; ",TRUE,IF(SUMIFS($J:$J,$C:$C,C285,$B:$B,B285)&gt;Settings!$B$9,"Weekly ordinary hrs &gt;45",""),IF(SUMIFS(Claims!$H:$H,Claims!$C:$C,C285,Claims!$B:$B,B285)&gt;Settings!$B$10,"Weekly OT &gt;10",""),IF(AND(G285&lt;&gt;"Off",COUNTIFS($C:$C,C285,$A:$A,A285-1,$G:$G,"Night")&gt;0),"Rest &lt;12h after night shift",""),IF(J285&gt;5,"Meal interval required","")))</f>
        <v>#NAME?</v>
      </c>
      <c r="O285" s="25" t="s">
        <v>112</v>
      </c>
      <c r="P285" s="25"/>
    </row>
    <row r="286" spans="1:16" x14ac:dyDescent="0.35">
      <c r="A286" s="31">
        <f>IF(14+1&lt;=Settings!$B$7,Settings!$B$6+14,"")</f>
        <v>46157</v>
      </c>
      <c r="B286" s="31">
        <f t="shared" si="12"/>
        <v>46153</v>
      </c>
      <c r="C286" s="26" t="str">
        <f>IF(Employees!A6="","",Employees!A6)</f>
        <v>E003</v>
      </c>
      <c r="D286" s="26" t="str">
        <f>IF(C286="","",Employees!B6)</f>
        <v>Dimpho Makhafola</v>
      </c>
      <c r="E286" s="26" t="str">
        <f>IF(C286="","",Employees!C6)</f>
        <v>C</v>
      </c>
      <c r="F286" s="26">
        <f>IF(A286="","",MOD(A286-Settings!$B$6,4)+1)</f>
        <v>3</v>
      </c>
      <c r="G286" s="26" t="str">
        <f>IF(C286="","",INDEX(Rotation_Pattern!$B$4:$E$7,F286,MATCH(E286,{"A","B","C","D"},0)))</f>
        <v>Day</v>
      </c>
      <c r="H286" s="32">
        <f t="shared" si="13"/>
        <v>0.25</v>
      </c>
      <c r="I286" s="32">
        <f>IF(OR(G286="Off",G286=""),"",H286+TIME(Settings!$B$8,0,0))</f>
        <v>0.58333333333333326</v>
      </c>
      <c r="J286" s="26">
        <f>IF(OR(G286="Off",G286=""),0,Settings!$B$8)</f>
        <v>8</v>
      </c>
      <c r="K286" s="25" t="s">
        <v>111</v>
      </c>
      <c r="L286" s="26" t="str">
        <f>IF(A286="","",IF(COUNTIF(Public_Holidays!$A$4:$A$80,A286)&gt;0,"Y","N"))</f>
        <v>N</v>
      </c>
      <c r="M286" s="26" t="str">
        <f t="shared" si="14"/>
        <v>N</v>
      </c>
      <c r="N286" s="26" t="e">
        <f ca="1">IF(A286="","",_xludf.TEXTJOIN("; ",TRUE,IF(SUMIFS($J:$J,$C:$C,C286,$B:$B,B286)&gt;Settings!$B$9,"Weekly ordinary hrs &gt;45",""),IF(SUMIFS(Claims!$H:$H,Claims!$C:$C,C286,Claims!$B:$B,B286)&gt;Settings!$B$10,"Weekly OT &gt;10",""),IF(AND(G286&lt;&gt;"Off",COUNTIFS($C:$C,C286,$A:$A,A286-1,$G:$G,"Night")&gt;0),"Rest &lt;12h after night shift",""),IF(J286&gt;5,"Meal interval required","")))</f>
        <v>#NAME?</v>
      </c>
      <c r="O286" s="25" t="s">
        <v>112</v>
      </c>
      <c r="P286" s="25"/>
    </row>
    <row r="287" spans="1:16" x14ac:dyDescent="0.35">
      <c r="A287" s="31">
        <f>IF(14+1&lt;=Settings!$B$7,Settings!$B$6+14,"")</f>
        <v>46157</v>
      </c>
      <c r="B287" s="31">
        <f t="shared" si="12"/>
        <v>46153</v>
      </c>
      <c r="C287" s="26" t="str">
        <f>IF(Employees!A7="","",Employees!A7)</f>
        <v>E004</v>
      </c>
      <c r="D287" s="26" t="str">
        <f>IF(C287="","",Employees!B7)</f>
        <v>Bashii Fall</v>
      </c>
      <c r="E287" s="26" t="str">
        <f>IF(C287="","",Employees!C7)</f>
        <v>D</v>
      </c>
      <c r="F287" s="26">
        <f>IF(A287="","",MOD(A287-Settings!$B$6,4)+1)</f>
        <v>3</v>
      </c>
      <c r="G287" s="26" t="str">
        <f>IF(C287="","",INDEX(Rotation_Pattern!$B$4:$E$7,F287,MATCH(E287,{"A","B","C","D"},0)))</f>
        <v>Off</v>
      </c>
      <c r="H287" s="32" t="str">
        <f t="shared" si="13"/>
        <v/>
      </c>
      <c r="I287" s="32" t="str">
        <f>IF(OR(G287="Off",G287=""),"",H287+TIME(Settings!$B$8,0,0))</f>
        <v/>
      </c>
      <c r="J287" s="26">
        <f>IF(OR(G287="Off",G287=""),0,Settings!$B$8)</f>
        <v>0</v>
      </c>
      <c r="K287" s="25" t="s">
        <v>111</v>
      </c>
      <c r="L287" s="26" t="str">
        <f>IF(A287="","",IF(COUNTIF(Public_Holidays!$A$4:$A$80,A287)&gt;0,"Y","N"))</f>
        <v>N</v>
      </c>
      <c r="M287" s="26" t="str">
        <f t="shared" si="14"/>
        <v>N</v>
      </c>
      <c r="N287" s="26" t="e">
        <f ca="1">IF(A287="","",_xludf.TEXTJOIN("; ",TRUE,IF(SUMIFS($J:$J,$C:$C,C287,$B:$B,B287)&gt;Settings!$B$9,"Weekly ordinary hrs &gt;45",""),IF(SUMIFS(Claims!$H:$H,Claims!$C:$C,C287,Claims!$B:$B,B287)&gt;Settings!$B$10,"Weekly OT &gt;10",""),IF(AND(G287&lt;&gt;"Off",COUNTIFS($C:$C,C287,$A:$A,A287-1,$G:$G,"Night")&gt;0),"Rest &lt;12h after night shift",""),IF(J287&gt;5,"Meal interval required","")))</f>
        <v>#NAME?</v>
      </c>
      <c r="O287" s="25" t="s">
        <v>112</v>
      </c>
      <c r="P287" s="25"/>
    </row>
    <row r="288" spans="1:16" x14ac:dyDescent="0.35">
      <c r="A288" s="31">
        <f>IF(14+1&lt;=Settings!$B$7,Settings!$B$6+14,"")</f>
        <v>46157</v>
      </c>
      <c r="B288" s="31">
        <f t="shared" si="12"/>
        <v>46153</v>
      </c>
      <c r="C288" s="26" t="str">
        <f>IF(Employees!A8="","",Employees!A8)</f>
        <v>E005</v>
      </c>
      <c r="D288" s="26" t="str">
        <f>IF(C288="","",Employees!B8)</f>
        <v>Lesego Aphane</v>
      </c>
      <c r="E288" s="26" t="str">
        <f>IF(C288="","",Employees!C8)</f>
        <v>A</v>
      </c>
      <c r="F288" s="26">
        <f>IF(A288="","",MOD(A288-Settings!$B$6,4)+1)</f>
        <v>3</v>
      </c>
      <c r="G288" s="26" t="str">
        <f>IF(C288="","",INDEX(Rotation_Pattern!$B$4:$E$7,F288,MATCH(E288,{"A","B","C","D"},0)))</f>
        <v>Night</v>
      </c>
      <c r="H288" s="32">
        <f t="shared" si="13"/>
        <v>0.91666666666666663</v>
      </c>
      <c r="I288" s="32">
        <f>IF(OR(G288="Off",G288=""),"",H288+TIME(Settings!$B$8,0,0))</f>
        <v>1.25</v>
      </c>
      <c r="J288" s="26">
        <f>IF(OR(G288="Off",G288=""),0,Settings!$B$8)</f>
        <v>8</v>
      </c>
      <c r="K288" s="25" t="s">
        <v>111</v>
      </c>
      <c r="L288" s="26" t="str">
        <f>IF(A288="","",IF(COUNTIF(Public_Holidays!$A$4:$A$80,A288)&gt;0,"Y","N"))</f>
        <v>N</v>
      </c>
      <c r="M288" s="26" t="str">
        <f t="shared" si="14"/>
        <v>N</v>
      </c>
      <c r="N288" s="26" t="e">
        <f ca="1">IF(A288="","",_xludf.TEXTJOIN("; ",TRUE,IF(SUMIFS($J:$J,$C:$C,C288,$B:$B,B288)&gt;Settings!$B$9,"Weekly ordinary hrs &gt;45",""),IF(SUMIFS(Claims!$H:$H,Claims!$C:$C,C288,Claims!$B:$B,B288)&gt;Settings!$B$10,"Weekly OT &gt;10",""),IF(AND(G288&lt;&gt;"Off",COUNTIFS($C:$C,C288,$A:$A,A288-1,$G:$G,"Night")&gt;0),"Rest &lt;12h after night shift",""),IF(J288&gt;5,"Meal interval required","")))</f>
        <v>#NAME?</v>
      </c>
      <c r="O288" s="25" t="s">
        <v>112</v>
      </c>
      <c r="P288" s="25"/>
    </row>
    <row r="289" spans="1:16" x14ac:dyDescent="0.35">
      <c r="A289" s="31">
        <f>IF(14+1&lt;=Settings!$B$7,Settings!$B$6+14,"")</f>
        <v>46157</v>
      </c>
      <c r="B289" s="31">
        <f t="shared" si="12"/>
        <v>46153</v>
      </c>
      <c r="C289" s="26" t="str">
        <f>IF(Employees!A9="","",Employees!A9)</f>
        <v>E006</v>
      </c>
      <c r="D289" s="26" t="str">
        <f>IF(C289="","",Employees!B9)</f>
        <v>Nhalnahla</v>
      </c>
      <c r="E289" s="26" t="str">
        <f>IF(C289="","",Employees!C9)</f>
        <v>B</v>
      </c>
      <c r="F289" s="26">
        <f>IF(A289="","",MOD(A289-Settings!$B$6,4)+1)</f>
        <v>3</v>
      </c>
      <c r="G289" s="26" t="str">
        <f>IF(C289="","",INDEX(Rotation_Pattern!$B$4:$E$7,F289,MATCH(E289,{"A","B","C","D"},0)))</f>
        <v>Evening</v>
      </c>
      <c r="H289" s="32">
        <f t="shared" si="13"/>
        <v>0.58333333333333337</v>
      </c>
      <c r="I289" s="32">
        <f>IF(OR(G289="Off",G289=""),"",H289+TIME(Settings!$B$8,0,0))</f>
        <v>0.91666666666666674</v>
      </c>
      <c r="J289" s="26">
        <f>IF(OR(G289="Off",G289=""),0,Settings!$B$8)</f>
        <v>8</v>
      </c>
      <c r="K289" s="25" t="s">
        <v>111</v>
      </c>
      <c r="L289" s="26" t="str">
        <f>IF(A289="","",IF(COUNTIF(Public_Holidays!$A$4:$A$80,A289)&gt;0,"Y","N"))</f>
        <v>N</v>
      </c>
      <c r="M289" s="26" t="str">
        <f t="shared" si="14"/>
        <v>N</v>
      </c>
      <c r="N289" s="26" t="e">
        <f ca="1">IF(A289="","",_xludf.TEXTJOIN("; ",TRUE,IF(SUMIFS($J:$J,$C:$C,C289,$B:$B,B289)&gt;Settings!$B$9,"Weekly ordinary hrs &gt;45",""),IF(SUMIFS(Claims!$H:$H,Claims!$C:$C,C289,Claims!$B:$B,B289)&gt;Settings!$B$10,"Weekly OT &gt;10",""),IF(AND(G289&lt;&gt;"Off",COUNTIFS($C:$C,C289,$A:$A,A289-1,$G:$G,"Night")&gt;0),"Rest &lt;12h after night shift",""),IF(J289&gt;5,"Meal interval required","")))</f>
        <v>#NAME?</v>
      </c>
      <c r="O289" s="25" t="s">
        <v>112</v>
      </c>
      <c r="P289" s="25"/>
    </row>
    <row r="290" spans="1:16" x14ac:dyDescent="0.35">
      <c r="A290" s="31">
        <f>IF(14+1&lt;=Settings!$B$7,Settings!$B$6+14,"")</f>
        <v>46157</v>
      </c>
      <c r="B290" s="31">
        <f t="shared" si="12"/>
        <v>46153</v>
      </c>
      <c r="C290" s="26" t="str">
        <f>IF(Employees!A10="","",Employees!A10)</f>
        <v>E007</v>
      </c>
      <c r="D290" s="26" t="str">
        <f>IF(C290="","",Employees!B10)</f>
        <v>Joe</v>
      </c>
      <c r="E290" s="26" t="str">
        <f>IF(C290="","",Employees!C10)</f>
        <v>C</v>
      </c>
      <c r="F290" s="26">
        <f>IF(A290="","",MOD(A290-Settings!$B$6,4)+1)</f>
        <v>3</v>
      </c>
      <c r="G290" s="26" t="str">
        <f>IF(C290="","",INDEX(Rotation_Pattern!$B$4:$E$7,F290,MATCH(E290,{"A","B","C","D"},0)))</f>
        <v>Day</v>
      </c>
      <c r="H290" s="32">
        <f t="shared" si="13"/>
        <v>0.25</v>
      </c>
      <c r="I290" s="32">
        <f>IF(OR(G290="Off",G290=""),"",H290+TIME(Settings!$B$8,0,0))</f>
        <v>0.58333333333333326</v>
      </c>
      <c r="J290" s="26">
        <f>IF(OR(G290="Off",G290=""),0,Settings!$B$8)</f>
        <v>8</v>
      </c>
      <c r="K290" s="25" t="s">
        <v>111</v>
      </c>
      <c r="L290" s="26" t="str">
        <f>IF(A290="","",IF(COUNTIF(Public_Holidays!$A$4:$A$80,A290)&gt;0,"Y","N"))</f>
        <v>N</v>
      </c>
      <c r="M290" s="26" t="str">
        <f t="shared" si="14"/>
        <v>N</v>
      </c>
      <c r="N290" s="26" t="e">
        <f ca="1">IF(A290="","",_xludf.TEXTJOIN("; ",TRUE,IF(SUMIFS($J:$J,$C:$C,C290,$B:$B,B290)&gt;Settings!$B$9,"Weekly ordinary hrs &gt;45",""),IF(SUMIFS(Claims!$H:$H,Claims!$C:$C,C290,Claims!$B:$B,B290)&gt;Settings!$B$10,"Weekly OT &gt;10",""),IF(AND(G290&lt;&gt;"Off",COUNTIFS($C:$C,C290,$A:$A,A290-1,$G:$G,"Night")&gt;0),"Rest &lt;12h after night shift",""),IF(J290&gt;5,"Meal interval required","")))</f>
        <v>#NAME?</v>
      </c>
      <c r="O290" s="25" t="s">
        <v>112</v>
      </c>
      <c r="P290" s="25"/>
    </row>
    <row r="291" spans="1:16" x14ac:dyDescent="0.35">
      <c r="A291" s="31">
        <f>IF(14+1&lt;=Settings!$B$7,Settings!$B$6+14,"")</f>
        <v>46157</v>
      </c>
      <c r="B291" s="31">
        <f t="shared" si="12"/>
        <v>46153</v>
      </c>
      <c r="C291" s="26" t="str">
        <f>IF(Employees!A11="","",Employees!A11)</f>
        <v>E008</v>
      </c>
      <c r="D291" s="26" t="str">
        <f>IF(C291="","",Employees!B11)</f>
        <v>Tim</v>
      </c>
      <c r="E291" s="26" t="str">
        <f>IF(C291="","",Employees!C11)</f>
        <v>D</v>
      </c>
      <c r="F291" s="26">
        <f>IF(A291="","",MOD(A291-Settings!$B$6,4)+1)</f>
        <v>3</v>
      </c>
      <c r="G291" s="26" t="str">
        <f>IF(C291="","",INDEX(Rotation_Pattern!$B$4:$E$7,F291,MATCH(E291,{"A","B","C","D"},0)))</f>
        <v>Off</v>
      </c>
      <c r="H291" s="32" t="str">
        <f t="shared" si="13"/>
        <v/>
      </c>
      <c r="I291" s="32" t="str">
        <f>IF(OR(G291="Off",G291=""),"",H291+TIME(Settings!$B$8,0,0))</f>
        <v/>
      </c>
      <c r="J291" s="26">
        <f>IF(OR(G291="Off",G291=""),0,Settings!$B$8)</f>
        <v>0</v>
      </c>
      <c r="K291" s="25" t="s">
        <v>111</v>
      </c>
      <c r="L291" s="26" t="str">
        <f>IF(A291="","",IF(COUNTIF(Public_Holidays!$A$4:$A$80,A291)&gt;0,"Y","N"))</f>
        <v>N</v>
      </c>
      <c r="M291" s="26" t="str">
        <f t="shared" si="14"/>
        <v>N</v>
      </c>
      <c r="N291" s="26" t="e">
        <f ca="1">IF(A291="","",_xludf.TEXTJOIN("; ",TRUE,IF(SUMIFS($J:$J,$C:$C,C291,$B:$B,B291)&gt;Settings!$B$9,"Weekly ordinary hrs &gt;45",""),IF(SUMIFS(Claims!$H:$H,Claims!$C:$C,C291,Claims!$B:$B,B291)&gt;Settings!$B$10,"Weekly OT &gt;10",""),IF(AND(G291&lt;&gt;"Off",COUNTIFS($C:$C,C291,$A:$A,A291-1,$G:$G,"Night")&gt;0),"Rest &lt;12h after night shift",""),IF(J291&gt;5,"Meal interval required","")))</f>
        <v>#NAME?</v>
      </c>
      <c r="O291" s="25" t="s">
        <v>112</v>
      </c>
      <c r="P291" s="25"/>
    </row>
    <row r="292" spans="1:16" x14ac:dyDescent="0.35">
      <c r="A292" s="31">
        <f>IF(14+1&lt;=Settings!$B$7,Settings!$B$6+14,"")</f>
        <v>46157</v>
      </c>
      <c r="B292" s="31">
        <f t="shared" si="12"/>
        <v>46153</v>
      </c>
      <c r="C292" s="26" t="str">
        <f>IF(Employees!A12="","",Employees!A12)</f>
        <v>E009</v>
      </c>
      <c r="D292" s="26" t="str">
        <f>IF(C292="","",Employees!B12)</f>
        <v>Frank</v>
      </c>
      <c r="E292" s="26" t="str">
        <f>IF(C292="","",Employees!C12)</f>
        <v>A</v>
      </c>
      <c r="F292" s="26">
        <f>IF(A292="","",MOD(A292-Settings!$B$6,4)+1)</f>
        <v>3</v>
      </c>
      <c r="G292" s="26" t="str">
        <f>IF(C292="","",INDEX(Rotation_Pattern!$B$4:$E$7,F292,MATCH(E292,{"A","B","C","D"},0)))</f>
        <v>Night</v>
      </c>
      <c r="H292" s="32">
        <f t="shared" si="13"/>
        <v>0.91666666666666663</v>
      </c>
      <c r="I292" s="32">
        <f>IF(OR(G292="Off",G292=""),"",H292+TIME(Settings!$B$8,0,0))</f>
        <v>1.25</v>
      </c>
      <c r="J292" s="26">
        <f>IF(OR(G292="Off",G292=""),0,Settings!$B$8)</f>
        <v>8</v>
      </c>
      <c r="K292" s="25" t="s">
        <v>111</v>
      </c>
      <c r="L292" s="26" t="str">
        <f>IF(A292="","",IF(COUNTIF(Public_Holidays!$A$4:$A$80,A292)&gt;0,"Y","N"))</f>
        <v>N</v>
      </c>
      <c r="M292" s="26" t="str">
        <f t="shared" si="14"/>
        <v>N</v>
      </c>
      <c r="N292" s="26" t="e">
        <f ca="1">IF(A292="","",_xludf.TEXTJOIN("; ",TRUE,IF(SUMIFS($J:$J,$C:$C,C292,$B:$B,B292)&gt;Settings!$B$9,"Weekly ordinary hrs &gt;45",""),IF(SUMIFS(Claims!$H:$H,Claims!$C:$C,C292,Claims!$B:$B,B292)&gt;Settings!$B$10,"Weekly OT &gt;10",""),IF(AND(G292&lt;&gt;"Off",COUNTIFS($C:$C,C292,$A:$A,A292-1,$G:$G,"Night")&gt;0),"Rest &lt;12h after night shift",""),IF(J292&gt;5,"Meal interval required","")))</f>
        <v>#NAME?</v>
      </c>
      <c r="O292" s="25" t="s">
        <v>112</v>
      </c>
      <c r="P292" s="25"/>
    </row>
    <row r="293" spans="1:16" x14ac:dyDescent="0.35">
      <c r="A293" s="31">
        <f>IF(14+1&lt;=Settings!$B$7,Settings!$B$6+14,"")</f>
        <v>46157</v>
      </c>
      <c r="B293" s="31">
        <f t="shared" si="12"/>
        <v>46153</v>
      </c>
      <c r="C293" s="26" t="str">
        <f>IF(Employees!A13="","",Employees!A13)</f>
        <v/>
      </c>
      <c r="D293" s="26" t="str">
        <f>IF(C293="","",Employees!B13)</f>
        <v/>
      </c>
      <c r="E293" s="26" t="str">
        <f>IF(C293="","",Employees!C13)</f>
        <v/>
      </c>
      <c r="F293" s="26">
        <f>IF(A293="","",MOD(A293-Settings!$B$6,4)+1)</f>
        <v>3</v>
      </c>
      <c r="G293" s="26" t="str">
        <f>IF(C293="","",INDEX(Rotation_Pattern!$B$4:$E$7,F293,MATCH(E293,{"A","B","C","D"},0)))</f>
        <v/>
      </c>
      <c r="H293" s="32" t="str">
        <f t="shared" si="13"/>
        <v/>
      </c>
      <c r="I293" s="32" t="str">
        <f>IF(OR(G293="Off",G293=""),"",H293+TIME(Settings!$B$8,0,0))</f>
        <v/>
      </c>
      <c r="J293" s="26">
        <f>IF(OR(G293="Off",G293=""),0,Settings!$B$8)</f>
        <v>0</v>
      </c>
      <c r="K293" s="25" t="s">
        <v>111</v>
      </c>
      <c r="L293" s="26" t="str">
        <f>IF(A293="","",IF(COUNTIF(Public_Holidays!$A$4:$A$80,A293)&gt;0,"Y","N"))</f>
        <v>N</v>
      </c>
      <c r="M293" s="26" t="str">
        <f t="shared" si="14"/>
        <v>N</v>
      </c>
      <c r="N293" s="26" t="e">
        <f ca="1">IF(A293="","",_xludf.TEXTJOIN("; ",TRUE,IF(SUMIFS($J:$J,$C:$C,C293,$B:$B,B293)&gt;Settings!$B$9,"Weekly ordinary hrs &gt;45",""),IF(SUMIFS(Claims!$H:$H,Claims!$C:$C,C293,Claims!$B:$B,B293)&gt;Settings!$B$10,"Weekly OT &gt;10",""),IF(AND(G293&lt;&gt;"Off",COUNTIFS($C:$C,C293,$A:$A,A293-1,$G:$G,"Night")&gt;0),"Rest &lt;12h after night shift",""),IF(J293&gt;5,"Meal interval required","")))</f>
        <v>#NAME?</v>
      </c>
      <c r="O293" s="25" t="s">
        <v>112</v>
      </c>
      <c r="P293" s="25"/>
    </row>
    <row r="294" spans="1:16" x14ac:dyDescent="0.35">
      <c r="A294" s="31">
        <f>IF(14+1&lt;=Settings!$B$7,Settings!$B$6+14,"")</f>
        <v>46157</v>
      </c>
      <c r="B294" s="31">
        <f t="shared" si="12"/>
        <v>46153</v>
      </c>
      <c r="C294" s="26" t="str">
        <f>IF(Employees!A14="","",Employees!A14)</f>
        <v/>
      </c>
      <c r="D294" s="26" t="str">
        <f>IF(C294="","",Employees!B14)</f>
        <v/>
      </c>
      <c r="E294" s="26" t="str">
        <f>IF(C294="","",Employees!C14)</f>
        <v/>
      </c>
      <c r="F294" s="26">
        <f>IF(A294="","",MOD(A294-Settings!$B$6,4)+1)</f>
        <v>3</v>
      </c>
      <c r="G294" s="26" t="str">
        <f>IF(C294="","",INDEX(Rotation_Pattern!$B$4:$E$7,F294,MATCH(E294,{"A","B","C","D"},0)))</f>
        <v/>
      </c>
      <c r="H294" s="32" t="str">
        <f t="shared" si="13"/>
        <v/>
      </c>
      <c r="I294" s="32" t="str">
        <f>IF(OR(G294="Off",G294=""),"",H294+TIME(Settings!$B$8,0,0))</f>
        <v/>
      </c>
      <c r="J294" s="26">
        <f>IF(OR(G294="Off",G294=""),0,Settings!$B$8)</f>
        <v>0</v>
      </c>
      <c r="K294" s="25" t="s">
        <v>111</v>
      </c>
      <c r="L294" s="26" t="str">
        <f>IF(A294="","",IF(COUNTIF(Public_Holidays!$A$4:$A$80,A294)&gt;0,"Y","N"))</f>
        <v>N</v>
      </c>
      <c r="M294" s="26" t="str">
        <f t="shared" si="14"/>
        <v>N</v>
      </c>
      <c r="N294" s="26" t="e">
        <f ca="1">IF(A294="","",_xludf.TEXTJOIN("; ",TRUE,IF(SUMIFS($J:$J,$C:$C,C294,$B:$B,B294)&gt;Settings!$B$9,"Weekly ordinary hrs &gt;45",""),IF(SUMIFS(Claims!$H:$H,Claims!$C:$C,C294,Claims!$B:$B,B294)&gt;Settings!$B$10,"Weekly OT &gt;10",""),IF(AND(G294&lt;&gt;"Off",COUNTIFS($C:$C,C294,$A:$A,A294-1,$G:$G,"Night")&gt;0),"Rest &lt;12h after night shift",""),IF(J294&gt;5,"Meal interval required","")))</f>
        <v>#NAME?</v>
      </c>
      <c r="O294" s="25" t="s">
        <v>112</v>
      </c>
      <c r="P294" s="25"/>
    </row>
    <row r="295" spans="1:16" x14ac:dyDescent="0.35">
      <c r="A295" s="31">
        <f>IF(14+1&lt;=Settings!$B$7,Settings!$B$6+14,"")</f>
        <v>46157</v>
      </c>
      <c r="B295" s="31">
        <f t="shared" si="12"/>
        <v>46153</v>
      </c>
      <c r="C295" s="26" t="str">
        <f>IF(Employees!A15="","",Employees!A15)</f>
        <v/>
      </c>
      <c r="D295" s="26" t="str">
        <f>IF(C295="","",Employees!B15)</f>
        <v/>
      </c>
      <c r="E295" s="26" t="str">
        <f>IF(C295="","",Employees!C15)</f>
        <v/>
      </c>
      <c r="F295" s="26">
        <f>IF(A295="","",MOD(A295-Settings!$B$6,4)+1)</f>
        <v>3</v>
      </c>
      <c r="G295" s="26" t="str">
        <f>IF(C295="","",INDEX(Rotation_Pattern!$B$4:$E$7,F295,MATCH(E295,{"A","B","C","D"},0)))</f>
        <v/>
      </c>
      <c r="H295" s="32" t="str">
        <f t="shared" si="13"/>
        <v/>
      </c>
      <c r="I295" s="32" t="str">
        <f>IF(OR(G295="Off",G295=""),"",H295+TIME(Settings!$B$8,0,0))</f>
        <v/>
      </c>
      <c r="J295" s="26">
        <f>IF(OR(G295="Off",G295=""),0,Settings!$B$8)</f>
        <v>0</v>
      </c>
      <c r="K295" s="25" t="s">
        <v>111</v>
      </c>
      <c r="L295" s="26" t="str">
        <f>IF(A295="","",IF(COUNTIF(Public_Holidays!$A$4:$A$80,A295)&gt;0,"Y","N"))</f>
        <v>N</v>
      </c>
      <c r="M295" s="26" t="str">
        <f t="shared" si="14"/>
        <v>N</v>
      </c>
      <c r="N295" s="26" t="e">
        <f ca="1">IF(A295="","",_xludf.TEXTJOIN("; ",TRUE,IF(SUMIFS($J:$J,$C:$C,C295,$B:$B,B295)&gt;Settings!$B$9,"Weekly ordinary hrs &gt;45",""),IF(SUMIFS(Claims!$H:$H,Claims!$C:$C,C295,Claims!$B:$B,B295)&gt;Settings!$B$10,"Weekly OT &gt;10",""),IF(AND(G295&lt;&gt;"Off",COUNTIFS($C:$C,C295,$A:$A,A295-1,$G:$G,"Night")&gt;0),"Rest &lt;12h after night shift",""),IF(J295&gt;5,"Meal interval required","")))</f>
        <v>#NAME?</v>
      </c>
      <c r="O295" s="25" t="s">
        <v>112</v>
      </c>
      <c r="P295" s="25"/>
    </row>
    <row r="296" spans="1:16" x14ac:dyDescent="0.35">
      <c r="A296" s="31">
        <f>IF(14+1&lt;=Settings!$B$7,Settings!$B$6+14,"")</f>
        <v>46157</v>
      </c>
      <c r="B296" s="31">
        <f t="shared" si="12"/>
        <v>46153</v>
      </c>
      <c r="C296" s="26" t="str">
        <f>IF(Employees!A16="","",Employees!A16)</f>
        <v/>
      </c>
      <c r="D296" s="26" t="str">
        <f>IF(C296="","",Employees!B16)</f>
        <v/>
      </c>
      <c r="E296" s="26" t="str">
        <f>IF(C296="","",Employees!C16)</f>
        <v/>
      </c>
      <c r="F296" s="26">
        <f>IF(A296="","",MOD(A296-Settings!$B$6,4)+1)</f>
        <v>3</v>
      </c>
      <c r="G296" s="26" t="str">
        <f>IF(C296="","",INDEX(Rotation_Pattern!$B$4:$E$7,F296,MATCH(E296,{"A","B","C","D"},0)))</f>
        <v/>
      </c>
      <c r="H296" s="32" t="str">
        <f t="shared" si="13"/>
        <v/>
      </c>
      <c r="I296" s="32" t="str">
        <f>IF(OR(G296="Off",G296=""),"",H296+TIME(Settings!$B$8,0,0))</f>
        <v/>
      </c>
      <c r="J296" s="26">
        <f>IF(OR(G296="Off",G296=""),0,Settings!$B$8)</f>
        <v>0</v>
      </c>
      <c r="K296" s="25" t="s">
        <v>111</v>
      </c>
      <c r="L296" s="26" t="str">
        <f>IF(A296="","",IF(COUNTIF(Public_Holidays!$A$4:$A$80,A296)&gt;0,"Y","N"))</f>
        <v>N</v>
      </c>
      <c r="M296" s="26" t="str">
        <f t="shared" si="14"/>
        <v>N</v>
      </c>
      <c r="N296" s="26" t="e">
        <f ca="1">IF(A296="","",_xludf.TEXTJOIN("; ",TRUE,IF(SUMIFS($J:$J,$C:$C,C296,$B:$B,B296)&gt;Settings!$B$9,"Weekly ordinary hrs &gt;45",""),IF(SUMIFS(Claims!$H:$H,Claims!$C:$C,C296,Claims!$B:$B,B296)&gt;Settings!$B$10,"Weekly OT &gt;10",""),IF(AND(G296&lt;&gt;"Off",COUNTIFS($C:$C,C296,$A:$A,A296-1,$G:$G,"Night")&gt;0),"Rest &lt;12h after night shift",""),IF(J296&gt;5,"Meal interval required","")))</f>
        <v>#NAME?</v>
      </c>
      <c r="O296" s="25" t="s">
        <v>112</v>
      </c>
      <c r="P296" s="25"/>
    </row>
    <row r="297" spans="1:16" x14ac:dyDescent="0.35">
      <c r="A297" s="31">
        <f>IF(14+1&lt;=Settings!$B$7,Settings!$B$6+14,"")</f>
        <v>46157</v>
      </c>
      <c r="B297" s="31">
        <f t="shared" si="12"/>
        <v>46153</v>
      </c>
      <c r="C297" s="26" t="str">
        <f>IF(Employees!A17="","",Employees!A17)</f>
        <v/>
      </c>
      <c r="D297" s="26" t="str">
        <f>IF(C297="","",Employees!B17)</f>
        <v/>
      </c>
      <c r="E297" s="26" t="str">
        <f>IF(C297="","",Employees!C17)</f>
        <v/>
      </c>
      <c r="F297" s="26">
        <f>IF(A297="","",MOD(A297-Settings!$B$6,4)+1)</f>
        <v>3</v>
      </c>
      <c r="G297" s="26" t="str">
        <f>IF(C297="","",INDEX(Rotation_Pattern!$B$4:$E$7,F297,MATCH(E297,{"A","B","C","D"},0)))</f>
        <v/>
      </c>
      <c r="H297" s="32" t="str">
        <f t="shared" si="13"/>
        <v/>
      </c>
      <c r="I297" s="32" t="str">
        <f>IF(OR(G297="Off",G297=""),"",H297+TIME(Settings!$B$8,0,0))</f>
        <v/>
      </c>
      <c r="J297" s="26">
        <f>IF(OR(G297="Off",G297=""),0,Settings!$B$8)</f>
        <v>0</v>
      </c>
      <c r="K297" s="25" t="s">
        <v>111</v>
      </c>
      <c r="L297" s="26" t="str">
        <f>IF(A297="","",IF(COUNTIF(Public_Holidays!$A$4:$A$80,A297)&gt;0,"Y","N"))</f>
        <v>N</v>
      </c>
      <c r="M297" s="26" t="str">
        <f t="shared" si="14"/>
        <v>N</v>
      </c>
      <c r="N297" s="26" t="e">
        <f ca="1">IF(A297="","",_xludf.TEXTJOIN("; ",TRUE,IF(SUMIFS($J:$J,$C:$C,C297,$B:$B,B297)&gt;Settings!$B$9,"Weekly ordinary hrs &gt;45",""),IF(SUMIFS(Claims!$H:$H,Claims!$C:$C,C297,Claims!$B:$B,B297)&gt;Settings!$B$10,"Weekly OT &gt;10",""),IF(AND(G297&lt;&gt;"Off",COUNTIFS($C:$C,C297,$A:$A,A297-1,$G:$G,"Night")&gt;0),"Rest &lt;12h after night shift",""),IF(J297&gt;5,"Meal interval required","")))</f>
        <v>#NAME?</v>
      </c>
      <c r="O297" s="25" t="s">
        <v>112</v>
      </c>
      <c r="P297" s="25"/>
    </row>
    <row r="298" spans="1:16" x14ac:dyDescent="0.35">
      <c r="A298" s="31">
        <f>IF(14+1&lt;=Settings!$B$7,Settings!$B$6+14,"")</f>
        <v>46157</v>
      </c>
      <c r="B298" s="31">
        <f t="shared" si="12"/>
        <v>46153</v>
      </c>
      <c r="C298" s="26" t="str">
        <f>IF(Employees!A18="","",Employees!A18)</f>
        <v/>
      </c>
      <c r="D298" s="26" t="str">
        <f>IF(C298="","",Employees!B18)</f>
        <v/>
      </c>
      <c r="E298" s="26" t="str">
        <f>IF(C298="","",Employees!C18)</f>
        <v/>
      </c>
      <c r="F298" s="26">
        <f>IF(A298="","",MOD(A298-Settings!$B$6,4)+1)</f>
        <v>3</v>
      </c>
      <c r="G298" s="26" t="str">
        <f>IF(C298="","",INDEX(Rotation_Pattern!$B$4:$E$7,F298,MATCH(E298,{"A","B","C","D"},0)))</f>
        <v/>
      </c>
      <c r="H298" s="32" t="str">
        <f t="shared" si="13"/>
        <v/>
      </c>
      <c r="I298" s="32" t="str">
        <f>IF(OR(G298="Off",G298=""),"",H298+TIME(Settings!$B$8,0,0))</f>
        <v/>
      </c>
      <c r="J298" s="26">
        <f>IF(OR(G298="Off",G298=""),0,Settings!$B$8)</f>
        <v>0</v>
      </c>
      <c r="K298" s="25" t="s">
        <v>111</v>
      </c>
      <c r="L298" s="26" t="str">
        <f>IF(A298="","",IF(COUNTIF(Public_Holidays!$A$4:$A$80,A298)&gt;0,"Y","N"))</f>
        <v>N</v>
      </c>
      <c r="M298" s="26" t="str">
        <f t="shared" si="14"/>
        <v>N</v>
      </c>
      <c r="N298" s="26" t="e">
        <f ca="1">IF(A298="","",_xludf.TEXTJOIN("; ",TRUE,IF(SUMIFS($J:$J,$C:$C,C298,$B:$B,B298)&gt;Settings!$B$9,"Weekly ordinary hrs &gt;45",""),IF(SUMIFS(Claims!$H:$H,Claims!$C:$C,C298,Claims!$B:$B,B298)&gt;Settings!$B$10,"Weekly OT &gt;10",""),IF(AND(G298&lt;&gt;"Off",COUNTIFS($C:$C,C298,$A:$A,A298-1,$G:$G,"Night")&gt;0),"Rest &lt;12h after night shift",""),IF(J298&gt;5,"Meal interval required","")))</f>
        <v>#NAME?</v>
      </c>
      <c r="O298" s="25" t="s">
        <v>112</v>
      </c>
      <c r="P298" s="25"/>
    </row>
    <row r="299" spans="1:16" x14ac:dyDescent="0.35">
      <c r="A299" s="31">
        <f>IF(14+1&lt;=Settings!$B$7,Settings!$B$6+14,"")</f>
        <v>46157</v>
      </c>
      <c r="B299" s="31">
        <f t="shared" si="12"/>
        <v>46153</v>
      </c>
      <c r="C299" s="26" t="str">
        <f>IF(Employees!A19="","",Employees!A19)</f>
        <v/>
      </c>
      <c r="D299" s="26" t="str">
        <f>IF(C299="","",Employees!B19)</f>
        <v/>
      </c>
      <c r="E299" s="26" t="str">
        <f>IF(C299="","",Employees!C19)</f>
        <v/>
      </c>
      <c r="F299" s="26">
        <f>IF(A299="","",MOD(A299-Settings!$B$6,4)+1)</f>
        <v>3</v>
      </c>
      <c r="G299" s="26" t="str">
        <f>IF(C299="","",INDEX(Rotation_Pattern!$B$4:$E$7,F299,MATCH(E299,{"A","B","C","D"},0)))</f>
        <v/>
      </c>
      <c r="H299" s="32" t="str">
        <f t="shared" si="13"/>
        <v/>
      </c>
      <c r="I299" s="32" t="str">
        <f>IF(OR(G299="Off",G299=""),"",H299+TIME(Settings!$B$8,0,0))</f>
        <v/>
      </c>
      <c r="J299" s="26">
        <f>IF(OR(G299="Off",G299=""),0,Settings!$B$8)</f>
        <v>0</v>
      </c>
      <c r="K299" s="25" t="s">
        <v>111</v>
      </c>
      <c r="L299" s="26" t="str">
        <f>IF(A299="","",IF(COUNTIF(Public_Holidays!$A$4:$A$80,A299)&gt;0,"Y","N"))</f>
        <v>N</v>
      </c>
      <c r="M299" s="26" t="str">
        <f t="shared" si="14"/>
        <v>N</v>
      </c>
      <c r="N299" s="26" t="e">
        <f ca="1">IF(A299="","",_xludf.TEXTJOIN("; ",TRUE,IF(SUMIFS($J:$J,$C:$C,C299,$B:$B,B299)&gt;Settings!$B$9,"Weekly ordinary hrs &gt;45",""),IF(SUMIFS(Claims!$H:$H,Claims!$C:$C,C299,Claims!$B:$B,B299)&gt;Settings!$B$10,"Weekly OT &gt;10",""),IF(AND(G299&lt;&gt;"Off",COUNTIFS($C:$C,C299,$A:$A,A299-1,$G:$G,"Night")&gt;0),"Rest &lt;12h after night shift",""),IF(J299&gt;5,"Meal interval required","")))</f>
        <v>#NAME?</v>
      </c>
      <c r="O299" s="25" t="s">
        <v>112</v>
      </c>
      <c r="P299" s="25"/>
    </row>
    <row r="300" spans="1:16" x14ac:dyDescent="0.35">
      <c r="A300" s="31">
        <f>IF(14+1&lt;=Settings!$B$7,Settings!$B$6+14,"")</f>
        <v>46157</v>
      </c>
      <c r="B300" s="31">
        <f t="shared" si="12"/>
        <v>46153</v>
      </c>
      <c r="C300" s="26" t="str">
        <f>IF(Employees!A20="","",Employees!A20)</f>
        <v/>
      </c>
      <c r="D300" s="26" t="str">
        <f>IF(C300="","",Employees!B20)</f>
        <v/>
      </c>
      <c r="E300" s="26" t="str">
        <f>IF(C300="","",Employees!C20)</f>
        <v/>
      </c>
      <c r="F300" s="26">
        <f>IF(A300="","",MOD(A300-Settings!$B$6,4)+1)</f>
        <v>3</v>
      </c>
      <c r="G300" s="26" t="str">
        <f>IF(C300="","",INDEX(Rotation_Pattern!$B$4:$E$7,F300,MATCH(E300,{"A","B","C","D"},0)))</f>
        <v/>
      </c>
      <c r="H300" s="32" t="str">
        <f t="shared" si="13"/>
        <v/>
      </c>
      <c r="I300" s="32" t="str">
        <f>IF(OR(G300="Off",G300=""),"",H300+TIME(Settings!$B$8,0,0))</f>
        <v/>
      </c>
      <c r="J300" s="26">
        <f>IF(OR(G300="Off",G300=""),0,Settings!$B$8)</f>
        <v>0</v>
      </c>
      <c r="K300" s="25" t="s">
        <v>111</v>
      </c>
      <c r="L300" s="26" t="str">
        <f>IF(A300="","",IF(COUNTIF(Public_Holidays!$A$4:$A$80,A300)&gt;0,"Y","N"))</f>
        <v>N</v>
      </c>
      <c r="M300" s="26" t="str">
        <f t="shared" si="14"/>
        <v>N</v>
      </c>
      <c r="N300" s="26" t="e">
        <f ca="1">IF(A300="","",_xludf.TEXTJOIN("; ",TRUE,IF(SUMIFS($J:$J,$C:$C,C300,$B:$B,B300)&gt;Settings!$B$9,"Weekly ordinary hrs &gt;45",""),IF(SUMIFS(Claims!$H:$H,Claims!$C:$C,C300,Claims!$B:$B,B300)&gt;Settings!$B$10,"Weekly OT &gt;10",""),IF(AND(G300&lt;&gt;"Off",COUNTIFS($C:$C,C300,$A:$A,A300-1,$G:$G,"Night")&gt;0),"Rest &lt;12h after night shift",""),IF(J300&gt;5,"Meal interval required","")))</f>
        <v>#NAME?</v>
      </c>
      <c r="O300" s="25" t="s">
        <v>112</v>
      </c>
      <c r="P300" s="25"/>
    </row>
    <row r="301" spans="1:16" x14ac:dyDescent="0.35">
      <c r="A301" s="31">
        <f>IF(14+1&lt;=Settings!$B$7,Settings!$B$6+14,"")</f>
        <v>46157</v>
      </c>
      <c r="B301" s="31">
        <f t="shared" si="12"/>
        <v>46153</v>
      </c>
      <c r="C301" s="26" t="str">
        <f>IF(Employees!A21="","",Employees!A21)</f>
        <v/>
      </c>
      <c r="D301" s="26" t="str">
        <f>IF(C301="","",Employees!B21)</f>
        <v/>
      </c>
      <c r="E301" s="26" t="str">
        <f>IF(C301="","",Employees!C21)</f>
        <v/>
      </c>
      <c r="F301" s="26">
        <f>IF(A301="","",MOD(A301-Settings!$B$6,4)+1)</f>
        <v>3</v>
      </c>
      <c r="G301" s="26" t="str">
        <f>IF(C301="","",INDEX(Rotation_Pattern!$B$4:$E$7,F301,MATCH(E301,{"A","B","C","D"},0)))</f>
        <v/>
      </c>
      <c r="H301" s="32" t="str">
        <f t="shared" si="13"/>
        <v/>
      </c>
      <c r="I301" s="32" t="str">
        <f>IF(OR(G301="Off",G301=""),"",H301+TIME(Settings!$B$8,0,0))</f>
        <v/>
      </c>
      <c r="J301" s="26">
        <f>IF(OR(G301="Off",G301=""),0,Settings!$B$8)</f>
        <v>0</v>
      </c>
      <c r="K301" s="25" t="s">
        <v>111</v>
      </c>
      <c r="L301" s="26" t="str">
        <f>IF(A301="","",IF(COUNTIF(Public_Holidays!$A$4:$A$80,A301)&gt;0,"Y","N"))</f>
        <v>N</v>
      </c>
      <c r="M301" s="26" t="str">
        <f t="shared" si="14"/>
        <v>N</v>
      </c>
      <c r="N301" s="26" t="e">
        <f ca="1">IF(A301="","",_xludf.TEXTJOIN("; ",TRUE,IF(SUMIFS($J:$J,$C:$C,C301,$B:$B,B301)&gt;Settings!$B$9,"Weekly ordinary hrs &gt;45",""),IF(SUMIFS(Claims!$H:$H,Claims!$C:$C,C301,Claims!$B:$B,B301)&gt;Settings!$B$10,"Weekly OT &gt;10",""),IF(AND(G301&lt;&gt;"Off",COUNTIFS($C:$C,C301,$A:$A,A301-1,$G:$G,"Night")&gt;0),"Rest &lt;12h after night shift",""),IF(J301&gt;5,"Meal interval required","")))</f>
        <v>#NAME?</v>
      </c>
      <c r="O301" s="25" t="s">
        <v>112</v>
      </c>
      <c r="P301" s="25"/>
    </row>
    <row r="302" spans="1:16" x14ac:dyDescent="0.35">
      <c r="A302" s="31">
        <f>IF(14+1&lt;=Settings!$B$7,Settings!$B$6+14,"")</f>
        <v>46157</v>
      </c>
      <c r="B302" s="31">
        <f t="shared" si="12"/>
        <v>46153</v>
      </c>
      <c r="C302" s="26" t="str">
        <f>IF(Employees!A22="","",Employees!A22)</f>
        <v/>
      </c>
      <c r="D302" s="26" t="str">
        <f>IF(C302="","",Employees!B22)</f>
        <v/>
      </c>
      <c r="E302" s="26" t="str">
        <f>IF(C302="","",Employees!C22)</f>
        <v/>
      </c>
      <c r="F302" s="26">
        <f>IF(A302="","",MOD(A302-Settings!$B$6,4)+1)</f>
        <v>3</v>
      </c>
      <c r="G302" s="26" t="str">
        <f>IF(C302="","",INDEX(Rotation_Pattern!$B$4:$E$7,F302,MATCH(E302,{"A","B","C","D"},0)))</f>
        <v/>
      </c>
      <c r="H302" s="32" t="str">
        <f t="shared" si="13"/>
        <v/>
      </c>
      <c r="I302" s="32" t="str">
        <f>IF(OR(G302="Off",G302=""),"",H302+TIME(Settings!$B$8,0,0))</f>
        <v/>
      </c>
      <c r="J302" s="26">
        <f>IF(OR(G302="Off",G302=""),0,Settings!$B$8)</f>
        <v>0</v>
      </c>
      <c r="K302" s="25" t="s">
        <v>111</v>
      </c>
      <c r="L302" s="26" t="str">
        <f>IF(A302="","",IF(COUNTIF(Public_Holidays!$A$4:$A$80,A302)&gt;0,"Y","N"))</f>
        <v>N</v>
      </c>
      <c r="M302" s="26" t="str">
        <f t="shared" si="14"/>
        <v>N</v>
      </c>
      <c r="N302" s="26" t="e">
        <f ca="1">IF(A302="","",_xludf.TEXTJOIN("; ",TRUE,IF(SUMIFS($J:$J,$C:$C,C302,$B:$B,B302)&gt;Settings!$B$9,"Weekly ordinary hrs &gt;45",""),IF(SUMIFS(Claims!$H:$H,Claims!$C:$C,C302,Claims!$B:$B,B302)&gt;Settings!$B$10,"Weekly OT &gt;10",""),IF(AND(G302&lt;&gt;"Off",COUNTIFS($C:$C,C302,$A:$A,A302-1,$G:$G,"Night")&gt;0),"Rest &lt;12h after night shift",""),IF(J302&gt;5,"Meal interval required","")))</f>
        <v>#NAME?</v>
      </c>
      <c r="O302" s="25" t="s">
        <v>112</v>
      </c>
      <c r="P302" s="25"/>
    </row>
    <row r="303" spans="1:16" x14ac:dyDescent="0.35">
      <c r="A303" s="31">
        <f>IF(14+1&lt;=Settings!$B$7,Settings!$B$6+14,"")</f>
        <v>46157</v>
      </c>
      <c r="B303" s="31">
        <f t="shared" si="12"/>
        <v>46153</v>
      </c>
      <c r="C303" s="26" t="str">
        <f>IF(Employees!A23="","",Employees!A23)</f>
        <v/>
      </c>
      <c r="D303" s="26" t="str">
        <f>IF(C303="","",Employees!B23)</f>
        <v/>
      </c>
      <c r="E303" s="26" t="str">
        <f>IF(C303="","",Employees!C23)</f>
        <v/>
      </c>
      <c r="F303" s="26">
        <f>IF(A303="","",MOD(A303-Settings!$B$6,4)+1)</f>
        <v>3</v>
      </c>
      <c r="G303" s="26" t="str">
        <f>IF(C303="","",INDEX(Rotation_Pattern!$B$4:$E$7,F303,MATCH(E303,{"A","B","C","D"},0)))</f>
        <v/>
      </c>
      <c r="H303" s="32" t="str">
        <f t="shared" si="13"/>
        <v/>
      </c>
      <c r="I303" s="32" t="str">
        <f>IF(OR(G303="Off",G303=""),"",H303+TIME(Settings!$B$8,0,0))</f>
        <v/>
      </c>
      <c r="J303" s="26">
        <f>IF(OR(G303="Off",G303=""),0,Settings!$B$8)</f>
        <v>0</v>
      </c>
      <c r="K303" s="25" t="s">
        <v>111</v>
      </c>
      <c r="L303" s="26" t="str">
        <f>IF(A303="","",IF(COUNTIF(Public_Holidays!$A$4:$A$80,A303)&gt;0,"Y","N"))</f>
        <v>N</v>
      </c>
      <c r="M303" s="26" t="str">
        <f t="shared" si="14"/>
        <v>N</v>
      </c>
      <c r="N303" s="26" t="e">
        <f ca="1">IF(A303="","",_xludf.TEXTJOIN("; ",TRUE,IF(SUMIFS($J:$J,$C:$C,C303,$B:$B,B303)&gt;Settings!$B$9,"Weekly ordinary hrs &gt;45",""),IF(SUMIFS(Claims!$H:$H,Claims!$C:$C,C303,Claims!$B:$B,B303)&gt;Settings!$B$10,"Weekly OT &gt;10",""),IF(AND(G303&lt;&gt;"Off",COUNTIFS($C:$C,C303,$A:$A,A303-1,$G:$G,"Night")&gt;0),"Rest &lt;12h after night shift",""),IF(J303&gt;5,"Meal interval required","")))</f>
        <v>#NAME?</v>
      </c>
      <c r="O303" s="25" t="s">
        <v>112</v>
      </c>
      <c r="P303" s="25"/>
    </row>
    <row r="304" spans="1:16" x14ac:dyDescent="0.35">
      <c r="A304" s="31">
        <f>IF(15+1&lt;=Settings!$B$7,Settings!$B$6+15,"")</f>
        <v>46158</v>
      </c>
      <c r="B304" s="31">
        <f t="shared" si="12"/>
        <v>46153</v>
      </c>
      <c r="C304" s="26" t="str">
        <f>IF(Employees!A4="","",Employees!A4)</f>
        <v>E001</v>
      </c>
      <c r="D304" s="26" t="str">
        <f>IF(C304="","",Employees!B4)</f>
        <v>Musiwa Khavalani</v>
      </c>
      <c r="E304" s="26">
        <f>IF(C304="","",Employees!C4)</f>
        <v>0</v>
      </c>
      <c r="F304" s="26">
        <f>IF(A304="","",MOD(A304-Settings!$B$6,4)+1)</f>
        <v>4</v>
      </c>
      <c r="G304" s="26" t="e">
        <f>IF(C304="","",INDEX(Rotation_Pattern!$B$4:$E$7,F304,MATCH(E304,{"A","B","C","D"},0)))</f>
        <v>#N/A</v>
      </c>
      <c r="H304" s="32" t="e">
        <f t="shared" si="13"/>
        <v>#N/A</v>
      </c>
      <c r="I304" s="32" t="e">
        <f>IF(OR(G304="Off",G304=""),"",H304+TIME(Settings!$B$8,0,0))</f>
        <v>#N/A</v>
      </c>
      <c r="J304" s="26" t="e">
        <f>IF(OR(G304="Off",G304=""),0,Settings!$B$8)</f>
        <v>#N/A</v>
      </c>
      <c r="K304" s="25" t="s">
        <v>111</v>
      </c>
      <c r="L304" s="26" t="str">
        <f>IF(A304="","",IF(COUNTIF(Public_Holidays!$A$4:$A$80,A304)&gt;0,"Y","N"))</f>
        <v>N</v>
      </c>
      <c r="M304" s="26" t="str">
        <f t="shared" si="14"/>
        <v>N</v>
      </c>
      <c r="N304" s="26" t="e">
        <f ca="1">IF(A304="","",_xludf.TEXTJOIN("; ",TRUE,IF(SUMIFS($J:$J,$C:$C,C304,$B:$B,B304)&gt;Settings!$B$9,"Weekly ordinary hrs &gt;45",""),IF(SUMIFS(Claims!$H:$H,Claims!$C:$C,C304,Claims!$B:$B,B304)&gt;Settings!$B$10,"Weekly OT &gt;10",""),IF(AND(G304&lt;&gt;"Off",COUNTIFS($C:$C,C304,$A:$A,A304-1,$G:$G,"Night")&gt;0),"Rest &lt;12h after night shift",""),IF(J304&gt;5,"Meal interval required","")))</f>
        <v>#NAME?</v>
      </c>
      <c r="O304" s="25" t="s">
        <v>112</v>
      </c>
      <c r="P304" s="25"/>
    </row>
    <row r="305" spans="1:16" x14ac:dyDescent="0.35">
      <c r="A305" s="31">
        <f>IF(15+1&lt;=Settings!$B$7,Settings!$B$6+15,"")</f>
        <v>46158</v>
      </c>
      <c r="B305" s="31">
        <f t="shared" si="12"/>
        <v>46153</v>
      </c>
      <c r="C305" s="26" t="str">
        <f>IF(Employees!A5="","",Employees!A5)</f>
        <v>E002</v>
      </c>
      <c r="D305" s="26" t="str">
        <f>IF(C305="","",Employees!B5)</f>
        <v>Mpho  Nembemhia</v>
      </c>
      <c r="E305" s="26" t="str">
        <f>IF(C305="","",Employees!C5)</f>
        <v>B</v>
      </c>
      <c r="F305" s="26">
        <f>IF(A305="","",MOD(A305-Settings!$B$6,4)+1)</f>
        <v>4</v>
      </c>
      <c r="G305" s="26" t="str">
        <f>IF(C305="","",INDEX(Rotation_Pattern!$B$4:$E$7,F305,MATCH(E305,{"A","B","C","D"},0)))</f>
        <v>Night</v>
      </c>
      <c r="H305" s="32">
        <f t="shared" si="13"/>
        <v>0.91666666666666663</v>
      </c>
      <c r="I305" s="32">
        <f>IF(OR(G305="Off",G305=""),"",H305+TIME(Settings!$B$8,0,0))</f>
        <v>1.25</v>
      </c>
      <c r="J305" s="26">
        <f>IF(OR(G305="Off",G305=""),0,Settings!$B$8)</f>
        <v>8</v>
      </c>
      <c r="K305" s="25" t="s">
        <v>111</v>
      </c>
      <c r="L305" s="26" t="str">
        <f>IF(A305="","",IF(COUNTIF(Public_Holidays!$A$4:$A$80,A305)&gt;0,"Y","N"))</f>
        <v>N</v>
      </c>
      <c r="M305" s="26" t="str">
        <f t="shared" si="14"/>
        <v>N</v>
      </c>
      <c r="N305" s="26" t="e">
        <f ca="1">IF(A305="","",_xludf.TEXTJOIN("; ",TRUE,IF(SUMIFS($J:$J,$C:$C,C305,$B:$B,B305)&gt;Settings!$B$9,"Weekly ordinary hrs &gt;45",""),IF(SUMIFS(Claims!$H:$H,Claims!$C:$C,C305,Claims!$B:$B,B305)&gt;Settings!$B$10,"Weekly OT &gt;10",""),IF(AND(G305&lt;&gt;"Off",COUNTIFS($C:$C,C305,$A:$A,A305-1,$G:$G,"Night")&gt;0),"Rest &lt;12h after night shift",""),IF(J305&gt;5,"Meal interval required","")))</f>
        <v>#NAME?</v>
      </c>
      <c r="O305" s="25" t="s">
        <v>112</v>
      </c>
      <c r="P305" s="25"/>
    </row>
    <row r="306" spans="1:16" x14ac:dyDescent="0.35">
      <c r="A306" s="31">
        <f>IF(15+1&lt;=Settings!$B$7,Settings!$B$6+15,"")</f>
        <v>46158</v>
      </c>
      <c r="B306" s="31">
        <f t="shared" si="12"/>
        <v>46153</v>
      </c>
      <c r="C306" s="26" t="str">
        <f>IF(Employees!A6="","",Employees!A6)</f>
        <v>E003</v>
      </c>
      <c r="D306" s="26" t="str">
        <f>IF(C306="","",Employees!B6)</f>
        <v>Dimpho Makhafola</v>
      </c>
      <c r="E306" s="26" t="str">
        <f>IF(C306="","",Employees!C6)</f>
        <v>C</v>
      </c>
      <c r="F306" s="26">
        <f>IF(A306="","",MOD(A306-Settings!$B$6,4)+1)</f>
        <v>4</v>
      </c>
      <c r="G306" s="26" t="str">
        <f>IF(C306="","",INDEX(Rotation_Pattern!$B$4:$E$7,F306,MATCH(E306,{"A","B","C","D"},0)))</f>
        <v>Evening</v>
      </c>
      <c r="H306" s="32">
        <f t="shared" si="13"/>
        <v>0.58333333333333337</v>
      </c>
      <c r="I306" s="32">
        <f>IF(OR(G306="Off",G306=""),"",H306+TIME(Settings!$B$8,0,0))</f>
        <v>0.91666666666666674</v>
      </c>
      <c r="J306" s="26">
        <f>IF(OR(G306="Off",G306=""),0,Settings!$B$8)</f>
        <v>8</v>
      </c>
      <c r="K306" s="25" t="s">
        <v>111</v>
      </c>
      <c r="L306" s="26" t="str">
        <f>IF(A306="","",IF(COUNTIF(Public_Holidays!$A$4:$A$80,A306)&gt;0,"Y","N"))</f>
        <v>N</v>
      </c>
      <c r="M306" s="26" t="str">
        <f t="shared" si="14"/>
        <v>N</v>
      </c>
      <c r="N306" s="26" t="e">
        <f ca="1">IF(A306="","",_xludf.TEXTJOIN("; ",TRUE,IF(SUMIFS($J:$J,$C:$C,C306,$B:$B,B306)&gt;Settings!$B$9,"Weekly ordinary hrs &gt;45",""),IF(SUMIFS(Claims!$H:$H,Claims!$C:$C,C306,Claims!$B:$B,B306)&gt;Settings!$B$10,"Weekly OT &gt;10",""),IF(AND(G306&lt;&gt;"Off",COUNTIFS($C:$C,C306,$A:$A,A306-1,$G:$G,"Night")&gt;0),"Rest &lt;12h after night shift",""),IF(J306&gt;5,"Meal interval required","")))</f>
        <v>#NAME?</v>
      </c>
      <c r="O306" s="25" t="s">
        <v>112</v>
      </c>
      <c r="P306" s="25"/>
    </row>
    <row r="307" spans="1:16" x14ac:dyDescent="0.35">
      <c r="A307" s="31">
        <f>IF(15+1&lt;=Settings!$B$7,Settings!$B$6+15,"")</f>
        <v>46158</v>
      </c>
      <c r="B307" s="31">
        <f t="shared" si="12"/>
        <v>46153</v>
      </c>
      <c r="C307" s="26" t="str">
        <f>IF(Employees!A7="","",Employees!A7)</f>
        <v>E004</v>
      </c>
      <c r="D307" s="26" t="str">
        <f>IF(C307="","",Employees!B7)</f>
        <v>Bashii Fall</v>
      </c>
      <c r="E307" s="26" t="str">
        <f>IF(C307="","",Employees!C7)</f>
        <v>D</v>
      </c>
      <c r="F307" s="26">
        <f>IF(A307="","",MOD(A307-Settings!$B$6,4)+1)</f>
        <v>4</v>
      </c>
      <c r="G307" s="26" t="str">
        <f>IF(C307="","",INDEX(Rotation_Pattern!$B$4:$E$7,F307,MATCH(E307,{"A","B","C","D"},0)))</f>
        <v>Day</v>
      </c>
      <c r="H307" s="32">
        <f t="shared" si="13"/>
        <v>0.25</v>
      </c>
      <c r="I307" s="32">
        <f>IF(OR(G307="Off",G307=""),"",H307+TIME(Settings!$B$8,0,0))</f>
        <v>0.58333333333333326</v>
      </c>
      <c r="J307" s="26">
        <f>IF(OR(G307="Off",G307=""),0,Settings!$B$8)</f>
        <v>8</v>
      </c>
      <c r="K307" s="25" t="s">
        <v>111</v>
      </c>
      <c r="L307" s="26" t="str">
        <f>IF(A307="","",IF(COUNTIF(Public_Holidays!$A$4:$A$80,A307)&gt;0,"Y","N"))</f>
        <v>N</v>
      </c>
      <c r="M307" s="26" t="str">
        <f t="shared" si="14"/>
        <v>N</v>
      </c>
      <c r="N307" s="26" t="e">
        <f ca="1">IF(A307="","",_xludf.TEXTJOIN("; ",TRUE,IF(SUMIFS($J:$J,$C:$C,C307,$B:$B,B307)&gt;Settings!$B$9,"Weekly ordinary hrs &gt;45",""),IF(SUMIFS(Claims!$H:$H,Claims!$C:$C,C307,Claims!$B:$B,B307)&gt;Settings!$B$10,"Weekly OT &gt;10",""),IF(AND(G307&lt;&gt;"Off",COUNTIFS($C:$C,C307,$A:$A,A307-1,$G:$G,"Night")&gt;0),"Rest &lt;12h after night shift",""),IF(J307&gt;5,"Meal interval required","")))</f>
        <v>#NAME?</v>
      </c>
      <c r="O307" s="25" t="s">
        <v>112</v>
      </c>
      <c r="P307" s="25"/>
    </row>
    <row r="308" spans="1:16" x14ac:dyDescent="0.35">
      <c r="A308" s="31">
        <f>IF(15+1&lt;=Settings!$B$7,Settings!$B$6+15,"")</f>
        <v>46158</v>
      </c>
      <c r="B308" s="31">
        <f t="shared" si="12"/>
        <v>46153</v>
      </c>
      <c r="C308" s="26" t="str">
        <f>IF(Employees!A8="","",Employees!A8)</f>
        <v>E005</v>
      </c>
      <c r="D308" s="26" t="str">
        <f>IF(C308="","",Employees!B8)</f>
        <v>Lesego Aphane</v>
      </c>
      <c r="E308" s="26" t="str">
        <f>IF(C308="","",Employees!C8)</f>
        <v>A</v>
      </c>
      <c r="F308" s="26">
        <f>IF(A308="","",MOD(A308-Settings!$B$6,4)+1)</f>
        <v>4</v>
      </c>
      <c r="G308" s="26" t="str">
        <f>IF(C308="","",INDEX(Rotation_Pattern!$B$4:$E$7,F308,MATCH(E308,{"A","B","C","D"},0)))</f>
        <v>Off</v>
      </c>
      <c r="H308" s="32" t="str">
        <f t="shared" si="13"/>
        <v/>
      </c>
      <c r="I308" s="32" t="str">
        <f>IF(OR(G308="Off",G308=""),"",H308+TIME(Settings!$B$8,0,0))</f>
        <v/>
      </c>
      <c r="J308" s="26">
        <f>IF(OR(G308="Off",G308=""),0,Settings!$B$8)</f>
        <v>0</v>
      </c>
      <c r="K308" s="25" t="s">
        <v>111</v>
      </c>
      <c r="L308" s="26" t="str">
        <f>IF(A308="","",IF(COUNTIF(Public_Holidays!$A$4:$A$80,A308)&gt;0,"Y","N"))</f>
        <v>N</v>
      </c>
      <c r="M308" s="26" t="str">
        <f t="shared" si="14"/>
        <v>N</v>
      </c>
      <c r="N308" s="26" t="e">
        <f ca="1">IF(A308="","",_xludf.TEXTJOIN("; ",TRUE,IF(SUMIFS($J:$J,$C:$C,C308,$B:$B,B308)&gt;Settings!$B$9,"Weekly ordinary hrs &gt;45",""),IF(SUMIFS(Claims!$H:$H,Claims!$C:$C,C308,Claims!$B:$B,B308)&gt;Settings!$B$10,"Weekly OT &gt;10",""),IF(AND(G308&lt;&gt;"Off",COUNTIFS($C:$C,C308,$A:$A,A308-1,$G:$G,"Night")&gt;0),"Rest &lt;12h after night shift",""),IF(J308&gt;5,"Meal interval required","")))</f>
        <v>#NAME?</v>
      </c>
      <c r="O308" s="25" t="s">
        <v>112</v>
      </c>
      <c r="P308" s="25"/>
    </row>
    <row r="309" spans="1:16" x14ac:dyDescent="0.35">
      <c r="A309" s="31">
        <f>IF(15+1&lt;=Settings!$B$7,Settings!$B$6+15,"")</f>
        <v>46158</v>
      </c>
      <c r="B309" s="31">
        <f t="shared" si="12"/>
        <v>46153</v>
      </c>
      <c r="C309" s="26" t="str">
        <f>IF(Employees!A9="","",Employees!A9)</f>
        <v>E006</v>
      </c>
      <c r="D309" s="26" t="str">
        <f>IF(C309="","",Employees!B9)</f>
        <v>Nhalnahla</v>
      </c>
      <c r="E309" s="26" t="str">
        <f>IF(C309="","",Employees!C9)</f>
        <v>B</v>
      </c>
      <c r="F309" s="26">
        <f>IF(A309="","",MOD(A309-Settings!$B$6,4)+1)</f>
        <v>4</v>
      </c>
      <c r="G309" s="26" t="str">
        <f>IF(C309="","",INDEX(Rotation_Pattern!$B$4:$E$7,F309,MATCH(E309,{"A","B","C","D"},0)))</f>
        <v>Night</v>
      </c>
      <c r="H309" s="32">
        <f t="shared" si="13"/>
        <v>0.91666666666666663</v>
      </c>
      <c r="I309" s="32">
        <f>IF(OR(G309="Off",G309=""),"",H309+TIME(Settings!$B$8,0,0))</f>
        <v>1.25</v>
      </c>
      <c r="J309" s="26">
        <f>IF(OR(G309="Off",G309=""),0,Settings!$B$8)</f>
        <v>8</v>
      </c>
      <c r="K309" s="25" t="s">
        <v>111</v>
      </c>
      <c r="L309" s="26" t="str">
        <f>IF(A309="","",IF(COUNTIF(Public_Holidays!$A$4:$A$80,A309)&gt;0,"Y","N"))</f>
        <v>N</v>
      </c>
      <c r="M309" s="26" t="str">
        <f t="shared" si="14"/>
        <v>N</v>
      </c>
      <c r="N309" s="26" t="e">
        <f ca="1">IF(A309="","",_xludf.TEXTJOIN("; ",TRUE,IF(SUMIFS($J:$J,$C:$C,C309,$B:$B,B309)&gt;Settings!$B$9,"Weekly ordinary hrs &gt;45",""),IF(SUMIFS(Claims!$H:$H,Claims!$C:$C,C309,Claims!$B:$B,B309)&gt;Settings!$B$10,"Weekly OT &gt;10",""),IF(AND(G309&lt;&gt;"Off",COUNTIFS($C:$C,C309,$A:$A,A309-1,$G:$G,"Night")&gt;0),"Rest &lt;12h after night shift",""),IF(J309&gt;5,"Meal interval required","")))</f>
        <v>#NAME?</v>
      </c>
      <c r="O309" s="25" t="s">
        <v>112</v>
      </c>
      <c r="P309" s="25"/>
    </row>
    <row r="310" spans="1:16" x14ac:dyDescent="0.35">
      <c r="A310" s="31">
        <f>IF(15+1&lt;=Settings!$B$7,Settings!$B$6+15,"")</f>
        <v>46158</v>
      </c>
      <c r="B310" s="31">
        <f t="shared" si="12"/>
        <v>46153</v>
      </c>
      <c r="C310" s="26" t="str">
        <f>IF(Employees!A10="","",Employees!A10)</f>
        <v>E007</v>
      </c>
      <c r="D310" s="26" t="str">
        <f>IF(C310="","",Employees!B10)</f>
        <v>Joe</v>
      </c>
      <c r="E310" s="26" t="str">
        <f>IF(C310="","",Employees!C10)</f>
        <v>C</v>
      </c>
      <c r="F310" s="26">
        <f>IF(A310="","",MOD(A310-Settings!$B$6,4)+1)</f>
        <v>4</v>
      </c>
      <c r="G310" s="26" t="str">
        <f>IF(C310="","",INDEX(Rotation_Pattern!$B$4:$E$7,F310,MATCH(E310,{"A","B","C","D"},0)))</f>
        <v>Evening</v>
      </c>
      <c r="H310" s="32">
        <f t="shared" si="13"/>
        <v>0.58333333333333337</v>
      </c>
      <c r="I310" s="32">
        <f>IF(OR(G310="Off",G310=""),"",H310+TIME(Settings!$B$8,0,0))</f>
        <v>0.91666666666666674</v>
      </c>
      <c r="J310" s="26">
        <f>IF(OR(G310="Off",G310=""),0,Settings!$B$8)</f>
        <v>8</v>
      </c>
      <c r="K310" s="25" t="s">
        <v>111</v>
      </c>
      <c r="L310" s="26" t="str">
        <f>IF(A310="","",IF(COUNTIF(Public_Holidays!$A$4:$A$80,A310)&gt;0,"Y","N"))</f>
        <v>N</v>
      </c>
      <c r="M310" s="26" t="str">
        <f t="shared" si="14"/>
        <v>N</v>
      </c>
      <c r="N310" s="26" t="e">
        <f ca="1">IF(A310="","",_xludf.TEXTJOIN("; ",TRUE,IF(SUMIFS($J:$J,$C:$C,C310,$B:$B,B310)&gt;Settings!$B$9,"Weekly ordinary hrs &gt;45",""),IF(SUMIFS(Claims!$H:$H,Claims!$C:$C,C310,Claims!$B:$B,B310)&gt;Settings!$B$10,"Weekly OT &gt;10",""),IF(AND(G310&lt;&gt;"Off",COUNTIFS($C:$C,C310,$A:$A,A310-1,$G:$G,"Night")&gt;0),"Rest &lt;12h after night shift",""),IF(J310&gt;5,"Meal interval required","")))</f>
        <v>#NAME?</v>
      </c>
      <c r="O310" s="25" t="s">
        <v>112</v>
      </c>
      <c r="P310" s="25"/>
    </row>
    <row r="311" spans="1:16" x14ac:dyDescent="0.35">
      <c r="A311" s="31">
        <f>IF(15+1&lt;=Settings!$B$7,Settings!$B$6+15,"")</f>
        <v>46158</v>
      </c>
      <c r="B311" s="31">
        <f t="shared" si="12"/>
        <v>46153</v>
      </c>
      <c r="C311" s="26" t="str">
        <f>IF(Employees!A11="","",Employees!A11)</f>
        <v>E008</v>
      </c>
      <c r="D311" s="26" t="str">
        <f>IF(C311="","",Employees!B11)</f>
        <v>Tim</v>
      </c>
      <c r="E311" s="26" t="str">
        <f>IF(C311="","",Employees!C11)</f>
        <v>D</v>
      </c>
      <c r="F311" s="26">
        <f>IF(A311="","",MOD(A311-Settings!$B$6,4)+1)</f>
        <v>4</v>
      </c>
      <c r="G311" s="26" t="str">
        <f>IF(C311="","",INDEX(Rotation_Pattern!$B$4:$E$7,F311,MATCH(E311,{"A","B","C","D"},0)))</f>
        <v>Day</v>
      </c>
      <c r="H311" s="32">
        <f t="shared" si="13"/>
        <v>0.25</v>
      </c>
      <c r="I311" s="32">
        <f>IF(OR(G311="Off",G311=""),"",H311+TIME(Settings!$B$8,0,0))</f>
        <v>0.58333333333333326</v>
      </c>
      <c r="J311" s="26">
        <f>IF(OR(G311="Off",G311=""),0,Settings!$B$8)</f>
        <v>8</v>
      </c>
      <c r="K311" s="25" t="s">
        <v>111</v>
      </c>
      <c r="L311" s="26" t="str">
        <f>IF(A311="","",IF(COUNTIF(Public_Holidays!$A$4:$A$80,A311)&gt;0,"Y","N"))</f>
        <v>N</v>
      </c>
      <c r="M311" s="26" t="str">
        <f t="shared" si="14"/>
        <v>N</v>
      </c>
      <c r="N311" s="26" t="e">
        <f ca="1">IF(A311="","",_xludf.TEXTJOIN("; ",TRUE,IF(SUMIFS($J:$J,$C:$C,C311,$B:$B,B311)&gt;Settings!$B$9,"Weekly ordinary hrs &gt;45",""),IF(SUMIFS(Claims!$H:$H,Claims!$C:$C,C311,Claims!$B:$B,B311)&gt;Settings!$B$10,"Weekly OT &gt;10",""),IF(AND(G311&lt;&gt;"Off",COUNTIFS($C:$C,C311,$A:$A,A311-1,$G:$G,"Night")&gt;0),"Rest &lt;12h after night shift",""),IF(J311&gt;5,"Meal interval required","")))</f>
        <v>#NAME?</v>
      </c>
      <c r="O311" s="25" t="s">
        <v>112</v>
      </c>
      <c r="P311" s="25"/>
    </row>
    <row r="312" spans="1:16" x14ac:dyDescent="0.35">
      <c r="A312" s="31">
        <f>IF(15+1&lt;=Settings!$B$7,Settings!$B$6+15,"")</f>
        <v>46158</v>
      </c>
      <c r="B312" s="31">
        <f t="shared" si="12"/>
        <v>46153</v>
      </c>
      <c r="C312" s="26" t="str">
        <f>IF(Employees!A12="","",Employees!A12)</f>
        <v>E009</v>
      </c>
      <c r="D312" s="26" t="str">
        <f>IF(C312="","",Employees!B12)</f>
        <v>Frank</v>
      </c>
      <c r="E312" s="26" t="str">
        <f>IF(C312="","",Employees!C12)</f>
        <v>A</v>
      </c>
      <c r="F312" s="26">
        <f>IF(A312="","",MOD(A312-Settings!$B$6,4)+1)</f>
        <v>4</v>
      </c>
      <c r="G312" s="26" t="str">
        <f>IF(C312="","",INDEX(Rotation_Pattern!$B$4:$E$7,F312,MATCH(E312,{"A","B","C","D"},0)))</f>
        <v>Off</v>
      </c>
      <c r="H312" s="32" t="str">
        <f t="shared" si="13"/>
        <v/>
      </c>
      <c r="I312" s="32" t="str">
        <f>IF(OR(G312="Off",G312=""),"",H312+TIME(Settings!$B$8,0,0))</f>
        <v/>
      </c>
      <c r="J312" s="26">
        <f>IF(OR(G312="Off",G312=""),0,Settings!$B$8)</f>
        <v>0</v>
      </c>
      <c r="K312" s="25" t="s">
        <v>111</v>
      </c>
      <c r="L312" s="26" t="str">
        <f>IF(A312="","",IF(COUNTIF(Public_Holidays!$A$4:$A$80,A312)&gt;0,"Y","N"))</f>
        <v>N</v>
      </c>
      <c r="M312" s="26" t="str">
        <f t="shared" si="14"/>
        <v>N</v>
      </c>
      <c r="N312" s="26" t="e">
        <f ca="1">IF(A312="","",_xludf.TEXTJOIN("; ",TRUE,IF(SUMIFS($J:$J,$C:$C,C312,$B:$B,B312)&gt;Settings!$B$9,"Weekly ordinary hrs &gt;45",""),IF(SUMIFS(Claims!$H:$H,Claims!$C:$C,C312,Claims!$B:$B,B312)&gt;Settings!$B$10,"Weekly OT &gt;10",""),IF(AND(G312&lt;&gt;"Off",COUNTIFS($C:$C,C312,$A:$A,A312-1,$G:$G,"Night")&gt;0),"Rest &lt;12h after night shift",""),IF(J312&gt;5,"Meal interval required","")))</f>
        <v>#NAME?</v>
      </c>
      <c r="O312" s="25" t="s">
        <v>112</v>
      </c>
      <c r="P312" s="25"/>
    </row>
    <row r="313" spans="1:16" x14ac:dyDescent="0.35">
      <c r="A313" s="31">
        <f>IF(15+1&lt;=Settings!$B$7,Settings!$B$6+15,"")</f>
        <v>46158</v>
      </c>
      <c r="B313" s="31">
        <f t="shared" si="12"/>
        <v>46153</v>
      </c>
      <c r="C313" s="26" t="str">
        <f>IF(Employees!A13="","",Employees!A13)</f>
        <v/>
      </c>
      <c r="D313" s="26" t="str">
        <f>IF(C313="","",Employees!B13)</f>
        <v/>
      </c>
      <c r="E313" s="26" t="str">
        <f>IF(C313="","",Employees!C13)</f>
        <v/>
      </c>
      <c r="F313" s="26">
        <f>IF(A313="","",MOD(A313-Settings!$B$6,4)+1)</f>
        <v>4</v>
      </c>
      <c r="G313" s="26" t="str">
        <f>IF(C313="","",INDEX(Rotation_Pattern!$B$4:$E$7,F313,MATCH(E313,{"A","B","C","D"},0)))</f>
        <v/>
      </c>
      <c r="H313" s="32" t="str">
        <f t="shared" si="13"/>
        <v/>
      </c>
      <c r="I313" s="32" t="str">
        <f>IF(OR(G313="Off",G313=""),"",H313+TIME(Settings!$B$8,0,0))</f>
        <v/>
      </c>
      <c r="J313" s="26">
        <f>IF(OR(G313="Off",G313=""),0,Settings!$B$8)</f>
        <v>0</v>
      </c>
      <c r="K313" s="25" t="s">
        <v>111</v>
      </c>
      <c r="L313" s="26" t="str">
        <f>IF(A313="","",IF(COUNTIF(Public_Holidays!$A$4:$A$80,A313)&gt;0,"Y","N"))</f>
        <v>N</v>
      </c>
      <c r="M313" s="26" t="str">
        <f t="shared" si="14"/>
        <v>N</v>
      </c>
      <c r="N313" s="26" t="e">
        <f ca="1">IF(A313="","",_xludf.TEXTJOIN("; ",TRUE,IF(SUMIFS($J:$J,$C:$C,C313,$B:$B,B313)&gt;Settings!$B$9,"Weekly ordinary hrs &gt;45",""),IF(SUMIFS(Claims!$H:$H,Claims!$C:$C,C313,Claims!$B:$B,B313)&gt;Settings!$B$10,"Weekly OT &gt;10",""),IF(AND(G313&lt;&gt;"Off",COUNTIFS($C:$C,C313,$A:$A,A313-1,$G:$G,"Night")&gt;0),"Rest &lt;12h after night shift",""),IF(J313&gt;5,"Meal interval required","")))</f>
        <v>#NAME?</v>
      </c>
      <c r="O313" s="25" t="s">
        <v>112</v>
      </c>
      <c r="P313" s="25"/>
    </row>
    <row r="314" spans="1:16" x14ac:dyDescent="0.35">
      <c r="A314" s="31">
        <f>IF(15+1&lt;=Settings!$B$7,Settings!$B$6+15,"")</f>
        <v>46158</v>
      </c>
      <c r="B314" s="31">
        <f t="shared" si="12"/>
        <v>46153</v>
      </c>
      <c r="C314" s="26" t="str">
        <f>IF(Employees!A14="","",Employees!A14)</f>
        <v/>
      </c>
      <c r="D314" s="26" t="str">
        <f>IF(C314="","",Employees!B14)</f>
        <v/>
      </c>
      <c r="E314" s="26" t="str">
        <f>IF(C314="","",Employees!C14)</f>
        <v/>
      </c>
      <c r="F314" s="26">
        <f>IF(A314="","",MOD(A314-Settings!$B$6,4)+1)</f>
        <v>4</v>
      </c>
      <c r="G314" s="26" t="str">
        <f>IF(C314="","",INDEX(Rotation_Pattern!$B$4:$E$7,F314,MATCH(E314,{"A","B","C","D"},0)))</f>
        <v/>
      </c>
      <c r="H314" s="32" t="str">
        <f t="shared" si="13"/>
        <v/>
      </c>
      <c r="I314" s="32" t="str">
        <f>IF(OR(G314="Off",G314=""),"",H314+TIME(Settings!$B$8,0,0))</f>
        <v/>
      </c>
      <c r="J314" s="26">
        <f>IF(OR(G314="Off",G314=""),0,Settings!$B$8)</f>
        <v>0</v>
      </c>
      <c r="K314" s="25" t="s">
        <v>111</v>
      </c>
      <c r="L314" s="26" t="str">
        <f>IF(A314="","",IF(COUNTIF(Public_Holidays!$A$4:$A$80,A314)&gt;0,"Y","N"))</f>
        <v>N</v>
      </c>
      <c r="M314" s="26" t="str">
        <f t="shared" si="14"/>
        <v>N</v>
      </c>
      <c r="N314" s="26" t="e">
        <f ca="1">IF(A314="","",_xludf.TEXTJOIN("; ",TRUE,IF(SUMIFS($J:$J,$C:$C,C314,$B:$B,B314)&gt;Settings!$B$9,"Weekly ordinary hrs &gt;45",""),IF(SUMIFS(Claims!$H:$H,Claims!$C:$C,C314,Claims!$B:$B,B314)&gt;Settings!$B$10,"Weekly OT &gt;10",""),IF(AND(G314&lt;&gt;"Off",COUNTIFS($C:$C,C314,$A:$A,A314-1,$G:$G,"Night")&gt;0),"Rest &lt;12h after night shift",""),IF(J314&gt;5,"Meal interval required","")))</f>
        <v>#NAME?</v>
      </c>
      <c r="O314" s="25" t="s">
        <v>112</v>
      </c>
      <c r="P314" s="25"/>
    </row>
    <row r="315" spans="1:16" x14ac:dyDescent="0.35">
      <c r="A315" s="31">
        <f>IF(15+1&lt;=Settings!$B$7,Settings!$B$6+15,"")</f>
        <v>46158</v>
      </c>
      <c r="B315" s="31">
        <f t="shared" si="12"/>
        <v>46153</v>
      </c>
      <c r="C315" s="26" t="str">
        <f>IF(Employees!A15="","",Employees!A15)</f>
        <v/>
      </c>
      <c r="D315" s="26" t="str">
        <f>IF(C315="","",Employees!B15)</f>
        <v/>
      </c>
      <c r="E315" s="26" t="str">
        <f>IF(C315="","",Employees!C15)</f>
        <v/>
      </c>
      <c r="F315" s="26">
        <f>IF(A315="","",MOD(A315-Settings!$B$6,4)+1)</f>
        <v>4</v>
      </c>
      <c r="G315" s="26" t="str">
        <f>IF(C315="","",INDEX(Rotation_Pattern!$B$4:$E$7,F315,MATCH(E315,{"A","B","C","D"},0)))</f>
        <v/>
      </c>
      <c r="H315" s="32" t="str">
        <f t="shared" si="13"/>
        <v/>
      </c>
      <c r="I315" s="32" t="str">
        <f>IF(OR(G315="Off",G315=""),"",H315+TIME(Settings!$B$8,0,0))</f>
        <v/>
      </c>
      <c r="J315" s="26">
        <f>IF(OR(G315="Off",G315=""),0,Settings!$B$8)</f>
        <v>0</v>
      </c>
      <c r="K315" s="25" t="s">
        <v>111</v>
      </c>
      <c r="L315" s="26" t="str">
        <f>IF(A315="","",IF(COUNTIF(Public_Holidays!$A$4:$A$80,A315)&gt;0,"Y","N"))</f>
        <v>N</v>
      </c>
      <c r="M315" s="26" t="str">
        <f t="shared" si="14"/>
        <v>N</v>
      </c>
      <c r="N315" s="26" t="e">
        <f ca="1">IF(A315="","",_xludf.TEXTJOIN("; ",TRUE,IF(SUMIFS($J:$J,$C:$C,C315,$B:$B,B315)&gt;Settings!$B$9,"Weekly ordinary hrs &gt;45",""),IF(SUMIFS(Claims!$H:$H,Claims!$C:$C,C315,Claims!$B:$B,B315)&gt;Settings!$B$10,"Weekly OT &gt;10",""),IF(AND(G315&lt;&gt;"Off",COUNTIFS($C:$C,C315,$A:$A,A315-1,$G:$G,"Night")&gt;0),"Rest &lt;12h after night shift",""),IF(J315&gt;5,"Meal interval required","")))</f>
        <v>#NAME?</v>
      </c>
      <c r="O315" s="25" t="s">
        <v>112</v>
      </c>
      <c r="P315" s="25"/>
    </row>
    <row r="316" spans="1:16" x14ac:dyDescent="0.35">
      <c r="A316" s="31">
        <f>IF(15+1&lt;=Settings!$B$7,Settings!$B$6+15,"")</f>
        <v>46158</v>
      </c>
      <c r="B316" s="31">
        <f t="shared" si="12"/>
        <v>46153</v>
      </c>
      <c r="C316" s="26" t="str">
        <f>IF(Employees!A16="","",Employees!A16)</f>
        <v/>
      </c>
      <c r="D316" s="26" t="str">
        <f>IF(C316="","",Employees!B16)</f>
        <v/>
      </c>
      <c r="E316" s="26" t="str">
        <f>IF(C316="","",Employees!C16)</f>
        <v/>
      </c>
      <c r="F316" s="26">
        <f>IF(A316="","",MOD(A316-Settings!$B$6,4)+1)</f>
        <v>4</v>
      </c>
      <c r="G316" s="26" t="str">
        <f>IF(C316="","",INDEX(Rotation_Pattern!$B$4:$E$7,F316,MATCH(E316,{"A","B","C","D"},0)))</f>
        <v/>
      </c>
      <c r="H316" s="32" t="str">
        <f t="shared" si="13"/>
        <v/>
      </c>
      <c r="I316" s="32" t="str">
        <f>IF(OR(G316="Off",G316=""),"",H316+TIME(Settings!$B$8,0,0))</f>
        <v/>
      </c>
      <c r="J316" s="26">
        <f>IF(OR(G316="Off",G316=""),0,Settings!$B$8)</f>
        <v>0</v>
      </c>
      <c r="K316" s="25" t="s">
        <v>111</v>
      </c>
      <c r="L316" s="26" t="str">
        <f>IF(A316="","",IF(COUNTIF(Public_Holidays!$A$4:$A$80,A316)&gt;0,"Y","N"))</f>
        <v>N</v>
      </c>
      <c r="M316" s="26" t="str">
        <f t="shared" si="14"/>
        <v>N</v>
      </c>
      <c r="N316" s="26" t="e">
        <f ca="1">IF(A316="","",_xludf.TEXTJOIN("; ",TRUE,IF(SUMIFS($J:$J,$C:$C,C316,$B:$B,B316)&gt;Settings!$B$9,"Weekly ordinary hrs &gt;45",""),IF(SUMIFS(Claims!$H:$H,Claims!$C:$C,C316,Claims!$B:$B,B316)&gt;Settings!$B$10,"Weekly OT &gt;10",""),IF(AND(G316&lt;&gt;"Off",COUNTIFS($C:$C,C316,$A:$A,A316-1,$G:$G,"Night")&gt;0),"Rest &lt;12h after night shift",""),IF(J316&gt;5,"Meal interval required","")))</f>
        <v>#NAME?</v>
      </c>
      <c r="O316" s="25" t="s">
        <v>112</v>
      </c>
      <c r="P316" s="25"/>
    </row>
    <row r="317" spans="1:16" x14ac:dyDescent="0.35">
      <c r="A317" s="31">
        <f>IF(15+1&lt;=Settings!$B$7,Settings!$B$6+15,"")</f>
        <v>46158</v>
      </c>
      <c r="B317" s="31">
        <f t="shared" si="12"/>
        <v>46153</v>
      </c>
      <c r="C317" s="26" t="str">
        <f>IF(Employees!A17="","",Employees!A17)</f>
        <v/>
      </c>
      <c r="D317" s="26" t="str">
        <f>IF(C317="","",Employees!B17)</f>
        <v/>
      </c>
      <c r="E317" s="26" t="str">
        <f>IF(C317="","",Employees!C17)</f>
        <v/>
      </c>
      <c r="F317" s="26">
        <f>IF(A317="","",MOD(A317-Settings!$B$6,4)+1)</f>
        <v>4</v>
      </c>
      <c r="G317" s="26" t="str">
        <f>IF(C317="","",INDEX(Rotation_Pattern!$B$4:$E$7,F317,MATCH(E317,{"A","B","C","D"},0)))</f>
        <v/>
      </c>
      <c r="H317" s="32" t="str">
        <f t="shared" si="13"/>
        <v/>
      </c>
      <c r="I317" s="32" t="str">
        <f>IF(OR(G317="Off",G317=""),"",H317+TIME(Settings!$B$8,0,0))</f>
        <v/>
      </c>
      <c r="J317" s="26">
        <f>IF(OR(G317="Off",G317=""),0,Settings!$B$8)</f>
        <v>0</v>
      </c>
      <c r="K317" s="25" t="s">
        <v>111</v>
      </c>
      <c r="L317" s="26" t="str">
        <f>IF(A317="","",IF(COUNTIF(Public_Holidays!$A$4:$A$80,A317)&gt;0,"Y","N"))</f>
        <v>N</v>
      </c>
      <c r="M317" s="26" t="str">
        <f t="shared" si="14"/>
        <v>N</v>
      </c>
      <c r="N317" s="26" t="e">
        <f ca="1">IF(A317="","",_xludf.TEXTJOIN("; ",TRUE,IF(SUMIFS($J:$J,$C:$C,C317,$B:$B,B317)&gt;Settings!$B$9,"Weekly ordinary hrs &gt;45",""),IF(SUMIFS(Claims!$H:$H,Claims!$C:$C,C317,Claims!$B:$B,B317)&gt;Settings!$B$10,"Weekly OT &gt;10",""),IF(AND(G317&lt;&gt;"Off",COUNTIFS($C:$C,C317,$A:$A,A317-1,$G:$G,"Night")&gt;0),"Rest &lt;12h after night shift",""),IF(J317&gt;5,"Meal interval required","")))</f>
        <v>#NAME?</v>
      </c>
      <c r="O317" s="25" t="s">
        <v>112</v>
      </c>
      <c r="P317" s="25"/>
    </row>
    <row r="318" spans="1:16" x14ac:dyDescent="0.35">
      <c r="A318" s="31">
        <f>IF(15+1&lt;=Settings!$B$7,Settings!$B$6+15,"")</f>
        <v>46158</v>
      </c>
      <c r="B318" s="31">
        <f t="shared" si="12"/>
        <v>46153</v>
      </c>
      <c r="C318" s="26" t="str">
        <f>IF(Employees!A18="","",Employees!A18)</f>
        <v/>
      </c>
      <c r="D318" s="26" t="str">
        <f>IF(C318="","",Employees!B18)</f>
        <v/>
      </c>
      <c r="E318" s="26" t="str">
        <f>IF(C318="","",Employees!C18)</f>
        <v/>
      </c>
      <c r="F318" s="26">
        <f>IF(A318="","",MOD(A318-Settings!$B$6,4)+1)</f>
        <v>4</v>
      </c>
      <c r="G318" s="26" t="str">
        <f>IF(C318="","",INDEX(Rotation_Pattern!$B$4:$E$7,F318,MATCH(E318,{"A","B","C","D"},0)))</f>
        <v/>
      </c>
      <c r="H318" s="32" t="str">
        <f t="shared" si="13"/>
        <v/>
      </c>
      <c r="I318" s="32" t="str">
        <f>IF(OR(G318="Off",G318=""),"",H318+TIME(Settings!$B$8,0,0))</f>
        <v/>
      </c>
      <c r="J318" s="26">
        <f>IF(OR(G318="Off",G318=""),0,Settings!$B$8)</f>
        <v>0</v>
      </c>
      <c r="K318" s="25" t="s">
        <v>111</v>
      </c>
      <c r="L318" s="26" t="str">
        <f>IF(A318="","",IF(COUNTIF(Public_Holidays!$A$4:$A$80,A318)&gt;0,"Y","N"))</f>
        <v>N</v>
      </c>
      <c r="M318" s="26" t="str">
        <f t="shared" si="14"/>
        <v>N</v>
      </c>
      <c r="N318" s="26" t="e">
        <f ca="1">IF(A318="","",_xludf.TEXTJOIN("; ",TRUE,IF(SUMIFS($J:$J,$C:$C,C318,$B:$B,B318)&gt;Settings!$B$9,"Weekly ordinary hrs &gt;45",""),IF(SUMIFS(Claims!$H:$H,Claims!$C:$C,C318,Claims!$B:$B,B318)&gt;Settings!$B$10,"Weekly OT &gt;10",""),IF(AND(G318&lt;&gt;"Off",COUNTIFS($C:$C,C318,$A:$A,A318-1,$G:$G,"Night")&gt;0),"Rest &lt;12h after night shift",""),IF(J318&gt;5,"Meal interval required","")))</f>
        <v>#NAME?</v>
      </c>
      <c r="O318" s="25" t="s">
        <v>112</v>
      </c>
      <c r="P318" s="25"/>
    </row>
    <row r="319" spans="1:16" x14ac:dyDescent="0.35">
      <c r="A319" s="31">
        <f>IF(15+1&lt;=Settings!$B$7,Settings!$B$6+15,"")</f>
        <v>46158</v>
      </c>
      <c r="B319" s="31">
        <f t="shared" si="12"/>
        <v>46153</v>
      </c>
      <c r="C319" s="26" t="str">
        <f>IF(Employees!A19="","",Employees!A19)</f>
        <v/>
      </c>
      <c r="D319" s="26" t="str">
        <f>IF(C319="","",Employees!B19)</f>
        <v/>
      </c>
      <c r="E319" s="26" t="str">
        <f>IF(C319="","",Employees!C19)</f>
        <v/>
      </c>
      <c r="F319" s="26">
        <f>IF(A319="","",MOD(A319-Settings!$B$6,4)+1)</f>
        <v>4</v>
      </c>
      <c r="G319" s="26" t="str">
        <f>IF(C319="","",INDEX(Rotation_Pattern!$B$4:$E$7,F319,MATCH(E319,{"A","B","C","D"},0)))</f>
        <v/>
      </c>
      <c r="H319" s="32" t="str">
        <f t="shared" si="13"/>
        <v/>
      </c>
      <c r="I319" s="32" t="str">
        <f>IF(OR(G319="Off",G319=""),"",H319+TIME(Settings!$B$8,0,0))</f>
        <v/>
      </c>
      <c r="J319" s="26">
        <f>IF(OR(G319="Off",G319=""),0,Settings!$B$8)</f>
        <v>0</v>
      </c>
      <c r="K319" s="25" t="s">
        <v>111</v>
      </c>
      <c r="L319" s="26" t="str">
        <f>IF(A319="","",IF(COUNTIF(Public_Holidays!$A$4:$A$80,A319)&gt;0,"Y","N"))</f>
        <v>N</v>
      </c>
      <c r="M319" s="26" t="str">
        <f t="shared" si="14"/>
        <v>N</v>
      </c>
      <c r="N319" s="26" t="e">
        <f ca="1">IF(A319="","",_xludf.TEXTJOIN("; ",TRUE,IF(SUMIFS($J:$J,$C:$C,C319,$B:$B,B319)&gt;Settings!$B$9,"Weekly ordinary hrs &gt;45",""),IF(SUMIFS(Claims!$H:$H,Claims!$C:$C,C319,Claims!$B:$B,B319)&gt;Settings!$B$10,"Weekly OT &gt;10",""),IF(AND(G319&lt;&gt;"Off",COUNTIFS($C:$C,C319,$A:$A,A319-1,$G:$G,"Night")&gt;0),"Rest &lt;12h after night shift",""),IF(J319&gt;5,"Meal interval required","")))</f>
        <v>#NAME?</v>
      </c>
      <c r="O319" s="25" t="s">
        <v>112</v>
      </c>
      <c r="P319" s="25"/>
    </row>
    <row r="320" spans="1:16" x14ac:dyDescent="0.35">
      <c r="A320" s="31">
        <f>IF(15+1&lt;=Settings!$B$7,Settings!$B$6+15,"")</f>
        <v>46158</v>
      </c>
      <c r="B320" s="31">
        <f t="shared" si="12"/>
        <v>46153</v>
      </c>
      <c r="C320" s="26" t="str">
        <f>IF(Employees!A20="","",Employees!A20)</f>
        <v/>
      </c>
      <c r="D320" s="26" t="str">
        <f>IF(C320="","",Employees!B20)</f>
        <v/>
      </c>
      <c r="E320" s="26" t="str">
        <f>IF(C320="","",Employees!C20)</f>
        <v/>
      </c>
      <c r="F320" s="26">
        <f>IF(A320="","",MOD(A320-Settings!$B$6,4)+1)</f>
        <v>4</v>
      </c>
      <c r="G320" s="26" t="str">
        <f>IF(C320="","",INDEX(Rotation_Pattern!$B$4:$E$7,F320,MATCH(E320,{"A","B","C","D"},0)))</f>
        <v/>
      </c>
      <c r="H320" s="32" t="str">
        <f t="shared" si="13"/>
        <v/>
      </c>
      <c r="I320" s="32" t="str">
        <f>IF(OR(G320="Off",G320=""),"",H320+TIME(Settings!$B$8,0,0))</f>
        <v/>
      </c>
      <c r="J320" s="26">
        <f>IF(OR(G320="Off",G320=""),0,Settings!$B$8)</f>
        <v>0</v>
      </c>
      <c r="K320" s="25" t="s">
        <v>111</v>
      </c>
      <c r="L320" s="26" t="str">
        <f>IF(A320="","",IF(COUNTIF(Public_Holidays!$A$4:$A$80,A320)&gt;0,"Y","N"))</f>
        <v>N</v>
      </c>
      <c r="M320" s="26" t="str">
        <f t="shared" si="14"/>
        <v>N</v>
      </c>
      <c r="N320" s="26" t="e">
        <f ca="1">IF(A320="","",_xludf.TEXTJOIN("; ",TRUE,IF(SUMIFS($J:$J,$C:$C,C320,$B:$B,B320)&gt;Settings!$B$9,"Weekly ordinary hrs &gt;45",""),IF(SUMIFS(Claims!$H:$H,Claims!$C:$C,C320,Claims!$B:$B,B320)&gt;Settings!$B$10,"Weekly OT &gt;10",""),IF(AND(G320&lt;&gt;"Off",COUNTIFS($C:$C,C320,$A:$A,A320-1,$G:$G,"Night")&gt;0),"Rest &lt;12h after night shift",""),IF(J320&gt;5,"Meal interval required","")))</f>
        <v>#NAME?</v>
      </c>
      <c r="O320" s="25" t="s">
        <v>112</v>
      </c>
      <c r="P320" s="25"/>
    </row>
    <row r="321" spans="1:16" x14ac:dyDescent="0.35">
      <c r="A321" s="31">
        <f>IF(15+1&lt;=Settings!$B$7,Settings!$B$6+15,"")</f>
        <v>46158</v>
      </c>
      <c r="B321" s="31">
        <f t="shared" si="12"/>
        <v>46153</v>
      </c>
      <c r="C321" s="26" t="str">
        <f>IF(Employees!A21="","",Employees!A21)</f>
        <v/>
      </c>
      <c r="D321" s="26" t="str">
        <f>IF(C321="","",Employees!B21)</f>
        <v/>
      </c>
      <c r="E321" s="26" t="str">
        <f>IF(C321="","",Employees!C21)</f>
        <v/>
      </c>
      <c r="F321" s="26">
        <f>IF(A321="","",MOD(A321-Settings!$B$6,4)+1)</f>
        <v>4</v>
      </c>
      <c r="G321" s="26" t="str">
        <f>IF(C321="","",INDEX(Rotation_Pattern!$B$4:$E$7,F321,MATCH(E321,{"A","B","C","D"},0)))</f>
        <v/>
      </c>
      <c r="H321" s="32" t="str">
        <f t="shared" si="13"/>
        <v/>
      </c>
      <c r="I321" s="32" t="str">
        <f>IF(OR(G321="Off",G321=""),"",H321+TIME(Settings!$B$8,0,0))</f>
        <v/>
      </c>
      <c r="J321" s="26">
        <f>IF(OR(G321="Off",G321=""),0,Settings!$B$8)</f>
        <v>0</v>
      </c>
      <c r="K321" s="25" t="s">
        <v>111</v>
      </c>
      <c r="L321" s="26" t="str">
        <f>IF(A321="","",IF(COUNTIF(Public_Holidays!$A$4:$A$80,A321)&gt;0,"Y","N"))</f>
        <v>N</v>
      </c>
      <c r="M321" s="26" t="str">
        <f t="shared" si="14"/>
        <v>N</v>
      </c>
      <c r="N321" s="26" t="e">
        <f ca="1">IF(A321="","",_xludf.TEXTJOIN("; ",TRUE,IF(SUMIFS($J:$J,$C:$C,C321,$B:$B,B321)&gt;Settings!$B$9,"Weekly ordinary hrs &gt;45",""),IF(SUMIFS(Claims!$H:$H,Claims!$C:$C,C321,Claims!$B:$B,B321)&gt;Settings!$B$10,"Weekly OT &gt;10",""),IF(AND(G321&lt;&gt;"Off",COUNTIFS($C:$C,C321,$A:$A,A321-1,$G:$G,"Night")&gt;0),"Rest &lt;12h after night shift",""),IF(J321&gt;5,"Meal interval required","")))</f>
        <v>#NAME?</v>
      </c>
      <c r="O321" s="25" t="s">
        <v>112</v>
      </c>
      <c r="P321" s="25"/>
    </row>
    <row r="322" spans="1:16" x14ac:dyDescent="0.35">
      <c r="A322" s="31">
        <f>IF(15+1&lt;=Settings!$B$7,Settings!$B$6+15,"")</f>
        <v>46158</v>
      </c>
      <c r="B322" s="31">
        <f t="shared" si="12"/>
        <v>46153</v>
      </c>
      <c r="C322" s="26" t="str">
        <f>IF(Employees!A22="","",Employees!A22)</f>
        <v/>
      </c>
      <c r="D322" s="26" t="str">
        <f>IF(C322="","",Employees!B22)</f>
        <v/>
      </c>
      <c r="E322" s="26" t="str">
        <f>IF(C322="","",Employees!C22)</f>
        <v/>
      </c>
      <c r="F322" s="26">
        <f>IF(A322="","",MOD(A322-Settings!$B$6,4)+1)</f>
        <v>4</v>
      </c>
      <c r="G322" s="26" t="str">
        <f>IF(C322="","",INDEX(Rotation_Pattern!$B$4:$E$7,F322,MATCH(E322,{"A","B","C","D"},0)))</f>
        <v/>
      </c>
      <c r="H322" s="32" t="str">
        <f t="shared" si="13"/>
        <v/>
      </c>
      <c r="I322" s="32" t="str">
        <f>IF(OR(G322="Off",G322=""),"",H322+TIME(Settings!$B$8,0,0))</f>
        <v/>
      </c>
      <c r="J322" s="26">
        <f>IF(OR(G322="Off",G322=""),0,Settings!$B$8)</f>
        <v>0</v>
      </c>
      <c r="K322" s="25" t="s">
        <v>111</v>
      </c>
      <c r="L322" s="26" t="str">
        <f>IF(A322="","",IF(COUNTIF(Public_Holidays!$A$4:$A$80,A322)&gt;0,"Y","N"))</f>
        <v>N</v>
      </c>
      <c r="M322" s="26" t="str">
        <f t="shared" si="14"/>
        <v>N</v>
      </c>
      <c r="N322" s="26" t="e">
        <f ca="1">IF(A322="","",_xludf.TEXTJOIN("; ",TRUE,IF(SUMIFS($J:$J,$C:$C,C322,$B:$B,B322)&gt;Settings!$B$9,"Weekly ordinary hrs &gt;45",""),IF(SUMIFS(Claims!$H:$H,Claims!$C:$C,C322,Claims!$B:$B,B322)&gt;Settings!$B$10,"Weekly OT &gt;10",""),IF(AND(G322&lt;&gt;"Off",COUNTIFS($C:$C,C322,$A:$A,A322-1,$G:$G,"Night")&gt;0),"Rest &lt;12h after night shift",""),IF(J322&gt;5,"Meal interval required","")))</f>
        <v>#NAME?</v>
      </c>
      <c r="O322" s="25" t="s">
        <v>112</v>
      </c>
      <c r="P322" s="25"/>
    </row>
    <row r="323" spans="1:16" x14ac:dyDescent="0.35">
      <c r="A323" s="31">
        <f>IF(15+1&lt;=Settings!$B$7,Settings!$B$6+15,"")</f>
        <v>46158</v>
      </c>
      <c r="B323" s="31">
        <f t="shared" si="12"/>
        <v>46153</v>
      </c>
      <c r="C323" s="26" t="str">
        <f>IF(Employees!A23="","",Employees!A23)</f>
        <v/>
      </c>
      <c r="D323" s="26" t="str">
        <f>IF(C323="","",Employees!B23)</f>
        <v/>
      </c>
      <c r="E323" s="26" t="str">
        <f>IF(C323="","",Employees!C23)</f>
        <v/>
      </c>
      <c r="F323" s="26">
        <f>IF(A323="","",MOD(A323-Settings!$B$6,4)+1)</f>
        <v>4</v>
      </c>
      <c r="G323" s="26" t="str">
        <f>IF(C323="","",INDEX(Rotation_Pattern!$B$4:$E$7,F323,MATCH(E323,{"A","B","C","D"},0)))</f>
        <v/>
      </c>
      <c r="H323" s="32" t="str">
        <f t="shared" si="13"/>
        <v/>
      </c>
      <c r="I323" s="32" t="str">
        <f>IF(OR(G323="Off",G323=""),"",H323+TIME(Settings!$B$8,0,0))</f>
        <v/>
      </c>
      <c r="J323" s="26">
        <f>IF(OR(G323="Off",G323=""),0,Settings!$B$8)</f>
        <v>0</v>
      </c>
      <c r="K323" s="25" t="s">
        <v>111</v>
      </c>
      <c r="L323" s="26" t="str">
        <f>IF(A323="","",IF(COUNTIF(Public_Holidays!$A$4:$A$80,A323)&gt;0,"Y","N"))</f>
        <v>N</v>
      </c>
      <c r="M323" s="26" t="str">
        <f t="shared" si="14"/>
        <v>N</v>
      </c>
      <c r="N323" s="26" t="e">
        <f ca="1">IF(A323="","",_xludf.TEXTJOIN("; ",TRUE,IF(SUMIFS($J:$J,$C:$C,C323,$B:$B,B323)&gt;Settings!$B$9,"Weekly ordinary hrs &gt;45",""),IF(SUMIFS(Claims!$H:$H,Claims!$C:$C,C323,Claims!$B:$B,B323)&gt;Settings!$B$10,"Weekly OT &gt;10",""),IF(AND(G323&lt;&gt;"Off",COUNTIFS($C:$C,C323,$A:$A,A323-1,$G:$G,"Night")&gt;0),"Rest &lt;12h after night shift",""),IF(J323&gt;5,"Meal interval required","")))</f>
        <v>#NAME?</v>
      </c>
      <c r="O323" s="25" t="s">
        <v>112</v>
      </c>
      <c r="P323" s="25"/>
    </row>
    <row r="324" spans="1:16" x14ac:dyDescent="0.35">
      <c r="A324" s="31">
        <f>IF(16+1&lt;=Settings!$B$7,Settings!$B$6+16,"")</f>
        <v>46159</v>
      </c>
      <c r="B324" s="31">
        <f t="shared" ref="B324:B387" si="15">IF(A324="","",A324-WEEKDAY(A324,2)+1)</f>
        <v>46153</v>
      </c>
      <c r="C324" s="26" t="str">
        <f>IF(Employees!A4="","",Employees!A4)</f>
        <v>E001</v>
      </c>
      <c r="D324" s="26" t="str">
        <f>IF(C324="","",Employees!B4)</f>
        <v>Musiwa Khavalani</v>
      </c>
      <c r="E324" s="26">
        <f>IF(C324="","",Employees!C4)</f>
        <v>0</v>
      </c>
      <c r="F324" s="26">
        <f>IF(A324="","",MOD(A324-Settings!$B$6,4)+1)</f>
        <v>1</v>
      </c>
      <c r="G324" s="26" t="e">
        <f>IF(C324="","",INDEX(Rotation_Pattern!$B$4:$E$7,F324,MATCH(E324,{"A","B","C","D"},0)))</f>
        <v>#N/A</v>
      </c>
      <c r="H324" s="32" t="e">
        <f t="shared" ref="H324:H387" si="16">IF(OR(G324="Off",G324=""),"",IF(G324="Day",TIME(6,0,0),IF(G324="Evening",TIME(14,0,0),TIME(22,0,0))))</f>
        <v>#N/A</v>
      </c>
      <c r="I324" s="32" t="e">
        <f>IF(OR(G324="Off",G324=""),"",H324+TIME(Settings!$B$8,0,0))</f>
        <v>#N/A</v>
      </c>
      <c r="J324" s="26" t="e">
        <f>IF(OR(G324="Off",G324=""),0,Settings!$B$8)</f>
        <v>#N/A</v>
      </c>
      <c r="K324" s="25" t="s">
        <v>111</v>
      </c>
      <c r="L324" s="26" t="str">
        <f>IF(A324="","",IF(COUNTIF(Public_Holidays!$A$4:$A$80,A324)&gt;0,"Y","N"))</f>
        <v>N</v>
      </c>
      <c r="M324" s="26" t="str">
        <f t="shared" ref="M324:M387" si="17">IF(A324="","",IF(WEEKDAY(A324,2)=7,"Y","N"))</f>
        <v>Y</v>
      </c>
      <c r="N324" s="26" t="e">
        <f ca="1">IF(A324="","",_xludf.TEXTJOIN("; ",TRUE,IF(SUMIFS($J:$J,$C:$C,C324,$B:$B,B324)&gt;Settings!$B$9,"Weekly ordinary hrs &gt;45",""),IF(SUMIFS(Claims!$H:$H,Claims!$C:$C,C324,Claims!$B:$B,B324)&gt;Settings!$B$10,"Weekly OT &gt;10",""),IF(AND(G324&lt;&gt;"Off",COUNTIFS($C:$C,C324,$A:$A,A324-1,$G:$G,"Night")&gt;0),"Rest &lt;12h after night shift",""),IF(J324&gt;5,"Meal interval required","")))</f>
        <v>#NAME?</v>
      </c>
      <c r="O324" s="25" t="s">
        <v>112</v>
      </c>
      <c r="P324" s="25"/>
    </row>
    <row r="325" spans="1:16" x14ac:dyDescent="0.35">
      <c r="A325" s="31">
        <f>IF(16+1&lt;=Settings!$B$7,Settings!$B$6+16,"")</f>
        <v>46159</v>
      </c>
      <c r="B325" s="31">
        <f t="shared" si="15"/>
        <v>46153</v>
      </c>
      <c r="C325" s="26" t="str">
        <f>IF(Employees!A5="","",Employees!A5)</f>
        <v>E002</v>
      </c>
      <c r="D325" s="26" t="str">
        <f>IF(C325="","",Employees!B5)</f>
        <v>Mpho  Nembemhia</v>
      </c>
      <c r="E325" s="26" t="str">
        <f>IF(C325="","",Employees!C5)</f>
        <v>B</v>
      </c>
      <c r="F325" s="26">
        <f>IF(A325="","",MOD(A325-Settings!$B$6,4)+1)</f>
        <v>1</v>
      </c>
      <c r="G325" s="26" t="str">
        <f>IF(C325="","",INDEX(Rotation_Pattern!$B$4:$E$7,F325,MATCH(E325,{"A","B","C","D"},0)))</f>
        <v>Off</v>
      </c>
      <c r="H325" s="32" t="str">
        <f t="shared" si="16"/>
        <v/>
      </c>
      <c r="I325" s="32" t="str">
        <f>IF(OR(G325="Off",G325=""),"",H325+TIME(Settings!$B$8,0,0))</f>
        <v/>
      </c>
      <c r="J325" s="26">
        <f>IF(OR(G325="Off",G325=""),0,Settings!$B$8)</f>
        <v>0</v>
      </c>
      <c r="K325" s="25" t="s">
        <v>111</v>
      </c>
      <c r="L325" s="26" t="str">
        <f>IF(A325="","",IF(COUNTIF(Public_Holidays!$A$4:$A$80,A325)&gt;0,"Y","N"))</f>
        <v>N</v>
      </c>
      <c r="M325" s="26" t="str">
        <f t="shared" si="17"/>
        <v>Y</v>
      </c>
      <c r="N325" s="26" t="e">
        <f ca="1">IF(A325="","",_xludf.TEXTJOIN("; ",TRUE,IF(SUMIFS($J:$J,$C:$C,C325,$B:$B,B325)&gt;Settings!$B$9,"Weekly ordinary hrs &gt;45",""),IF(SUMIFS(Claims!$H:$H,Claims!$C:$C,C325,Claims!$B:$B,B325)&gt;Settings!$B$10,"Weekly OT &gt;10",""),IF(AND(G325&lt;&gt;"Off",COUNTIFS($C:$C,C325,$A:$A,A325-1,$G:$G,"Night")&gt;0),"Rest &lt;12h after night shift",""),IF(J325&gt;5,"Meal interval required","")))</f>
        <v>#NAME?</v>
      </c>
      <c r="O325" s="25" t="s">
        <v>112</v>
      </c>
      <c r="P325" s="25"/>
    </row>
    <row r="326" spans="1:16" x14ac:dyDescent="0.35">
      <c r="A326" s="31">
        <f>IF(16+1&lt;=Settings!$B$7,Settings!$B$6+16,"")</f>
        <v>46159</v>
      </c>
      <c r="B326" s="31">
        <f t="shared" si="15"/>
        <v>46153</v>
      </c>
      <c r="C326" s="26" t="str">
        <f>IF(Employees!A6="","",Employees!A6)</f>
        <v>E003</v>
      </c>
      <c r="D326" s="26" t="str">
        <f>IF(C326="","",Employees!B6)</f>
        <v>Dimpho Makhafola</v>
      </c>
      <c r="E326" s="26" t="str">
        <f>IF(C326="","",Employees!C6)</f>
        <v>C</v>
      </c>
      <c r="F326" s="26">
        <f>IF(A326="","",MOD(A326-Settings!$B$6,4)+1)</f>
        <v>1</v>
      </c>
      <c r="G326" s="26" t="str">
        <f>IF(C326="","",INDEX(Rotation_Pattern!$B$4:$E$7,F326,MATCH(E326,{"A","B","C","D"},0)))</f>
        <v>Evening</v>
      </c>
      <c r="H326" s="32">
        <f t="shared" si="16"/>
        <v>0.58333333333333337</v>
      </c>
      <c r="I326" s="32">
        <f>IF(OR(G326="Off",G326=""),"",H326+TIME(Settings!$B$8,0,0))</f>
        <v>0.91666666666666674</v>
      </c>
      <c r="J326" s="26">
        <f>IF(OR(G326="Off",G326=""),0,Settings!$B$8)</f>
        <v>8</v>
      </c>
      <c r="K326" s="25" t="s">
        <v>111</v>
      </c>
      <c r="L326" s="26" t="str">
        <f>IF(A326="","",IF(COUNTIF(Public_Holidays!$A$4:$A$80,A326)&gt;0,"Y","N"))</f>
        <v>N</v>
      </c>
      <c r="M326" s="26" t="str">
        <f t="shared" si="17"/>
        <v>Y</v>
      </c>
      <c r="N326" s="26" t="e">
        <f ca="1">IF(A326="","",_xludf.TEXTJOIN("; ",TRUE,IF(SUMIFS($J:$J,$C:$C,C326,$B:$B,B326)&gt;Settings!$B$9,"Weekly ordinary hrs &gt;45",""),IF(SUMIFS(Claims!$H:$H,Claims!$C:$C,C326,Claims!$B:$B,B326)&gt;Settings!$B$10,"Weekly OT &gt;10",""),IF(AND(G326&lt;&gt;"Off",COUNTIFS($C:$C,C326,$A:$A,A326-1,$G:$G,"Night")&gt;0),"Rest &lt;12h after night shift",""),IF(J326&gt;5,"Meal interval required","")))</f>
        <v>#NAME?</v>
      </c>
      <c r="O326" s="25" t="s">
        <v>112</v>
      </c>
      <c r="P326" s="25"/>
    </row>
    <row r="327" spans="1:16" x14ac:dyDescent="0.35">
      <c r="A327" s="31">
        <f>IF(16+1&lt;=Settings!$B$7,Settings!$B$6+16,"")</f>
        <v>46159</v>
      </c>
      <c r="B327" s="31">
        <f t="shared" si="15"/>
        <v>46153</v>
      </c>
      <c r="C327" s="26" t="str">
        <f>IF(Employees!A7="","",Employees!A7)</f>
        <v>E004</v>
      </c>
      <c r="D327" s="26" t="str">
        <f>IF(C327="","",Employees!B7)</f>
        <v>Bashii Fall</v>
      </c>
      <c r="E327" s="26" t="str">
        <f>IF(C327="","",Employees!C7)</f>
        <v>D</v>
      </c>
      <c r="F327" s="26">
        <f>IF(A327="","",MOD(A327-Settings!$B$6,4)+1)</f>
        <v>1</v>
      </c>
      <c r="G327" s="26" t="str">
        <f>IF(C327="","",INDEX(Rotation_Pattern!$B$4:$E$7,F327,MATCH(E327,{"A","B","C","D"},0)))</f>
        <v>Night</v>
      </c>
      <c r="H327" s="32">
        <f t="shared" si="16"/>
        <v>0.91666666666666663</v>
      </c>
      <c r="I327" s="32">
        <f>IF(OR(G327="Off",G327=""),"",H327+TIME(Settings!$B$8,0,0))</f>
        <v>1.25</v>
      </c>
      <c r="J327" s="26">
        <f>IF(OR(G327="Off",G327=""),0,Settings!$B$8)</f>
        <v>8</v>
      </c>
      <c r="K327" s="25" t="s">
        <v>111</v>
      </c>
      <c r="L327" s="26" t="str">
        <f>IF(A327="","",IF(COUNTIF(Public_Holidays!$A$4:$A$80,A327)&gt;0,"Y","N"))</f>
        <v>N</v>
      </c>
      <c r="M327" s="26" t="str">
        <f t="shared" si="17"/>
        <v>Y</v>
      </c>
      <c r="N327" s="26" t="e">
        <f ca="1">IF(A327="","",_xludf.TEXTJOIN("; ",TRUE,IF(SUMIFS($J:$J,$C:$C,C327,$B:$B,B327)&gt;Settings!$B$9,"Weekly ordinary hrs &gt;45",""),IF(SUMIFS(Claims!$H:$H,Claims!$C:$C,C327,Claims!$B:$B,B327)&gt;Settings!$B$10,"Weekly OT &gt;10",""),IF(AND(G327&lt;&gt;"Off",COUNTIFS($C:$C,C327,$A:$A,A327-1,$G:$G,"Night")&gt;0),"Rest &lt;12h after night shift",""),IF(J327&gt;5,"Meal interval required","")))</f>
        <v>#NAME?</v>
      </c>
      <c r="O327" s="25" t="s">
        <v>112</v>
      </c>
      <c r="P327" s="25"/>
    </row>
    <row r="328" spans="1:16" x14ac:dyDescent="0.35">
      <c r="A328" s="31">
        <f>IF(16+1&lt;=Settings!$B$7,Settings!$B$6+16,"")</f>
        <v>46159</v>
      </c>
      <c r="B328" s="31">
        <f t="shared" si="15"/>
        <v>46153</v>
      </c>
      <c r="C328" s="26" t="str">
        <f>IF(Employees!A8="","",Employees!A8)</f>
        <v>E005</v>
      </c>
      <c r="D328" s="26" t="str">
        <f>IF(C328="","",Employees!B8)</f>
        <v>Lesego Aphane</v>
      </c>
      <c r="E328" s="26" t="str">
        <f>IF(C328="","",Employees!C8)</f>
        <v>A</v>
      </c>
      <c r="F328" s="26">
        <f>IF(A328="","",MOD(A328-Settings!$B$6,4)+1)</f>
        <v>1</v>
      </c>
      <c r="G328" s="26" t="str">
        <f>IF(C328="","",INDEX(Rotation_Pattern!$B$4:$E$7,F328,MATCH(E328,{"A","B","C","D"},0)))</f>
        <v>Day</v>
      </c>
      <c r="H328" s="32">
        <f t="shared" si="16"/>
        <v>0.25</v>
      </c>
      <c r="I328" s="32">
        <f>IF(OR(G328="Off",G328=""),"",H328+TIME(Settings!$B$8,0,0))</f>
        <v>0.58333333333333326</v>
      </c>
      <c r="J328" s="26">
        <f>IF(OR(G328="Off",G328=""),0,Settings!$B$8)</f>
        <v>8</v>
      </c>
      <c r="K328" s="25" t="s">
        <v>111</v>
      </c>
      <c r="L328" s="26" t="str">
        <f>IF(A328="","",IF(COUNTIF(Public_Holidays!$A$4:$A$80,A328)&gt;0,"Y","N"))</f>
        <v>N</v>
      </c>
      <c r="M328" s="26" t="str">
        <f t="shared" si="17"/>
        <v>Y</v>
      </c>
      <c r="N328" s="26" t="e">
        <f ca="1">IF(A328="","",_xludf.TEXTJOIN("; ",TRUE,IF(SUMIFS($J:$J,$C:$C,C328,$B:$B,B328)&gt;Settings!$B$9,"Weekly ordinary hrs &gt;45",""),IF(SUMIFS(Claims!$H:$H,Claims!$C:$C,C328,Claims!$B:$B,B328)&gt;Settings!$B$10,"Weekly OT &gt;10",""),IF(AND(G328&lt;&gt;"Off",COUNTIFS($C:$C,C328,$A:$A,A328-1,$G:$G,"Night")&gt;0),"Rest &lt;12h after night shift",""),IF(J328&gt;5,"Meal interval required","")))</f>
        <v>#NAME?</v>
      </c>
      <c r="O328" s="25" t="s">
        <v>112</v>
      </c>
      <c r="P328" s="25"/>
    </row>
    <row r="329" spans="1:16" x14ac:dyDescent="0.35">
      <c r="A329" s="31">
        <f>IF(16+1&lt;=Settings!$B$7,Settings!$B$6+16,"")</f>
        <v>46159</v>
      </c>
      <c r="B329" s="31">
        <f t="shared" si="15"/>
        <v>46153</v>
      </c>
      <c r="C329" s="26" t="str">
        <f>IF(Employees!A9="","",Employees!A9)</f>
        <v>E006</v>
      </c>
      <c r="D329" s="26" t="str">
        <f>IF(C329="","",Employees!B9)</f>
        <v>Nhalnahla</v>
      </c>
      <c r="E329" s="26" t="str">
        <f>IF(C329="","",Employees!C9)</f>
        <v>B</v>
      </c>
      <c r="F329" s="26">
        <f>IF(A329="","",MOD(A329-Settings!$B$6,4)+1)</f>
        <v>1</v>
      </c>
      <c r="G329" s="26" t="str">
        <f>IF(C329="","",INDEX(Rotation_Pattern!$B$4:$E$7,F329,MATCH(E329,{"A","B","C","D"},0)))</f>
        <v>Off</v>
      </c>
      <c r="H329" s="32" t="str">
        <f t="shared" si="16"/>
        <v/>
      </c>
      <c r="I329" s="32" t="str">
        <f>IF(OR(G329="Off",G329=""),"",H329+TIME(Settings!$B$8,0,0))</f>
        <v/>
      </c>
      <c r="J329" s="26">
        <f>IF(OR(G329="Off",G329=""),0,Settings!$B$8)</f>
        <v>0</v>
      </c>
      <c r="K329" s="25" t="s">
        <v>111</v>
      </c>
      <c r="L329" s="26" t="str">
        <f>IF(A329="","",IF(COUNTIF(Public_Holidays!$A$4:$A$80,A329)&gt;0,"Y","N"))</f>
        <v>N</v>
      </c>
      <c r="M329" s="26" t="str">
        <f t="shared" si="17"/>
        <v>Y</v>
      </c>
      <c r="N329" s="26" t="e">
        <f ca="1">IF(A329="","",_xludf.TEXTJOIN("; ",TRUE,IF(SUMIFS($J:$J,$C:$C,C329,$B:$B,B329)&gt;Settings!$B$9,"Weekly ordinary hrs &gt;45",""),IF(SUMIFS(Claims!$H:$H,Claims!$C:$C,C329,Claims!$B:$B,B329)&gt;Settings!$B$10,"Weekly OT &gt;10",""),IF(AND(G329&lt;&gt;"Off",COUNTIFS($C:$C,C329,$A:$A,A329-1,$G:$G,"Night")&gt;0),"Rest &lt;12h after night shift",""),IF(J329&gt;5,"Meal interval required","")))</f>
        <v>#NAME?</v>
      </c>
      <c r="O329" s="25" t="s">
        <v>112</v>
      </c>
      <c r="P329" s="25"/>
    </row>
    <row r="330" spans="1:16" x14ac:dyDescent="0.35">
      <c r="A330" s="31">
        <f>IF(16+1&lt;=Settings!$B$7,Settings!$B$6+16,"")</f>
        <v>46159</v>
      </c>
      <c r="B330" s="31">
        <f t="shared" si="15"/>
        <v>46153</v>
      </c>
      <c r="C330" s="26" t="str">
        <f>IF(Employees!A10="","",Employees!A10)</f>
        <v>E007</v>
      </c>
      <c r="D330" s="26" t="str">
        <f>IF(C330="","",Employees!B10)</f>
        <v>Joe</v>
      </c>
      <c r="E330" s="26" t="str">
        <f>IF(C330="","",Employees!C10)</f>
        <v>C</v>
      </c>
      <c r="F330" s="26">
        <f>IF(A330="","",MOD(A330-Settings!$B$6,4)+1)</f>
        <v>1</v>
      </c>
      <c r="G330" s="26" t="str">
        <f>IF(C330="","",INDEX(Rotation_Pattern!$B$4:$E$7,F330,MATCH(E330,{"A","B","C","D"},0)))</f>
        <v>Evening</v>
      </c>
      <c r="H330" s="32">
        <f t="shared" si="16"/>
        <v>0.58333333333333337</v>
      </c>
      <c r="I330" s="32">
        <f>IF(OR(G330="Off",G330=""),"",H330+TIME(Settings!$B$8,0,0))</f>
        <v>0.91666666666666674</v>
      </c>
      <c r="J330" s="26">
        <f>IF(OR(G330="Off",G330=""),0,Settings!$B$8)</f>
        <v>8</v>
      </c>
      <c r="K330" s="25" t="s">
        <v>111</v>
      </c>
      <c r="L330" s="26" t="str">
        <f>IF(A330="","",IF(COUNTIF(Public_Holidays!$A$4:$A$80,A330)&gt;0,"Y","N"))</f>
        <v>N</v>
      </c>
      <c r="M330" s="26" t="str">
        <f t="shared" si="17"/>
        <v>Y</v>
      </c>
      <c r="N330" s="26" t="e">
        <f ca="1">IF(A330="","",_xludf.TEXTJOIN("; ",TRUE,IF(SUMIFS($J:$J,$C:$C,C330,$B:$B,B330)&gt;Settings!$B$9,"Weekly ordinary hrs &gt;45",""),IF(SUMIFS(Claims!$H:$H,Claims!$C:$C,C330,Claims!$B:$B,B330)&gt;Settings!$B$10,"Weekly OT &gt;10",""),IF(AND(G330&lt;&gt;"Off",COUNTIFS($C:$C,C330,$A:$A,A330-1,$G:$G,"Night")&gt;0),"Rest &lt;12h after night shift",""),IF(J330&gt;5,"Meal interval required","")))</f>
        <v>#NAME?</v>
      </c>
      <c r="O330" s="25" t="s">
        <v>112</v>
      </c>
      <c r="P330" s="25"/>
    </row>
    <row r="331" spans="1:16" x14ac:dyDescent="0.35">
      <c r="A331" s="31">
        <f>IF(16+1&lt;=Settings!$B$7,Settings!$B$6+16,"")</f>
        <v>46159</v>
      </c>
      <c r="B331" s="31">
        <f t="shared" si="15"/>
        <v>46153</v>
      </c>
      <c r="C331" s="26" t="str">
        <f>IF(Employees!A11="","",Employees!A11)</f>
        <v>E008</v>
      </c>
      <c r="D331" s="26" t="str">
        <f>IF(C331="","",Employees!B11)</f>
        <v>Tim</v>
      </c>
      <c r="E331" s="26" t="str">
        <f>IF(C331="","",Employees!C11)</f>
        <v>D</v>
      </c>
      <c r="F331" s="26">
        <f>IF(A331="","",MOD(A331-Settings!$B$6,4)+1)</f>
        <v>1</v>
      </c>
      <c r="G331" s="26" t="str">
        <f>IF(C331="","",INDEX(Rotation_Pattern!$B$4:$E$7,F331,MATCH(E331,{"A","B","C","D"},0)))</f>
        <v>Night</v>
      </c>
      <c r="H331" s="32">
        <f t="shared" si="16"/>
        <v>0.91666666666666663</v>
      </c>
      <c r="I331" s="32">
        <f>IF(OR(G331="Off",G331=""),"",H331+TIME(Settings!$B$8,0,0))</f>
        <v>1.25</v>
      </c>
      <c r="J331" s="26">
        <f>IF(OR(G331="Off",G331=""),0,Settings!$B$8)</f>
        <v>8</v>
      </c>
      <c r="K331" s="25" t="s">
        <v>111</v>
      </c>
      <c r="L331" s="26" t="str">
        <f>IF(A331="","",IF(COUNTIF(Public_Holidays!$A$4:$A$80,A331)&gt;0,"Y","N"))</f>
        <v>N</v>
      </c>
      <c r="M331" s="26" t="str">
        <f t="shared" si="17"/>
        <v>Y</v>
      </c>
      <c r="N331" s="26" t="e">
        <f ca="1">IF(A331="","",_xludf.TEXTJOIN("; ",TRUE,IF(SUMIFS($J:$J,$C:$C,C331,$B:$B,B331)&gt;Settings!$B$9,"Weekly ordinary hrs &gt;45",""),IF(SUMIFS(Claims!$H:$H,Claims!$C:$C,C331,Claims!$B:$B,B331)&gt;Settings!$B$10,"Weekly OT &gt;10",""),IF(AND(G331&lt;&gt;"Off",COUNTIFS($C:$C,C331,$A:$A,A331-1,$G:$G,"Night")&gt;0),"Rest &lt;12h after night shift",""),IF(J331&gt;5,"Meal interval required","")))</f>
        <v>#NAME?</v>
      </c>
      <c r="O331" s="25" t="s">
        <v>112</v>
      </c>
      <c r="P331" s="25"/>
    </row>
    <row r="332" spans="1:16" x14ac:dyDescent="0.35">
      <c r="A332" s="31">
        <f>IF(16+1&lt;=Settings!$B$7,Settings!$B$6+16,"")</f>
        <v>46159</v>
      </c>
      <c r="B332" s="31">
        <f t="shared" si="15"/>
        <v>46153</v>
      </c>
      <c r="C332" s="26" t="str">
        <f>IF(Employees!A12="","",Employees!A12)</f>
        <v>E009</v>
      </c>
      <c r="D332" s="26" t="str">
        <f>IF(C332="","",Employees!B12)</f>
        <v>Frank</v>
      </c>
      <c r="E332" s="26" t="str">
        <f>IF(C332="","",Employees!C12)</f>
        <v>A</v>
      </c>
      <c r="F332" s="26">
        <f>IF(A332="","",MOD(A332-Settings!$B$6,4)+1)</f>
        <v>1</v>
      </c>
      <c r="G332" s="26" t="str">
        <f>IF(C332="","",INDEX(Rotation_Pattern!$B$4:$E$7,F332,MATCH(E332,{"A","B","C","D"},0)))</f>
        <v>Day</v>
      </c>
      <c r="H332" s="32">
        <f t="shared" si="16"/>
        <v>0.25</v>
      </c>
      <c r="I332" s="32">
        <f>IF(OR(G332="Off",G332=""),"",H332+TIME(Settings!$B$8,0,0))</f>
        <v>0.58333333333333326</v>
      </c>
      <c r="J332" s="26">
        <f>IF(OR(G332="Off",G332=""),0,Settings!$B$8)</f>
        <v>8</v>
      </c>
      <c r="K332" s="25" t="s">
        <v>111</v>
      </c>
      <c r="L332" s="26" t="str">
        <f>IF(A332="","",IF(COUNTIF(Public_Holidays!$A$4:$A$80,A332)&gt;0,"Y","N"))</f>
        <v>N</v>
      </c>
      <c r="M332" s="26" t="str">
        <f t="shared" si="17"/>
        <v>Y</v>
      </c>
      <c r="N332" s="26" t="e">
        <f ca="1">IF(A332="","",_xludf.TEXTJOIN("; ",TRUE,IF(SUMIFS($J:$J,$C:$C,C332,$B:$B,B332)&gt;Settings!$B$9,"Weekly ordinary hrs &gt;45",""),IF(SUMIFS(Claims!$H:$H,Claims!$C:$C,C332,Claims!$B:$B,B332)&gt;Settings!$B$10,"Weekly OT &gt;10",""),IF(AND(G332&lt;&gt;"Off",COUNTIFS($C:$C,C332,$A:$A,A332-1,$G:$G,"Night")&gt;0),"Rest &lt;12h after night shift",""),IF(J332&gt;5,"Meal interval required","")))</f>
        <v>#NAME?</v>
      </c>
      <c r="O332" s="25" t="s">
        <v>112</v>
      </c>
      <c r="P332" s="25"/>
    </row>
    <row r="333" spans="1:16" x14ac:dyDescent="0.35">
      <c r="A333" s="31">
        <f>IF(16+1&lt;=Settings!$B$7,Settings!$B$6+16,"")</f>
        <v>46159</v>
      </c>
      <c r="B333" s="31">
        <f t="shared" si="15"/>
        <v>46153</v>
      </c>
      <c r="C333" s="26" t="str">
        <f>IF(Employees!A13="","",Employees!A13)</f>
        <v/>
      </c>
      <c r="D333" s="26" t="str">
        <f>IF(C333="","",Employees!B13)</f>
        <v/>
      </c>
      <c r="E333" s="26" t="str">
        <f>IF(C333="","",Employees!C13)</f>
        <v/>
      </c>
      <c r="F333" s="26">
        <f>IF(A333="","",MOD(A333-Settings!$B$6,4)+1)</f>
        <v>1</v>
      </c>
      <c r="G333" s="26" t="str">
        <f>IF(C333="","",INDEX(Rotation_Pattern!$B$4:$E$7,F333,MATCH(E333,{"A","B","C","D"},0)))</f>
        <v/>
      </c>
      <c r="H333" s="32" t="str">
        <f t="shared" si="16"/>
        <v/>
      </c>
      <c r="I333" s="32" t="str">
        <f>IF(OR(G333="Off",G333=""),"",H333+TIME(Settings!$B$8,0,0))</f>
        <v/>
      </c>
      <c r="J333" s="26">
        <f>IF(OR(G333="Off",G333=""),0,Settings!$B$8)</f>
        <v>0</v>
      </c>
      <c r="K333" s="25" t="s">
        <v>111</v>
      </c>
      <c r="L333" s="26" t="str">
        <f>IF(A333="","",IF(COUNTIF(Public_Holidays!$A$4:$A$80,A333)&gt;0,"Y","N"))</f>
        <v>N</v>
      </c>
      <c r="M333" s="26" t="str">
        <f t="shared" si="17"/>
        <v>Y</v>
      </c>
      <c r="N333" s="26" t="e">
        <f ca="1">IF(A333="","",_xludf.TEXTJOIN("; ",TRUE,IF(SUMIFS($J:$J,$C:$C,C333,$B:$B,B333)&gt;Settings!$B$9,"Weekly ordinary hrs &gt;45",""),IF(SUMIFS(Claims!$H:$H,Claims!$C:$C,C333,Claims!$B:$B,B333)&gt;Settings!$B$10,"Weekly OT &gt;10",""),IF(AND(G333&lt;&gt;"Off",COUNTIFS($C:$C,C333,$A:$A,A333-1,$G:$G,"Night")&gt;0),"Rest &lt;12h after night shift",""),IF(J333&gt;5,"Meal interval required","")))</f>
        <v>#NAME?</v>
      </c>
      <c r="O333" s="25" t="s">
        <v>112</v>
      </c>
      <c r="P333" s="25"/>
    </row>
    <row r="334" spans="1:16" x14ac:dyDescent="0.35">
      <c r="A334" s="31">
        <f>IF(16+1&lt;=Settings!$B$7,Settings!$B$6+16,"")</f>
        <v>46159</v>
      </c>
      <c r="B334" s="31">
        <f t="shared" si="15"/>
        <v>46153</v>
      </c>
      <c r="C334" s="26" t="str">
        <f>IF(Employees!A14="","",Employees!A14)</f>
        <v/>
      </c>
      <c r="D334" s="26" t="str">
        <f>IF(C334="","",Employees!B14)</f>
        <v/>
      </c>
      <c r="E334" s="26" t="str">
        <f>IF(C334="","",Employees!C14)</f>
        <v/>
      </c>
      <c r="F334" s="26">
        <f>IF(A334="","",MOD(A334-Settings!$B$6,4)+1)</f>
        <v>1</v>
      </c>
      <c r="G334" s="26" t="str">
        <f>IF(C334="","",INDEX(Rotation_Pattern!$B$4:$E$7,F334,MATCH(E334,{"A","B","C","D"},0)))</f>
        <v/>
      </c>
      <c r="H334" s="32" t="str">
        <f t="shared" si="16"/>
        <v/>
      </c>
      <c r="I334" s="32" t="str">
        <f>IF(OR(G334="Off",G334=""),"",H334+TIME(Settings!$B$8,0,0))</f>
        <v/>
      </c>
      <c r="J334" s="26">
        <f>IF(OR(G334="Off",G334=""),0,Settings!$B$8)</f>
        <v>0</v>
      </c>
      <c r="K334" s="25" t="s">
        <v>111</v>
      </c>
      <c r="L334" s="26" t="str">
        <f>IF(A334="","",IF(COUNTIF(Public_Holidays!$A$4:$A$80,A334)&gt;0,"Y","N"))</f>
        <v>N</v>
      </c>
      <c r="M334" s="26" t="str">
        <f t="shared" si="17"/>
        <v>Y</v>
      </c>
      <c r="N334" s="26" t="e">
        <f ca="1">IF(A334="","",_xludf.TEXTJOIN("; ",TRUE,IF(SUMIFS($J:$J,$C:$C,C334,$B:$B,B334)&gt;Settings!$B$9,"Weekly ordinary hrs &gt;45",""),IF(SUMIFS(Claims!$H:$H,Claims!$C:$C,C334,Claims!$B:$B,B334)&gt;Settings!$B$10,"Weekly OT &gt;10",""),IF(AND(G334&lt;&gt;"Off",COUNTIFS($C:$C,C334,$A:$A,A334-1,$G:$G,"Night")&gt;0),"Rest &lt;12h after night shift",""),IF(J334&gt;5,"Meal interval required","")))</f>
        <v>#NAME?</v>
      </c>
      <c r="O334" s="25" t="s">
        <v>112</v>
      </c>
      <c r="P334" s="25"/>
    </row>
    <row r="335" spans="1:16" x14ac:dyDescent="0.35">
      <c r="A335" s="31">
        <f>IF(16+1&lt;=Settings!$B$7,Settings!$B$6+16,"")</f>
        <v>46159</v>
      </c>
      <c r="B335" s="31">
        <f t="shared" si="15"/>
        <v>46153</v>
      </c>
      <c r="C335" s="26" t="str">
        <f>IF(Employees!A15="","",Employees!A15)</f>
        <v/>
      </c>
      <c r="D335" s="26" t="str">
        <f>IF(C335="","",Employees!B15)</f>
        <v/>
      </c>
      <c r="E335" s="26" t="str">
        <f>IF(C335="","",Employees!C15)</f>
        <v/>
      </c>
      <c r="F335" s="26">
        <f>IF(A335="","",MOD(A335-Settings!$B$6,4)+1)</f>
        <v>1</v>
      </c>
      <c r="G335" s="26" t="str">
        <f>IF(C335="","",INDEX(Rotation_Pattern!$B$4:$E$7,F335,MATCH(E335,{"A","B","C","D"},0)))</f>
        <v/>
      </c>
      <c r="H335" s="32" t="str">
        <f t="shared" si="16"/>
        <v/>
      </c>
      <c r="I335" s="32" t="str">
        <f>IF(OR(G335="Off",G335=""),"",H335+TIME(Settings!$B$8,0,0))</f>
        <v/>
      </c>
      <c r="J335" s="26">
        <f>IF(OR(G335="Off",G335=""),0,Settings!$B$8)</f>
        <v>0</v>
      </c>
      <c r="K335" s="25" t="s">
        <v>111</v>
      </c>
      <c r="L335" s="26" t="str">
        <f>IF(A335="","",IF(COUNTIF(Public_Holidays!$A$4:$A$80,A335)&gt;0,"Y","N"))</f>
        <v>N</v>
      </c>
      <c r="M335" s="26" t="str">
        <f t="shared" si="17"/>
        <v>Y</v>
      </c>
      <c r="N335" s="26" t="e">
        <f ca="1">IF(A335="","",_xludf.TEXTJOIN("; ",TRUE,IF(SUMIFS($J:$J,$C:$C,C335,$B:$B,B335)&gt;Settings!$B$9,"Weekly ordinary hrs &gt;45",""),IF(SUMIFS(Claims!$H:$H,Claims!$C:$C,C335,Claims!$B:$B,B335)&gt;Settings!$B$10,"Weekly OT &gt;10",""),IF(AND(G335&lt;&gt;"Off",COUNTIFS($C:$C,C335,$A:$A,A335-1,$G:$G,"Night")&gt;0),"Rest &lt;12h after night shift",""),IF(J335&gt;5,"Meal interval required","")))</f>
        <v>#NAME?</v>
      </c>
      <c r="O335" s="25" t="s">
        <v>112</v>
      </c>
      <c r="P335" s="25"/>
    </row>
    <row r="336" spans="1:16" x14ac:dyDescent="0.35">
      <c r="A336" s="31">
        <f>IF(16+1&lt;=Settings!$B$7,Settings!$B$6+16,"")</f>
        <v>46159</v>
      </c>
      <c r="B336" s="31">
        <f t="shared" si="15"/>
        <v>46153</v>
      </c>
      <c r="C336" s="26" t="str">
        <f>IF(Employees!A16="","",Employees!A16)</f>
        <v/>
      </c>
      <c r="D336" s="26" t="str">
        <f>IF(C336="","",Employees!B16)</f>
        <v/>
      </c>
      <c r="E336" s="26" t="str">
        <f>IF(C336="","",Employees!C16)</f>
        <v/>
      </c>
      <c r="F336" s="26">
        <f>IF(A336="","",MOD(A336-Settings!$B$6,4)+1)</f>
        <v>1</v>
      </c>
      <c r="G336" s="26" t="str">
        <f>IF(C336="","",INDEX(Rotation_Pattern!$B$4:$E$7,F336,MATCH(E336,{"A","B","C","D"},0)))</f>
        <v/>
      </c>
      <c r="H336" s="32" t="str">
        <f t="shared" si="16"/>
        <v/>
      </c>
      <c r="I336" s="32" t="str">
        <f>IF(OR(G336="Off",G336=""),"",H336+TIME(Settings!$B$8,0,0))</f>
        <v/>
      </c>
      <c r="J336" s="26">
        <f>IF(OR(G336="Off",G336=""),0,Settings!$B$8)</f>
        <v>0</v>
      </c>
      <c r="K336" s="25" t="s">
        <v>111</v>
      </c>
      <c r="L336" s="26" t="str">
        <f>IF(A336="","",IF(COUNTIF(Public_Holidays!$A$4:$A$80,A336)&gt;0,"Y","N"))</f>
        <v>N</v>
      </c>
      <c r="M336" s="26" t="str">
        <f t="shared" si="17"/>
        <v>Y</v>
      </c>
      <c r="N336" s="26" t="e">
        <f ca="1">IF(A336="","",_xludf.TEXTJOIN("; ",TRUE,IF(SUMIFS($J:$J,$C:$C,C336,$B:$B,B336)&gt;Settings!$B$9,"Weekly ordinary hrs &gt;45",""),IF(SUMIFS(Claims!$H:$H,Claims!$C:$C,C336,Claims!$B:$B,B336)&gt;Settings!$B$10,"Weekly OT &gt;10",""),IF(AND(G336&lt;&gt;"Off",COUNTIFS($C:$C,C336,$A:$A,A336-1,$G:$G,"Night")&gt;0),"Rest &lt;12h after night shift",""),IF(J336&gt;5,"Meal interval required","")))</f>
        <v>#NAME?</v>
      </c>
      <c r="O336" s="25" t="s">
        <v>112</v>
      </c>
      <c r="P336" s="25"/>
    </row>
    <row r="337" spans="1:16" x14ac:dyDescent="0.35">
      <c r="A337" s="31">
        <f>IF(16+1&lt;=Settings!$B$7,Settings!$B$6+16,"")</f>
        <v>46159</v>
      </c>
      <c r="B337" s="31">
        <f t="shared" si="15"/>
        <v>46153</v>
      </c>
      <c r="C337" s="26" t="str">
        <f>IF(Employees!A17="","",Employees!A17)</f>
        <v/>
      </c>
      <c r="D337" s="26" t="str">
        <f>IF(C337="","",Employees!B17)</f>
        <v/>
      </c>
      <c r="E337" s="26" t="str">
        <f>IF(C337="","",Employees!C17)</f>
        <v/>
      </c>
      <c r="F337" s="26">
        <f>IF(A337="","",MOD(A337-Settings!$B$6,4)+1)</f>
        <v>1</v>
      </c>
      <c r="G337" s="26" t="str">
        <f>IF(C337="","",INDEX(Rotation_Pattern!$B$4:$E$7,F337,MATCH(E337,{"A","B","C","D"},0)))</f>
        <v/>
      </c>
      <c r="H337" s="32" t="str">
        <f t="shared" si="16"/>
        <v/>
      </c>
      <c r="I337" s="32" t="str">
        <f>IF(OR(G337="Off",G337=""),"",H337+TIME(Settings!$B$8,0,0))</f>
        <v/>
      </c>
      <c r="J337" s="26">
        <f>IF(OR(G337="Off",G337=""),0,Settings!$B$8)</f>
        <v>0</v>
      </c>
      <c r="K337" s="25" t="s">
        <v>111</v>
      </c>
      <c r="L337" s="26" t="str">
        <f>IF(A337="","",IF(COUNTIF(Public_Holidays!$A$4:$A$80,A337)&gt;0,"Y","N"))</f>
        <v>N</v>
      </c>
      <c r="M337" s="26" t="str">
        <f t="shared" si="17"/>
        <v>Y</v>
      </c>
      <c r="N337" s="26" t="e">
        <f ca="1">IF(A337="","",_xludf.TEXTJOIN("; ",TRUE,IF(SUMIFS($J:$J,$C:$C,C337,$B:$B,B337)&gt;Settings!$B$9,"Weekly ordinary hrs &gt;45",""),IF(SUMIFS(Claims!$H:$H,Claims!$C:$C,C337,Claims!$B:$B,B337)&gt;Settings!$B$10,"Weekly OT &gt;10",""),IF(AND(G337&lt;&gt;"Off",COUNTIFS($C:$C,C337,$A:$A,A337-1,$G:$G,"Night")&gt;0),"Rest &lt;12h after night shift",""),IF(J337&gt;5,"Meal interval required","")))</f>
        <v>#NAME?</v>
      </c>
      <c r="O337" s="25" t="s">
        <v>112</v>
      </c>
      <c r="P337" s="25"/>
    </row>
    <row r="338" spans="1:16" x14ac:dyDescent="0.35">
      <c r="A338" s="31">
        <f>IF(16+1&lt;=Settings!$B$7,Settings!$B$6+16,"")</f>
        <v>46159</v>
      </c>
      <c r="B338" s="31">
        <f t="shared" si="15"/>
        <v>46153</v>
      </c>
      <c r="C338" s="26" t="str">
        <f>IF(Employees!A18="","",Employees!A18)</f>
        <v/>
      </c>
      <c r="D338" s="26" t="str">
        <f>IF(C338="","",Employees!B18)</f>
        <v/>
      </c>
      <c r="E338" s="26" t="str">
        <f>IF(C338="","",Employees!C18)</f>
        <v/>
      </c>
      <c r="F338" s="26">
        <f>IF(A338="","",MOD(A338-Settings!$B$6,4)+1)</f>
        <v>1</v>
      </c>
      <c r="G338" s="26" t="str">
        <f>IF(C338="","",INDEX(Rotation_Pattern!$B$4:$E$7,F338,MATCH(E338,{"A","B","C","D"},0)))</f>
        <v/>
      </c>
      <c r="H338" s="32" t="str">
        <f t="shared" si="16"/>
        <v/>
      </c>
      <c r="I338" s="32" t="str">
        <f>IF(OR(G338="Off",G338=""),"",H338+TIME(Settings!$B$8,0,0))</f>
        <v/>
      </c>
      <c r="J338" s="26">
        <f>IF(OR(G338="Off",G338=""),0,Settings!$B$8)</f>
        <v>0</v>
      </c>
      <c r="K338" s="25" t="s">
        <v>111</v>
      </c>
      <c r="L338" s="26" t="str">
        <f>IF(A338="","",IF(COUNTIF(Public_Holidays!$A$4:$A$80,A338)&gt;0,"Y","N"))</f>
        <v>N</v>
      </c>
      <c r="M338" s="26" t="str">
        <f t="shared" si="17"/>
        <v>Y</v>
      </c>
      <c r="N338" s="26" t="e">
        <f ca="1">IF(A338="","",_xludf.TEXTJOIN("; ",TRUE,IF(SUMIFS($J:$J,$C:$C,C338,$B:$B,B338)&gt;Settings!$B$9,"Weekly ordinary hrs &gt;45",""),IF(SUMIFS(Claims!$H:$H,Claims!$C:$C,C338,Claims!$B:$B,B338)&gt;Settings!$B$10,"Weekly OT &gt;10",""),IF(AND(G338&lt;&gt;"Off",COUNTIFS($C:$C,C338,$A:$A,A338-1,$G:$G,"Night")&gt;0),"Rest &lt;12h after night shift",""),IF(J338&gt;5,"Meal interval required","")))</f>
        <v>#NAME?</v>
      </c>
      <c r="O338" s="25" t="s">
        <v>112</v>
      </c>
      <c r="P338" s="25"/>
    </row>
    <row r="339" spans="1:16" x14ac:dyDescent="0.35">
      <c r="A339" s="31">
        <f>IF(16+1&lt;=Settings!$B$7,Settings!$B$6+16,"")</f>
        <v>46159</v>
      </c>
      <c r="B339" s="31">
        <f t="shared" si="15"/>
        <v>46153</v>
      </c>
      <c r="C339" s="26" t="str">
        <f>IF(Employees!A19="","",Employees!A19)</f>
        <v/>
      </c>
      <c r="D339" s="26" t="str">
        <f>IF(C339="","",Employees!B19)</f>
        <v/>
      </c>
      <c r="E339" s="26" t="str">
        <f>IF(C339="","",Employees!C19)</f>
        <v/>
      </c>
      <c r="F339" s="26">
        <f>IF(A339="","",MOD(A339-Settings!$B$6,4)+1)</f>
        <v>1</v>
      </c>
      <c r="G339" s="26" t="str">
        <f>IF(C339="","",INDEX(Rotation_Pattern!$B$4:$E$7,F339,MATCH(E339,{"A","B","C","D"},0)))</f>
        <v/>
      </c>
      <c r="H339" s="32" t="str">
        <f t="shared" si="16"/>
        <v/>
      </c>
      <c r="I339" s="32" t="str">
        <f>IF(OR(G339="Off",G339=""),"",H339+TIME(Settings!$B$8,0,0))</f>
        <v/>
      </c>
      <c r="J339" s="26">
        <f>IF(OR(G339="Off",G339=""),0,Settings!$B$8)</f>
        <v>0</v>
      </c>
      <c r="K339" s="25" t="s">
        <v>111</v>
      </c>
      <c r="L339" s="26" t="str">
        <f>IF(A339="","",IF(COUNTIF(Public_Holidays!$A$4:$A$80,A339)&gt;0,"Y","N"))</f>
        <v>N</v>
      </c>
      <c r="M339" s="26" t="str">
        <f t="shared" si="17"/>
        <v>Y</v>
      </c>
      <c r="N339" s="26" t="e">
        <f ca="1">IF(A339="","",_xludf.TEXTJOIN("; ",TRUE,IF(SUMIFS($J:$J,$C:$C,C339,$B:$B,B339)&gt;Settings!$B$9,"Weekly ordinary hrs &gt;45",""),IF(SUMIFS(Claims!$H:$H,Claims!$C:$C,C339,Claims!$B:$B,B339)&gt;Settings!$B$10,"Weekly OT &gt;10",""),IF(AND(G339&lt;&gt;"Off",COUNTIFS($C:$C,C339,$A:$A,A339-1,$G:$G,"Night")&gt;0),"Rest &lt;12h after night shift",""),IF(J339&gt;5,"Meal interval required","")))</f>
        <v>#NAME?</v>
      </c>
      <c r="O339" s="25" t="s">
        <v>112</v>
      </c>
      <c r="P339" s="25"/>
    </row>
    <row r="340" spans="1:16" x14ac:dyDescent="0.35">
      <c r="A340" s="31">
        <f>IF(16+1&lt;=Settings!$B$7,Settings!$B$6+16,"")</f>
        <v>46159</v>
      </c>
      <c r="B340" s="31">
        <f t="shared" si="15"/>
        <v>46153</v>
      </c>
      <c r="C340" s="26" t="str">
        <f>IF(Employees!A20="","",Employees!A20)</f>
        <v/>
      </c>
      <c r="D340" s="26" t="str">
        <f>IF(C340="","",Employees!B20)</f>
        <v/>
      </c>
      <c r="E340" s="26" t="str">
        <f>IF(C340="","",Employees!C20)</f>
        <v/>
      </c>
      <c r="F340" s="26">
        <f>IF(A340="","",MOD(A340-Settings!$B$6,4)+1)</f>
        <v>1</v>
      </c>
      <c r="G340" s="26" t="str">
        <f>IF(C340="","",INDEX(Rotation_Pattern!$B$4:$E$7,F340,MATCH(E340,{"A","B","C","D"},0)))</f>
        <v/>
      </c>
      <c r="H340" s="32" t="str">
        <f t="shared" si="16"/>
        <v/>
      </c>
      <c r="I340" s="32" t="str">
        <f>IF(OR(G340="Off",G340=""),"",H340+TIME(Settings!$B$8,0,0))</f>
        <v/>
      </c>
      <c r="J340" s="26">
        <f>IF(OR(G340="Off",G340=""),0,Settings!$B$8)</f>
        <v>0</v>
      </c>
      <c r="K340" s="25" t="s">
        <v>111</v>
      </c>
      <c r="L340" s="26" t="str">
        <f>IF(A340="","",IF(COUNTIF(Public_Holidays!$A$4:$A$80,A340)&gt;0,"Y","N"))</f>
        <v>N</v>
      </c>
      <c r="M340" s="26" t="str">
        <f t="shared" si="17"/>
        <v>Y</v>
      </c>
      <c r="N340" s="26" t="e">
        <f ca="1">IF(A340="","",_xludf.TEXTJOIN("; ",TRUE,IF(SUMIFS($J:$J,$C:$C,C340,$B:$B,B340)&gt;Settings!$B$9,"Weekly ordinary hrs &gt;45",""),IF(SUMIFS(Claims!$H:$H,Claims!$C:$C,C340,Claims!$B:$B,B340)&gt;Settings!$B$10,"Weekly OT &gt;10",""),IF(AND(G340&lt;&gt;"Off",COUNTIFS($C:$C,C340,$A:$A,A340-1,$G:$G,"Night")&gt;0),"Rest &lt;12h after night shift",""),IF(J340&gt;5,"Meal interval required","")))</f>
        <v>#NAME?</v>
      </c>
      <c r="O340" s="25" t="s">
        <v>112</v>
      </c>
      <c r="P340" s="25"/>
    </row>
    <row r="341" spans="1:16" x14ac:dyDescent="0.35">
      <c r="A341" s="31">
        <f>IF(16+1&lt;=Settings!$B$7,Settings!$B$6+16,"")</f>
        <v>46159</v>
      </c>
      <c r="B341" s="31">
        <f t="shared" si="15"/>
        <v>46153</v>
      </c>
      <c r="C341" s="26" t="str">
        <f>IF(Employees!A21="","",Employees!A21)</f>
        <v/>
      </c>
      <c r="D341" s="26" t="str">
        <f>IF(C341="","",Employees!B21)</f>
        <v/>
      </c>
      <c r="E341" s="26" t="str">
        <f>IF(C341="","",Employees!C21)</f>
        <v/>
      </c>
      <c r="F341" s="26">
        <f>IF(A341="","",MOD(A341-Settings!$B$6,4)+1)</f>
        <v>1</v>
      </c>
      <c r="G341" s="26" t="str">
        <f>IF(C341="","",INDEX(Rotation_Pattern!$B$4:$E$7,F341,MATCH(E341,{"A","B","C","D"},0)))</f>
        <v/>
      </c>
      <c r="H341" s="32" t="str">
        <f t="shared" si="16"/>
        <v/>
      </c>
      <c r="I341" s="32" t="str">
        <f>IF(OR(G341="Off",G341=""),"",H341+TIME(Settings!$B$8,0,0))</f>
        <v/>
      </c>
      <c r="J341" s="26">
        <f>IF(OR(G341="Off",G341=""),0,Settings!$B$8)</f>
        <v>0</v>
      </c>
      <c r="K341" s="25" t="s">
        <v>111</v>
      </c>
      <c r="L341" s="26" t="str">
        <f>IF(A341="","",IF(COUNTIF(Public_Holidays!$A$4:$A$80,A341)&gt;0,"Y","N"))</f>
        <v>N</v>
      </c>
      <c r="M341" s="26" t="str">
        <f t="shared" si="17"/>
        <v>Y</v>
      </c>
      <c r="N341" s="26" t="e">
        <f ca="1">IF(A341="","",_xludf.TEXTJOIN("; ",TRUE,IF(SUMIFS($J:$J,$C:$C,C341,$B:$B,B341)&gt;Settings!$B$9,"Weekly ordinary hrs &gt;45",""),IF(SUMIFS(Claims!$H:$H,Claims!$C:$C,C341,Claims!$B:$B,B341)&gt;Settings!$B$10,"Weekly OT &gt;10",""),IF(AND(G341&lt;&gt;"Off",COUNTIFS($C:$C,C341,$A:$A,A341-1,$G:$G,"Night")&gt;0),"Rest &lt;12h after night shift",""),IF(J341&gt;5,"Meal interval required","")))</f>
        <v>#NAME?</v>
      </c>
      <c r="O341" s="25" t="s">
        <v>112</v>
      </c>
      <c r="P341" s="25"/>
    </row>
    <row r="342" spans="1:16" x14ac:dyDescent="0.35">
      <c r="A342" s="31">
        <f>IF(16+1&lt;=Settings!$B$7,Settings!$B$6+16,"")</f>
        <v>46159</v>
      </c>
      <c r="B342" s="31">
        <f t="shared" si="15"/>
        <v>46153</v>
      </c>
      <c r="C342" s="26" t="str">
        <f>IF(Employees!A22="","",Employees!A22)</f>
        <v/>
      </c>
      <c r="D342" s="26" t="str">
        <f>IF(C342="","",Employees!B22)</f>
        <v/>
      </c>
      <c r="E342" s="26" t="str">
        <f>IF(C342="","",Employees!C22)</f>
        <v/>
      </c>
      <c r="F342" s="26">
        <f>IF(A342="","",MOD(A342-Settings!$B$6,4)+1)</f>
        <v>1</v>
      </c>
      <c r="G342" s="26" t="str">
        <f>IF(C342="","",INDEX(Rotation_Pattern!$B$4:$E$7,F342,MATCH(E342,{"A","B","C","D"},0)))</f>
        <v/>
      </c>
      <c r="H342" s="32" t="str">
        <f t="shared" si="16"/>
        <v/>
      </c>
      <c r="I342" s="32" t="str">
        <f>IF(OR(G342="Off",G342=""),"",H342+TIME(Settings!$B$8,0,0))</f>
        <v/>
      </c>
      <c r="J342" s="26">
        <f>IF(OR(G342="Off",G342=""),0,Settings!$B$8)</f>
        <v>0</v>
      </c>
      <c r="K342" s="25" t="s">
        <v>111</v>
      </c>
      <c r="L342" s="26" t="str">
        <f>IF(A342="","",IF(COUNTIF(Public_Holidays!$A$4:$A$80,A342)&gt;0,"Y","N"))</f>
        <v>N</v>
      </c>
      <c r="M342" s="26" t="str">
        <f t="shared" si="17"/>
        <v>Y</v>
      </c>
      <c r="N342" s="26" t="e">
        <f ca="1">IF(A342="","",_xludf.TEXTJOIN("; ",TRUE,IF(SUMIFS($J:$J,$C:$C,C342,$B:$B,B342)&gt;Settings!$B$9,"Weekly ordinary hrs &gt;45",""),IF(SUMIFS(Claims!$H:$H,Claims!$C:$C,C342,Claims!$B:$B,B342)&gt;Settings!$B$10,"Weekly OT &gt;10",""),IF(AND(G342&lt;&gt;"Off",COUNTIFS($C:$C,C342,$A:$A,A342-1,$G:$G,"Night")&gt;0),"Rest &lt;12h after night shift",""),IF(J342&gt;5,"Meal interval required","")))</f>
        <v>#NAME?</v>
      </c>
      <c r="O342" s="25" t="s">
        <v>112</v>
      </c>
      <c r="P342" s="25"/>
    </row>
    <row r="343" spans="1:16" x14ac:dyDescent="0.35">
      <c r="A343" s="31">
        <f>IF(16+1&lt;=Settings!$B$7,Settings!$B$6+16,"")</f>
        <v>46159</v>
      </c>
      <c r="B343" s="31">
        <f t="shared" si="15"/>
        <v>46153</v>
      </c>
      <c r="C343" s="26" t="str">
        <f>IF(Employees!A23="","",Employees!A23)</f>
        <v/>
      </c>
      <c r="D343" s="26" t="str">
        <f>IF(C343="","",Employees!B23)</f>
        <v/>
      </c>
      <c r="E343" s="26" t="str">
        <f>IF(C343="","",Employees!C23)</f>
        <v/>
      </c>
      <c r="F343" s="26">
        <f>IF(A343="","",MOD(A343-Settings!$B$6,4)+1)</f>
        <v>1</v>
      </c>
      <c r="G343" s="26" t="str">
        <f>IF(C343="","",INDEX(Rotation_Pattern!$B$4:$E$7,F343,MATCH(E343,{"A","B","C","D"},0)))</f>
        <v/>
      </c>
      <c r="H343" s="32" t="str">
        <f t="shared" si="16"/>
        <v/>
      </c>
      <c r="I343" s="32" t="str">
        <f>IF(OR(G343="Off",G343=""),"",H343+TIME(Settings!$B$8,0,0))</f>
        <v/>
      </c>
      <c r="J343" s="26">
        <f>IF(OR(G343="Off",G343=""),0,Settings!$B$8)</f>
        <v>0</v>
      </c>
      <c r="K343" s="25" t="s">
        <v>111</v>
      </c>
      <c r="L343" s="26" t="str">
        <f>IF(A343="","",IF(COUNTIF(Public_Holidays!$A$4:$A$80,A343)&gt;0,"Y","N"))</f>
        <v>N</v>
      </c>
      <c r="M343" s="26" t="str">
        <f t="shared" si="17"/>
        <v>Y</v>
      </c>
      <c r="N343" s="26" t="e">
        <f ca="1">IF(A343="","",_xludf.TEXTJOIN("; ",TRUE,IF(SUMIFS($J:$J,$C:$C,C343,$B:$B,B343)&gt;Settings!$B$9,"Weekly ordinary hrs &gt;45",""),IF(SUMIFS(Claims!$H:$H,Claims!$C:$C,C343,Claims!$B:$B,B343)&gt;Settings!$B$10,"Weekly OT &gt;10",""),IF(AND(G343&lt;&gt;"Off",COUNTIFS($C:$C,C343,$A:$A,A343-1,$G:$G,"Night")&gt;0),"Rest &lt;12h after night shift",""),IF(J343&gt;5,"Meal interval required","")))</f>
        <v>#NAME?</v>
      </c>
      <c r="O343" s="25" t="s">
        <v>112</v>
      </c>
      <c r="P343" s="25"/>
    </row>
    <row r="344" spans="1:16" x14ac:dyDescent="0.35">
      <c r="A344" s="31">
        <f>IF(17+1&lt;=Settings!$B$7,Settings!$B$6+17,"")</f>
        <v>46160</v>
      </c>
      <c r="B344" s="31">
        <f t="shared" si="15"/>
        <v>46160</v>
      </c>
      <c r="C344" s="26" t="str">
        <f>IF(Employees!A4="","",Employees!A4)</f>
        <v>E001</v>
      </c>
      <c r="D344" s="26" t="str">
        <f>IF(C344="","",Employees!B4)</f>
        <v>Musiwa Khavalani</v>
      </c>
      <c r="E344" s="26">
        <f>IF(C344="","",Employees!C4)</f>
        <v>0</v>
      </c>
      <c r="F344" s="26">
        <f>IF(A344="","",MOD(A344-Settings!$B$6,4)+1)</f>
        <v>2</v>
      </c>
      <c r="G344" s="26" t="e">
        <f>IF(C344="","",INDEX(Rotation_Pattern!$B$4:$E$7,F344,MATCH(E344,{"A","B","C","D"},0)))</f>
        <v>#N/A</v>
      </c>
      <c r="H344" s="32" t="e">
        <f t="shared" si="16"/>
        <v>#N/A</v>
      </c>
      <c r="I344" s="32" t="e">
        <f>IF(OR(G344="Off",G344=""),"",H344+TIME(Settings!$B$8,0,0))</f>
        <v>#N/A</v>
      </c>
      <c r="J344" s="26" t="e">
        <f>IF(OR(G344="Off",G344=""),0,Settings!$B$8)</f>
        <v>#N/A</v>
      </c>
      <c r="K344" s="25" t="s">
        <v>111</v>
      </c>
      <c r="L344" s="26" t="str">
        <f>IF(A344="","",IF(COUNTIF(Public_Holidays!$A$4:$A$80,A344)&gt;0,"Y","N"))</f>
        <v>N</v>
      </c>
      <c r="M344" s="26" t="str">
        <f t="shared" si="17"/>
        <v>N</v>
      </c>
      <c r="N344" s="26" t="e">
        <f ca="1">IF(A344="","",_xludf.TEXTJOIN("; ",TRUE,IF(SUMIFS($J:$J,$C:$C,C344,$B:$B,B344)&gt;Settings!$B$9,"Weekly ordinary hrs &gt;45",""),IF(SUMIFS(Claims!$H:$H,Claims!$C:$C,C344,Claims!$B:$B,B344)&gt;Settings!$B$10,"Weekly OT &gt;10",""),IF(AND(G344&lt;&gt;"Off",COUNTIFS($C:$C,C344,$A:$A,A344-1,$G:$G,"Night")&gt;0),"Rest &lt;12h after night shift",""),IF(J344&gt;5,"Meal interval required","")))</f>
        <v>#NAME?</v>
      </c>
      <c r="O344" s="25" t="s">
        <v>112</v>
      </c>
      <c r="P344" s="25"/>
    </row>
    <row r="345" spans="1:16" x14ac:dyDescent="0.35">
      <c r="A345" s="31">
        <f>IF(17+1&lt;=Settings!$B$7,Settings!$B$6+17,"")</f>
        <v>46160</v>
      </c>
      <c r="B345" s="31">
        <f t="shared" si="15"/>
        <v>46160</v>
      </c>
      <c r="C345" s="26" t="str">
        <f>IF(Employees!A5="","",Employees!A5)</f>
        <v>E002</v>
      </c>
      <c r="D345" s="26" t="str">
        <f>IF(C345="","",Employees!B5)</f>
        <v>Mpho  Nembemhia</v>
      </c>
      <c r="E345" s="26" t="str">
        <f>IF(C345="","",Employees!C5)</f>
        <v>B</v>
      </c>
      <c r="F345" s="26">
        <f>IF(A345="","",MOD(A345-Settings!$B$6,4)+1)</f>
        <v>2</v>
      </c>
      <c r="G345" s="26" t="str">
        <f>IF(C345="","",INDEX(Rotation_Pattern!$B$4:$E$7,F345,MATCH(E345,{"A","B","C","D"},0)))</f>
        <v>Day</v>
      </c>
      <c r="H345" s="32">
        <f t="shared" si="16"/>
        <v>0.25</v>
      </c>
      <c r="I345" s="32">
        <f>IF(OR(G345="Off",G345=""),"",H345+TIME(Settings!$B$8,0,0))</f>
        <v>0.58333333333333326</v>
      </c>
      <c r="J345" s="26">
        <f>IF(OR(G345="Off",G345=""),0,Settings!$B$8)</f>
        <v>8</v>
      </c>
      <c r="K345" s="25" t="s">
        <v>111</v>
      </c>
      <c r="L345" s="26" t="str">
        <f>IF(A345="","",IF(COUNTIF(Public_Holidays!$A$4:$A$80,A345)&gt;0,"Y","N"))</f>
        <v>N</v>
      </c>
      <c r="M345" s="26" t="str">
        <f t="shared" si="17"/>
        <v>N</v>
      </c>
      <c r="N345" s="26" t="e">
        <f ca="1">IF(A345="","",_xludf.TEXTJOIN("; ",TRUE,IF(SUMIFS($J:$J,$C:$C,C345,$B:$B,B345)&gt;Settings!$B$9,"Weekly ordinary hrs &gt;45",""),IF(SUMIFS(Claims!$H:$H,Claims!$C:$C,C345,Claims!$B:$B,B345)&gt;Settings!$B$10,"Weekly OT &gt;10",""),IF(AND(G345&lt;&gt;"Off",COUNTIFS($C:$C,C345,$A:$A,A345-1,$G:$G,"Night")&gt;0),"Rest &lt;12h after night shift",""),IF(J345&gt;5,"Meal interval required","")))</f>
        <v>#NAME?</v>
      </c>
      <c r="O345" s="25" t="s">
        <v>112</v>
      </c>
      <c r="P345" s="25"/>
    </row>
    <row r="346" spans="1:16" x14ac:dyDescent="0.35">
      <c r="A346" s="31">
        <f>IF(17+1&lt;=Settings!$B$7,Settings!$B$6+17,"")</f>
        <v>46160</v>
      </c>
      <c r="B346" s="31">
        <f t="shared" si="15"/>
        <v>46160</v>
      </c>
      <c r="C346" s="26" t="str">
        <f>IF(Employees!A6="","",Employees!A6)</f>
        <v>E003</v>
      </c>
      <c r="D346" s="26" t="str">
        <f>IF(C346="","",Employees!B6)</f>
        <v>Dimpho Makhafola</v>
      </c>
      <c r="E346" s="26" t="str">
        <f>IF(C346="","",Employees!C6)</f>
        <v>C</v>
      </c>
      <c r="F346" s="26">
        <f>IF(A346="","",MOD(A346-Settings!$B$6,4)+1)</f>
        <v>2</v>
      </c>
      <c r="G346" s="26" t="str">
        <f>IF(C346="","",INDEX(Rotation_Pattern!$B$4:$E$7,F346,MATCH(E346,{"A","B","C","D"},0)))</f>
        <v>Off</v>
      </c>
      <c r="H346" s="32" t="str">
        <f t="shared" si="16"/>
        <v/>
      </c>
      <c r="I346" s="32" t="str">
        <f>IF(OR(G346="Off",G346=""),"",H346+TIME(Settings!$B$8,0,0))</f>
        <v/>
      </c>
      <c r="J346" s="26">
        <f>IF(OR(G346="Off",G346=""),0,Settings!$B$8)</f>
        <v>0</v>
      </c>
      <c r="K346" s="25" t="s">
        <v>111</v>
      </c>
      <c r="L346" s="26" t="str">
        <f>IF(A346="","",IF(COUNTIF(Public_Holidays!$A$4:$A$80,A346)&gt;0,"Y","N"))</f>
        <v>N</v>
      </c>
      <c r="M346" s="26" t="str">
        <f t="shared" si="17"/>
        <v>N</v>
      </c>
      <c r="N346" s="26" t="e">
        <f ca="1">IF(A346="","",_xludf.TEXTJOIN("; ",TRUE,IF(SUMIFS($J:$J,$C:$C,C346,$B:$B,B346)&gt;Settings!$B$9,"Weekly ordinary hrs &gt;45",""),IF(SUMIFS(Claims!$H:$H,Claims!$C:$C,C346,Claims!$B:$B,B346)&gt;Settings!$B$10,"Weekly OT &gt;10",""),IF(AND(G346&lt;&gt;"Off",COUNTIFS($C:$C,C346,$A:$A,A346-1,$G:$G,"Night")&gt;0),"Rest &lt;12h after night shift",""),IF(J346&gt;5,"Meal interval required","")))</f>
        <v>#NAME?</v>
      </c>
      <c r="O346" s="25" t="s">
        <v>112</v>
      </c>
      <c r="P346" s="25"/>
    </row>
    <row r="347" spans="1:16" x14ac:dyDescent="0.35">
      <c r="A347" s="31">
        <f>IF(17+1&lt;=Settings!$B$7,Settings!$B$6+17,"")</f>
        <v>46160</v>
      </c>
      <c r="B347" s="31">
        <f t="shared" si="15"/>
        <v>46160</v>
      </c>
      <c r="C347" s="26" t="str">
        <f>IF(Employees!A7="","",Employees!A7)</f>
        <v>E004</v>
      </c>
      <c r="D347" s="26" t="str">
        <f>IF(C347="","",Employees!B7)</f>
        <v>Bashii Fall</v>
      </c>
      <c r="E347" s="26" t="str">
        <f>IF(C347="","",Employees!C7)</f>
        <v>D</v>
      </c>
      <c r="F347" s="26">
        <f>IF(A347="","",MOD(A347-Settings!$B$6,4)+1)</f>
        <v>2</v>
      </c>
      <c r="G347" s="26" t="str">
        <f>IF(C347="","",INDEX(Rotation_Pattern!$B$4:$E$7,F347,MATCH(E347,{"A","B","C","D"},0)))</f>
        <v>Night</v>
      </c>
      <c r="H347" s="32">
        <f t="shared" si="16"/>
        <v>0.91666666666666663</v>
      </c>
      <c r="I347" s="32">
        <f>IF(OR(G347="Off",G347=""),"",H347+TIME(Settings!$B$8,0,0))</f>
        <v>1.25</v>
      </c>
      <c r="J347" s="26">
        <f>IF(OR(G347="Off",G347=""),0,Settings!$B$8)</f>
        <v>8</v>
      </c>
      <c r="K347" s="25" t="s">
        <v>111</v>
      </c>
      <c r="L347" s="26" t="str">
        <f>IF(A347="","",IF(COUNTIF(Public_Holidays!$A$4:$A$80,A347)&gt;0,"Y","N"))</f>
        <v>N</v>
      </c>
      <c r="M347" s="26" t="str">
        <f t="shared" si="17"/>
        <v>N</v>
      </c>
      <c r="N347" s="26" t="e">
        <f ca="1">IF(A347="","",_xludf.TEXTJOIN("; ",TRUE,IF(SUMIFS($J:$J,$C:$C,C347,$B:$B,B347)&gt;Settings!$B$9,"Weekly ordinary hrs &gt;45",""),IF(SUMIFS(Claims!$H:$H,Claims!$C:$C,C347,Claims!$B:$B,B347)&gt;Settings!$B$10,"Weekly OT &gt;10",""),IF(AND(G347&lt;&gt;"Off",COUNTIFS($C:$C,C347,$A:$A,A347-1,$G:$G,"Night")&gt;0),"Rest &lt;12h after night shift",""),IF(J347&gt;5,"Meal interval required","")))</f>
        <v>#NAME?</v>
      </c>
      <c r="O347" s="25" t="s">
        <v>112</v>
      </c>
      <c r="P347" s="25"/>
    </row>
    <row r="348" spans="1:16" x14ac:dyDescent="0.35">
      <c r="A348" s="31">
        <f>IF(17+1&lt;=Settings!$B$7,Settings!$B$6+17,"")</f>
        <v>46160</v>
      </c>
      <c r="B348" s="31">
        <f t="shared" si="15"/>
        <v>46160</v>
      </c>
      <c r="C348" s="26" t="str">
        <f>IF(Employees!A8="","",Employees!A8)</f>
        <v>E005</v>
      </c>
      <c r="D348" s="26" t="str">
        <f>IF(C348="","",Employees!B8)</f>
        <v>Lesego Aphane</v>
      </c>
      <c r="E348" s="26" t="str">
        <f>IF(C348="","",Employees!C8)</f>
        <v>A</v>
      </c>
      <c r="F348" s="26">
        <f>IF(A348="","",MOD(A348-Settings!$B$6,4)+1)</f>
        <v>2</v>
      </c>
      <c r="G348" s="26" t="str">
        <f>IF(C348="","",INDEX(Rotation_Pattern!$B$4:$E$7,F348,MATCH(E348,{"A","B","C","D"},0)))</f>
        <v>Evening</v>
      </c>
      <c r="H348" s="32">
        <f t="shared" si="16"/>
        <v>0.58333333333333337</v>
      </c>
      <c r="I348" s="32">
        <f>IF(OR(G348="Off",G348=""),"",H348+TIME(Settings!$B$8,0,0))</f>
        <v>0.91666666666666674</v>
      </c>
      <c r="J348" s="26">
        <f>IF(OR(G348="Off",G348=""),0,Settings!$B$8)</f>
        <v>8</v>
      </c>
      <c r="K348" s="25" t="s">
        <v>111</v>
      </c>
      <c r="L348" s="26" t="str">
        <f>IF(A348="","",IF(COUNTIF(Public_Holidays!$A$4:$A$80,A348)&gt;0,"Y","N"))</f>
        <v>N</v>
      </c>
      <c r="M348" s="26" t="str">
        <f t="shared" si="17"/>
        <v>N</v>
      </c>
      <c r="N348" s="26" t="e">
        <f ca="1">IF(A348="","",_xludf.TEXTJOIN("; ",TRUE,IF(SUMIFS($J:$J,$C:$C,C348,$B:$B,B348)&gt;Settings!$B$9,"Weekly ordinary hrs &gt;45",""),IF(SUMIFS(Claims!$H:$H,Claims!$C:$C,C348,Claims!$B:$B,B348)&gt;Settings!$B$10,"Weekly OT &gt;10",""),IF(AND(G348&lt;&gt;"Off",COUNTIFS($C:$C,C348,$A:$A,A348-1,$G:$G,"Night")&gt;0),"Rest &lt;12h after night shift",""),IF(J348&gt;5,"Meal interval required","")))</f>
        <v>#NAME?</v>
      </c>
      <c r="O348" s="25" t="s">
        <v>112</v>
      </c>
      <c r="P348" s="25"/>
    </row>
    <row r="349" spans="1:16" x14ac:dyDescent="0.35">
      <c r="A349" s="31">
        <f>IF(17+1&lt;=Settings!$B$7,Settings!$B$6+17,"")</f>
        <v>46160</v>
      </c>
      <c r="B349" s="31">
        <f t="shared" si="15"/>
        <v>46160</v>
      </c>
      <c r="C349" s="26" t="str">
        <f>IF(Employees!A9="","",Employees!A9)</f>
        <v>E006</v>
      </c>
      <c r="D349" s="26" t="str">
        <f>IF(C349="","",Employees!B9)</f>
        <v>Nhalnahla</v>
      </c>
      <c r="E349" s="26" t="str">
        <f>IF(C349="","",Employees!C9)</f>
        <v>B</v>
      </c>
      <c r="F349" s="26">
        <f>IF(A349="","",MOD(A349-Settings!$B$6,4)+1)</f>
        <v>2</v>
      </c>
      <c r="G349" s="26" t="str">
        <f>IF(C349="","",INDEX(Rotation_Pattern!$B$4:$E$7,F349,MATCH(E349,{"A","B","C","D"},0)))</f>
        <v>Day</v>
      </c>
      <c r="H349" s="32">
        <f t="shared" si="16"/>
        <v>0.25</v>
      </c>
      <c r="I349" s="32">
        <f>IF(OR(G349="Off",G349=""),"",H349+TIME(Settings!$B$8,0,0))</f>
        <v>0.58333333333333326</v>
      </c>
      <c r="J349" s="26">
        <f>IF(OR(G349="Off",G349=""),0,Settings!$B$8)</f>
        <v>8</v>
      </c>
      <c r="K349" s="25" t="s">
        <v>111</v>
      </c>
      <c r="L349" s="26" t="str">
        <f>IF(A349="","",IF(COUNTIF(Public_Holidays!$A$4:$A$80,A349)&gt;0,"Y","N"))</f>
        <v>N</v>
      </c>
      <c r="M349" s="26" t="str">
        <f t="shared" si="17"/>
        <v>N</v>
      </c>
      <c r="N349" s="26" t="e">
        <f ca="1">IF(A349="","",_xludf.TEXTJOIN("; ",TRUE,IF(SUMIFS($J:$J,$C:$C,C349,$B:$B,B349)&gt;Settings!$B$9,"Weekly ordinary hrs &gt;45",""),IF(SUMIFS(Claims!$H:$H,Claims!$C:$C,C349,Claims!$B:$B,B349)&gt;Settings!$B$10,"Weekly OT &gt;10",""),IF(AND(G349&lt;&gt;"Off",COUNTIFS($C:$C,C349,$A:$A,A349-1,$G:$G,"Night")&gt;0),"Rest &lt;12h after night shift",""),IF(J349&gt;5,"Meal interval required","")))</f>
        <v>#NAME?</v>
      </c>
      <c r="O349" s="25" t="s">
        <v>112</v>
      </c>
      <c r="P349" s="25"/>
    </row>
    <row r="350" spans="1:16" x14ac:dyDescent="0.35">
      <c r="A350" s="31">
        <f>IF(17+1&lt;=Settings!$B$7,Settings!$B$6+17,"")</f>
        <v>46160</v>
      </c>
      <c r="B350" s="31">
        <f t="shared" si="15"/>
        <v>46160</v>
      </c>
      <c r="C350" s="26" t="str">
        <f>IF(Employees!A10="","",Employees!A10)</f>
        <v>E007</v>
      </c>
      <c r="D350" s="26" t="str">
        <f>IF(C350="","",Employees!B10)</f>
        <v>Joe</v>
      </c>
      <c r="E350" s="26" t="str">
        <f>IF(C350="","",Employees!C10)</f>
        <v>C</v>
      </c>
      <c r="F350" s="26">
        <f>IF(A350="","",MOD(A350-Settings!$B$6,4)+1)</f>
        <v>2</v>
      </c>
      <c r="G350" s="26" t="str">
        <f>IF(C350="","",INDEX(Rotation_Pattern!$B$4:$E$7,F350,MATCH(E350,{"A","B","C","D"},0)))</f>
        <v>Off</v>
      </c>
      <c r="H350" s="32" t="str">
        <f t="shared" si="16"/>
        <v/>
      </c>
      <c r="I350" s="32" t="str">
        <f>IF(OR(G350="Off",G350=""),"",H350+TIME(Settings!$B$8,0,0))</f>
        <v/>
      </c>
      <c r="J350" s="26">
        <f>IF(OR(G350="Off",G350=""),0,Settings!$B$8)</f>
        <v>0</v>
      </c>
      <c r="K350" s="25" t="s">
        <v>111</v>
      </c>
      <c r="L350" s="26" t="str">
        <f>IF(A350="","",IF(COUNTIF(Public_Holidays!$A$4:$A$80,A350)&gt;0,"Y","N"))</f>
        <v>N</v>
      </c>
      <c r="M350" s="26" t="str">
        <f t="shared" si="17"/>
        <v>N</v>
      </c>
      <c r="N350" s="26" t="e">
        <f ca="1">IF(A350="","",_xludf.TEXTJOIN("; ",TRUE,IF(SUMIFS($J:$J,$C:$C,C350,$B:$B,B350)&gt;Settings!$B$9,"Weekly ordinary hrs &gt;45",""),IF(SUMIFS(Claims!$H:$H,Claims!$C:$C,C350,Claims!$B:$B,B350)&gt;Settings!$B$10,"Weekly OT &gt;10",""),IF(AND(G350&lt;&gt;"Off",COUNTIFS($C:$C,C350,$A:$A,A350-1,$G:$G,"Night")&gt;0),"Rest &lt;12h after night shift",""),IF(J350&gt;5,"Meal interval required","")))</f>
        <v>#NAME?</v>
      </c>
      <c r="O350" s="25" t="s">
        <v>112</v>
      </c>
      <c r="P350" s="25"/>
    </row>
    <row r="351" spans="1:16" x14ac:dyDescent="0.35">
      <c r="A351" s="31">
        <f>IF(17+1&lt;=Settings!$B$7,Settings!$B$6+17,"")</f>
        <v>46160</v>
      </c>
      <c r="B351" s="31">
        <f t="shared" si="15"/>
        <v>46160</v>
      </c>
      <c r="C351" s="26" t="str">
        <f>IF(Employees!A11="","",Employees!A11)</f>
        <v>E008</v>
      </c>
      <c r="D351" s="26" t="str">
        <f>IF(C351="","",Employees!B11)</f>
        <v>Tim</v>
      </c>
      <c r="E351" s="26" t="str">
        <f>IF(C351="","",Employees!C11)</f>
        <v>D</v>
      </c>
      <c r="F351" s="26">
        <f>IF(A351="","",MOD(A351-Settings!$B$6,4)+1)</f>
        <v>2</v>
      </c>
      <c r="G351" s="26" t="str">
        <f>IF(C351="","",INDEX(Rotation_Pattern!$B$4:$E$7,F351,MATCH(E351,{"A","B","C","D"},0)))</f>
        <v>Night</v>
      </c>
      <c r="H351" s="32">
        <f t="shared" si="16"/>
        <v>0.91666666666666663</v>
      </c>
      <c r="I351" s="32">
        <f>IF(OR(G351="Off",G351=""),"",H351+TIME(Settings!$B$8,0,0))</f>
        <v>1.25</v>
      </c>
      <c r="J351" s="26">
        <f>IF(OR(G351="Off",G351=""),0,Settings!$B$8)</f>
        <v>8</v>
      </c>
      <c r="K351" s="25" t="s">
        <v>111</v>
      </c>
      <c r="L351" s="26" t="str">
        <f>IF(A351="","",IF(COUNTIF(Public_Holidays!$A$4:$A$80,A351)&gt;0,"Y","N"))</f>
        <v>N</v>
      </c>
      <c r="M351" s="26" t="str">
        <f t="shared" si="17"/>
        <v>N</v>
      </c>
      <c r="N351" s="26" t="e">
        <f ca="1">IF(A351="","",_xludf.TEXTJOIN("; ",TRUE,IF(SUMIFS($J:$J,$C:$C,C351,$B:$B,B351)&gt;Settings!$B$9,"Weekly ordinary hrs &gt;45",""),IF(SUMIFS(Claims!$H:$H,Claims!$C:$C,C351,Claims!$B:$B,B351)&gt;Settings!$B$10,"Weekly OT &gt;10",""),IF(AND(G351&lt;&gt;"Off",COUNTIFS($C:$C,C351,$A:$A,A351-1,$G:$G,"Night")&gt;0),"Rest &lt;12h after night shift",""),IF(J351&gt;5,"Meal interval required","")))</f>
        <v>#NAME?</v>
      </c>
      <c r="O351" s="25" t="s">
        <v>112</v>
      </c>
      <c r="P351" s="25"/>
    </row>
    <row r="352" spans="1:16" x14ac:dyDescent="0.35">
      <c r="A352" s="31">
        <f>IF(17+1&lt;=Settings!$B$7,Settings!$B$6+17,"")</f>
        <v>46160</v>
      </c>
      <c r="B352" s="31">
        <f t="shared" si="15"/>
        <v>46160</v>
      </c>
      <c r="C352" s="26" t="str">
        <f>IF(Employees!A12="","",Employees!A12)</f>
        <v>E009</v>
      </c>
      <c r="D352" s="26" t="str">
        <f>IF(C352="","",Employees!B12)</f>
        <v>Frank</v>
      </c>
      <c r="E352" s="26" t="str">
        <f>IF(C352="","",Employees!C12)</f>
        <v>A</v>
      </c>
      <c r="F352" s="26">
        <f>IF(A352="","",MOD(A352-Settings!$B$6,4)+1)</f>
        <v>2</v>
      </c>
      <c r="G352" s="26" t="str">
        <f>IF(C352="","",INDEX(Rotation_Pattern!$B$4:$E$7,F352,MATCH(E352,{"A","B","C","D"},0)))</f>
        <v>Evening</v>
      </c>
      <c r="H352" s="32">
        <f t="shared" si="16"/>
        <v>0.58333333333333337</v>
      </c>
      <c r="I352" s="32">
        <f>IF(OR(G352="Off",G352=""),"",H352+TIME(Settings!$B$8,0,0))</f>
        <v>0.91666666666666674</v>
      </c>
      <c r="J352" s="26">
        <f>IF(OR(G352="Off",G352=""),0,Settings!$B$8)</f>
        <v>8</v>
      </c>
      <c r="K352" s="25" t="s">
        <v>111</v>
      </c>
      <c r="L352" s="26" t="str">
        <f>IF(A352="","",IF(COUNTIF(Public_Holidays!$A$4:$A$80,A352)&gt;0,"Y","N"))</f>
        <v>N</v>
      </c>
      <c r="M352" s="26" t="str">
        <f t="shared" si="17"/>
        <v>N</v>
      </c>
      <c r="N352" s="26" t="e">
        <f ca="1">IF(A352="","",_xludf.TEXTJOIN("; ",TRUE,IF(SUMIFS($J:$J,$C:$C,C352,$B:$B,B352)&gt;Settings!$B$9,"Weekly ordinary hrs &gt;45",""),IF(SUMIFS(Claims!$H:$H,Claims!$C:$C,C352,Claims!$B:$B,B352)&gt;Settings!$B$10,"Weekly OT &gt;10",""),IF(AND(G352&lt;&gt;"Off",COUNTIFS($C:$C,C352,$A:$A,A352-1,$G:$G,"Night")&gt;0),"Rest &lt;12h after night shift",""),IF(J352&gt;5,"Meal interval required","")))</f>
        <v>#NAME?</v>
      </c>
      <c r="O352" s="25" t="s">
        <v>112</v>
      </c>
      <c r="P352" s="25"/>
    </row>
    <row r="353" spans="1:16" x14ac:dyDescent="0.35">
      <c r="A353" s="31">
        <f>IF(17+1&lt;=Settings!$B$7,Settings!$B$6+17,"")</f>
        <v>46160</v>
      </c>
      <c r="B353" s="31">
        <f t="shared" si="15"/>
        <v>46160</v>
      </c>
      <c r="C353" s="26" t="str">
        <f>IF(Employees!A13="","",Employees!A13)</f>
        <v/>
      </c>
      <c r="D353" s="26" t="str">
        <f>IF(C353="","",Employees!B13)</f>
        <v/>
      </c>
      <c r="E353" s="26" t="str">
        <f>IF(C353="","",Employees!C13)</f>
        <v/>
      </c>
      <c r="F353" s="26">
        <f>IF(A353="","",MOD(A353-Settings!$B$6,4)+1)</f>
        <v>2</v>
      </c>
      <c r="G353" s="26" t="str">
        <f>IF(C353="","",INDEX(Rotation_Pattern!$B$4:$E$7,F353,MATCH(E353,{"A","B","C","D"},0)))</f>
        <v/>
      </c>
      <c r="H353" s="32" t="str">
        <f t="shared" si="16"/>
        <v/>
      </c>
      <c r="I353" s="32" t="str">
        <f>IF(OR(G353="Off",G353=""),"",H353+TIME(Settings!$B$8,0,0))</f>
        <v/>
      </c>
      <c r="J353" s="26">
        <f>IF(OR(G353="Off",G353=""),0,Settings!$B$8)</f>
        <v>0</v>
      </c>
      <c r="K353" s="25" t="s">
        <v>111</v>
      </c>
      <c r="L353" s="26" t="str">
        <f>IF(A353="","",IF(COUNTIF(Public_Holidays!$A$4:$A$80,A353)&gt;0,"Y","N"))</f>
        <v>N</v>
      </c>
      <c r="M353" s="26" t="str">
        <f t="shared" si="17"/>
        <v>N</v>
      </c>
      <c r="N353" s="26" t="e">
        <f ca="1">IF(A353="","",_xludf.TEXTJOIN("; ",TRUE,IF(SUMIFS($J:$J,$C:$C,C353,$B:$B,B353)&gt;Settings!$B$9,"Weekly ordinary hrs &gt;45",""),IF(SUMIFS(Claims!$H:$H,Claims!$C:$C,C353,Claims!$B:$B,B353)&gt;Settings!$B$10,"Weekly OT &gt;10",""),IF(AND(G353&lt;&gt;"Off",COUNTIFS($C:$C,C353,$A:$A,A353-1,$G:$G,"Night")&gt;0),"Rest &lt;12h after night shift",""),IF(J353&gt;5,"Meal interval required","")))</f>
        <v>#NAME?</v>
      </c>
      <c r="O353" s="25" t="s">
        <v>112</v>
      </c>
      <c r="P353" s="25"/>
    </row>
    <row r="354" spans="1:16" x14ac:dyDescent="0.35">
      <c r="A354" s="31">
        <f>IF(17+1&lt;=Settings!$B$7,Settings!$B$6+17,"")</f>
        <v>46160</v>
      </c>
      <c r="B354" s="31">
        <f t="shared" si="15"/>
        <v>46160</v>
      </c>
      <c r="C354" s="26" t="str">
        <f>IF(Employees!A14="","",Employees!A14)</f>
        <v/>
      </c>
      <c r="D354" s="26" t="str">
        <f>IF(C354="","",Employees!B14)</f>
        <v/>
      </c>
      <c r="E354" s="26" t="str">
        <f>IF(C354="","",Employees!C14)</f>
        <v/>
      </c>
      <c r="F354" s="26">
        <f>IF(A354="","",MOD(A354-Settings!$B$6,4)+1)</f>
        <v>2</v>
      </c>
      <c r="G354" s="26" t="str">
        <f>IF(C354="","",INDEX(Rotation_Pattern!$B$4:$E$7,F354,MATCH(E354,{"A","B","C","D"},0)))</f>
        <v/>
      </c>
      <c r="H354" s="32" t="str">
        <f t="shared" si="16"/>
        <v/>
      </c>
      <c r="I354" s="32" t="str">
        <f>IF(OR(G354="Off",G354=""),"",H354+TIME(Settings!$B$8,0,0))</f>
        <v/>
      </c>
      <c r="J354" s="26">
        <f>IF(OR(G354="Off",G354=""),0,Settings!$B$8)</f>
        <v>0</v>
      </c>
      <c r="K354" s="25" t="s">
        <v>111</v>
      </c>
      <c r="L354" s="26" t="str">
        <f>IF(A354="","",IF(COUNTIF(Public_Holidays!$A$4:$A$80,A354)&gt;0,"Y","N"))</f>
        <v>N</v>
      </c>
      <c r="M354" s="26" t="str">
        <f t="shared" si="17"/>
        <v>N</v>
      </c>
      <c r="N354" s="26" t="e">
        <f ca="1">IF(A354="","",_xludf.TEXTJOIN("; ",TRUE,IF(SUMIFS($J:$J,$C:$C,C354,$B:$B,B354)&gt;Settings!$B$9,"Weekly ordinary hrs &gt;45",""),IF(SUMIFS(Claims!$H:$H,Claims!$C:$C,C354,Claims!$B:$B,B354)&gt;Settings!$B$10,"Weekly OT &gt;10",""),IF(AND(G354&lt;&gt;"Off",COUNTIFS($C:$C,C354,$A:$A,A354-1,$G:$G,"Night")&gt;0),"Rest &lt;12h after night shift",""),IF(J354&gt;5,"Meal interval required","")))</f>
        <v>#NAME?</v>
      </c>
      <c r="O354" s="25" t="s">
        <v>112</v>
      </c>
      <c r="P354" s="25"/>
    </row>
    <row r="355" spans="1:16" x14ac:dyDescent="0.35">
      <c r="A355" s="31">
        <f>IF(17+1&lt;=Settings!$B$7,Settings!$B$6+17,"")</f>
        <v>46160</v>
      </c>
      <c r="B355" s="31">
        <f t="shared" si="15"/>
        <v>46160</v>
      </c>
      <c r="C355" s="26" t="str">
        <f>IF(Employees!A15="","",Employees!A15)</f>
        <v/>
      </c>
      <c r="D355" s="26" t="str">
        <f>IF(C355="","",Employees!B15)</f>
        <v/>
      </c>
      <c r="E355" s="26" t="str">
        <f>IF(C355="","",Employees!C15)</f>
        <v/>
      </c>
      <c r="F355" s="26">
        <f>IF(A355="","",MOD(A355-Settings!$B$6,4)+1)</f>
        <v>2</v>
      </c>
      <c r="G355" s="26" t="str">
        <f>IF(C355="","",INDEX(Rotation_Pattern!$B$4:$E$7,F355,MATCH(E355,{"A","B","C","D"},0)))</f>
        <v/>
      </c>
      <c r="H355" s="32" t="str">
        <f t="shared" si="16"/>
        <v/>
      </c>
      <c r="I355" s="32" t="str">
        <f>IF(OR(G355="Off",G355=""),"",H355+TIME(Settings!$B$8,0,0))</f>
        <v/>
      </c>
      <c r="J355" s="26">
        <f>IF(OR(G355="Off",G355=""),0,Settings!$B$8)</f>
        <v>0</v>
      </c>
      <c r="K355" s="25" t="s">
        <v>111</v>
      </c>
      <c r="L355" s="26" t="str">
        <f>IF(A355="","",IF(COUNTIF(Public_Holidays!$A$4:$A$80,A355)&gt;0,"Y","N"))</f>
        <v>N</v>
      </c>
      <c r="M355" s="26" t="str">
        <f t="shared" si="17"/>
        <v>N</v>
      </c>
      <c r="N355" s="26" t="e">
        <f ca="1">IF(A355="","",_xludf.TEXTJOIN("; ",TRUE,IF(SUMIFS($J:$J,$C:$C,C355,$B:$B,B355)&gt;Settings!$B$9,"Weekly ordinary hrs &gt;45",""),IF(SUMIFS(Claims!$H:$H,Claims!$C:$C,C355,Claims!$B:$B,B355)&gt;Settings!$B$10,"Weekly OT &gt;10",""),IF(AND(G355&lt;&gt;"Off",COUNTIFS($C:$C,C355,$A:$A,A355-1,$G:$G,"Night")&gt;0),"Rest &lt;12h after night shift",""),IF(J355&gt;5,"Meal interval required","")))</f>
        <v>#NAME?</v>
      </c>
      <c r="O355" s="25" t="s">
        <v>112</v>
      </c>
      <c r="P355" s="25"/>
    </row>
    <row r="356" spans="1:16" x14ac:dyDescent="0.35">
      <c r="A356" s="31">
        <f>IF(17+1&lt;=Settings!$B$7,Settings!$B$6+17,"")</f>
        <v>46160</v>
      </c>
      <c r="B356" s="31">
        <f t="shared" si="15"/>
        <v>46160</v>
      </c>
      <c r="C356" s="26" t="str">
        <f>IF(Employees!A16="","",Employees!A16)</f>
        <v/>
      </c>
      <c r="D356" s="26" t="str">
        <f>IF(C356="","",Employees!B16)</f>
        <v/>
      </c>
      <c r="E356" s="26" t="str">
        <f>IF(C356="","",Employees!C16)</f>
        <v/>
      </c>
      <c r="F356" s="26">
        <f>IF(A356="","",MOD(A356-Settings!$B$6,4)+1)</f>
        <v>2</v>
      </c>
      <c r="G356" s="26" t="str">
        <f>IF(C356="","",INDEX(Rotation_Pattern!$B$4:$E$7,F356,MATCH(E356,{"A","B","C","D"},0)))</f>
        <v/>
      </c>
      <c r="H356" s="32" t="str">
        <f t="shared" si="16"/>
        <v/>
      </c>
      <c r="I356" s="32" t="str">
        <f>IF(OR(G356="Off",G356=""),"",H356+TIME(Settings!$B$8,0,0))</f>
        <v/>
      </c>
      <c r="J356" s="26">
        <f>IF(OR(G356="Off",G356=""),0,Settings!$B$8)</f>
        <v>0</v>
      </c>
      <c r="K356" s="25" t="s">
        <v>111</v>
      </c>
      <c r="L356" s="26" t="str">
        <f>IF(A356="","",IF(COUNTIF(Public_Holidays!$A$4:$A$80,A356)&gt;0,"Y","N"))</f>
        <v>N</v>
      </c>
      <c r="M356" s="26" t="str">
        <f t="shared" si="17"/>
        <v>N</v>
      </c>
      <c r="N356" s="26" t="e">
        <f ca="1">IF(A356="","",_xludf.TEXTJOIN("; ",TRUE,IF(SUMIFS($J:$J,$C:$C,C356,$B:$B,B356)&gt;Settings!$B$9,"Weekly ordinary hrs &gt;45",""),IF(SUMIFS(Claims!$H:$H,Claims!$C:$C,C356,Claims!$B:$B,B356)&gt;Settings!$B$10,"Weekly OT &gt;10",""),IF(AND(G356&lt;&gt;"Off",COUNTIFS($C:$C,C356,$A:$A,A356-1,$G:$G,"Night")&gt;0),"Rest &lt;12h after night shift",""),IF(J356&gt;5,"Meal interval required","")))</f>
        <v>#NAME?</v>
      </c>
      <c r="O356" s="25" t="s">
        <v>112</v>
      </c>
      <c r="P356" s="25"/>
    </row>
    <row r="357" spans="1:16" x14ac:dyDescent="0.35">
      <c r="A357" s="31">
        <f>IF(17+1&lt;=Settings!$B$7,Settings!$B$6+17,"")</f>
        <v>46160</v>
      </c>
      <c r="B357" s="31">
        <f t="shared" si="15"/>
        <v>46160</v>
      </c>
      <c r="C357" s="26" t="str">
        <f>IF(Employees!A17="","",Employees!A17)</f>
        <v/>
      </c>
      <c r="D357" s="26" t="str">
        <f>IF(C357="","",Employees!B17)</f>
        <v/>
      </c>
      <c r="E357" s="26" t="str">
        <f>IF(C357="","",Employees!C17)</f>
        <v/>
      </c>
      <c r="F357" s="26">
        <f>IF(A357="","",MOD(A357-Settings!$B$6,4)+1)</f>
        <v>2</v>
      </c>
      <c r="G357" s="26" t="str">
        <f>IF(C357="","",INDEX(Rotation_Pattern!$B$4:$E$7,F357,MATCH(E357,{"A","B","C","D"},0)))</f>
        <v/>
      </c>
      <c r="H357" s="32" t="str">
        <f t="shared" si="16"/>
        <v/>
      </c>
      <c r="I357" s="32" t="str">
        <f>IF(OR(G357="Off",G357=""),"",H357+TIME(Settings!$B$8,0,0))</f>
        <v/>
      </c>
      <c r="J357" s="26">
        <f>IF(OR(G357="Off",G357=""),0,Settings!$B$8)</f>
        <v>0</v>
      </c>
      <c r="K357" s="25" t="s">
        <v>111</v>
      </c>
      <c r="L357" s="26" t="str">
        <f>IF(A357="","",IF(COUNTIF(Public_Holidays!$A$4:$A$80,A357)&gt;0,"Y","N"))</f>
        <v>N</v>
      </c>
      <c r="M357" s="26" t="str">
        <f t="shared" si="17"/>
        <v>N</v>
      </c>
      <c r="N357" s="26" t="e">
        <f ca="1">IF(A357="","",_xludf.TEXTJOIN("; ",TRUE,IF(SUMIFS($J:$J,$C:$C,C357,$B:$B,B357)&gt;Settings!$B$9,"Weekly ordinary hrs &gt;45",""),IF(SUMIFS(Claims!$H:$H,Claims!$C:$C,C357,Claims!$B:$B,B357)&gt;Settings!$B$10,"Weekly OT &gt;10",""),IF(AND(G357&lt;&gt;"Off",COUNTIFS($C:$C,C357,$A:$A,A357-1,$G:$G,"Night")&gt;0),"Rest &lt;12h after night shift",""),IF(J357&gt;5,"Meal interval required","")))</f>
        <v>#NAME?</v>
      </c>
      <c r="O357" s="25" t="s">
        <v>112</v>
      </c>
      <c r="P357" s="25"/>
    </row>
    <row r="358" spans="1:16" x14ac:dyDescent="0.35">
      <c r="A358" s="31">
        <f>IF(17+1&lt;=Settings!$B$7,Settings!$B$6+17,"")</f>
        <v>46160</v>
      </c>
      <c r="B358" s="31">
        <f t="shared" si="15"/>
        <v>46160</v>
      </c>
      <c r="C358" s="26" t="str">
        <f>IF(Employees!A18="","",Employees!A18)</f>
        <v/>
      </c>
      <c r="D358" s="26" t="str">
        <f>IF(C358="","",Employees!B18)</f>
        <v/>
      </c>
      <c r="E358" s="26" t="str">
        <f>IF(C358="","",Employees!C18)</f>
        <v/>
      </c>
      <c r="F358" s="26">
        <f>IF(A358="","",MOD(A358-Settings!$B$6,4)+1)</f>
        <v>2</v>
      </c>
      <c r="G358" s="26" t="str">
        <f>IF(C358="","",INDEX(Rotation_Pattern!$B$4:$E$7,F358,MATCH(E358,{"A","B","C","D"},0)))</f>
        <v/>
      </c>
      <c r="H358" s="32" t="str">
        <f t="shared" si="16"/>
        <v/>
      </c>
      <c r="I358" s="32" t="str">
        <f>IF(OR(G358="Off",G358=""),"",H358+TIME(Settings!$B$8,0,0))</f>
        <v/>
      </c>
      <c r="J358" s="26">
        <f>IF(OR(G358="Off",G358=""),0,Settings!$B$8)</f>
        <v>0</v>
      </c>
      <c r="K358" s="25" t="s">
        <v>111</v>
      </c>
      <c r="L358" s="26" t="str">
        <f>IF(A358="","",IF(COUNTIF(Public_Holidays!$A$4:$A$80,A358)&gt;0,"Y","N"))</f>
        <v>N</v>
      </c>
      <c r="M358" s="26" t="str">
        <f t="shared" si="17"/>
        <v>N</v>
      </c>
      <c r="N358" s="26" t="e">
        <f ca="1">IF(A358="","",_xludf.TEXTJOIN("; ",TRUE,IF(SUMIFS($J:$J,$C:$C,C358,$B:$B,B358)&gt;Settings!$B$9,"Weekly ordinary hrs &gt;45",""),IF(SUMIFS(Claims!$H:$H,Claims!$C:$C,C358,Claims!$B:$B,B358)&gt;Settings!$B$10,"Weekly OT &gt;10",""),IF(AND(G358&lt;&gt;"Off",COUNTIFS($C:$C,C358,$A:$A,A358-1,$G:$G,"Night")&gt;0),"Rest &lt;12h after night shift",""),IF(J358&gt;5,"Meal interval required","")))</f>
        <v>#NAME?</v>
      </c>
      <c r="O358" s="25" t="s">
        <v>112</v>
      </c>
      <c r="P358" s="25"/>
    </row>
    <row r="359" spans="1:16" x14ac:dyDescent="0.35">
      <c r="A359" s="31">
        <f>IF(17+1&lt;=Settings!$B$7,Settings!$B$6+17,"")</f>
        <v>46160</v>
      </c>
      <c r="B359" s="31">
        <f t="shared" si="15"/>
        <v>46160</v>
      </c>
      <c r="C359" s="26" t="str">
        <f>IF(Employees!A19="","",Employees!A19)</f>
        <v/>
      </c>
      <c r="D359" s="26" t="str">
        <f>IF(C359="","",Employees!B19)</f>
        <v/>
      </c>
      <c r="E359" s="26" t="str">
        <f>IF(C359="","",Employees!C19)</f>
        <v/>
      </c>
      <c r="F359" s="26">
        <f>IF(A359="","",MOD(A359-Settings!$B$6,4)+1)</f>
        <v>2</v>
      </c>
      <c r="G359" s="26" t="str">
        <f>IF(C359="","",INDEX(Rotation_Pattern!$B$4:$E$7,F359,MATCH(E359,{"A","B","C","D"},0)))</f>
        <v/>
      </c>
      <c r="H359" s="32" t="str">
        <f t="shared" si="16"/>
        <v/>
      </c>
      <c r="I359" s="32" t="str">
        <f>IF(OR(G359="Off",G359=""),"",H359+TIME(Settings!$B$8,0,0))</f>
        <v/>
      </c>
      <c r="J359" s="26">
        <f>IF(OR(G359="Off",G359=""),0,Settings!$B$8)</f>
        <v>0</v>
      </c>
      <c r="K359" s="25" t="s">
        <v>111</v>
      </c>
      <c r="L359" s="26" t="str">
        <f>IF(A359="","",IF(COUNTIF(Public_Holidays!$A$4:$A$80,A359)&gt;0,"Y","N"))</f>
        <v>N</v>
      </c>
      <c r="M359" s="26" t="str">
        <f t="shared" si="17"/>
        <v>N</v>
      </c>
      <c r="N359" s="26" t="e">
        <f ca="1">IF(A359="","",_xludf.TEXTJOIN("; ",TRUE,IF(SUMIFS($J:$J,$C:$C,C359,$B:$B,B359)&gt;Settings!$B$9,"Weekly ordinary hrs &gt;45",""),IF(SUMIFS(Claims!$H:$H,Claims!$C:$C,C359,Claims!$B:$B,B359)&gt;Settings!$B$10,"Weekly OT &gt;10",""),IF(AND(G359&lt;&gt;"Off",COUNTIFS($C:$C,C359,$A:$A,A359-1,$G:$G,"Night")&gt;0),"Rest &lt;12h after night shift",""),IF(J359&gt;5,"Meal interval required","")))</f>
        <v>#NAME?</v>
      </c>
      <c r="O359" s="25" t="s">
        <v>112</v>
      </c>
      <c r="P359" s="25"/>
    </row>
    <row r="360" spans="1:16" x14ac:dyDescent="0.35">
      <c r="A360" s="31">
        <f>IF(17+1&lt;=Settings!$B$7,Settings!$B$6+17,"")</f>
        <v>46160</v>
      </c>
      <c r="B360" s="31">
        <f t="shared" si="15"/>
        <v>46160</v>
      </c>
      <c r="C360" s="26" t="str">
        <f>IF(Employees!A20="","",Employees!A20)</f>
        <v/>
      </c>
      <c r="D360" s="26" t="str">
        <f>IF(C360="","",Employees!B20)</f>
        <v/>
      </c>
      <c r="E360" s="26" t="str">
        <f>IF(C360="","",Employees!C20)</f>
        <v/>
      </c>
      <c r="F360" s="26">
        <f>IF(A360="","",MOD(A360-Settings!$B$6,4)+1)</f>
        <v>2</v>
      </c>
      <c r="G360" s="26" t="str">
        <f>IF(C360="","",INDEX(Rotation_Pattern!$B$4:$E$7,F360,MATCH(E360,{"A","B","C","D"},0)))</f>
        <v/>
      </c>
      <c r="H360" s="32" t="str">
        <f t="shared" si="16"/>
        <v/>
      </c>
      <c r="I360" s="32" t="str">
        <f>IF(OR(G360="Off",G360=""),"",H360+TIME(Settings!$B$8,0,0))</f>
        <v/>
      </c>
      <c r="J360" s="26">
        <f>IF(OR(G360="Off",G360=""),0,Settings!$B$8)</f>
        <v>0</v>
      </c>
      <c r="K360" s="25" t="s">
        <v>111</v>
      </c>
      <c r="L360" s="26" t="str">
        <f>IF(A360="","",IF(COUNTIF(Public_Holidays!$A$4:$A$80,A360)&gt;0,"Y","N"))</f>
        <v>N</v>
      </c>
      <c r="M360" s="26" t="str">
        <f t="shared" si="17"/>
        <v>N</v>
      </c>
      <c r="N360" s="26" t="e">
        <f ca="1">IF(A360="","",_xludf.TEXTJOIN("; ",TRUE,IF(SUMIFS($J:$J,$C:$C,C360,$B:$B,B360)&gt;Settings!$B$9,"Weekly ordinary hrs &gt;45",""),IF(SUMIFS(Claims!$H:$H,Claims!$C:$C,C360,Claims!$B:$B,B360)&gt;Settings!$B$10,"Weekly OT &gt;10",""),IF(AND(G360&lt;&gt;"Off",COUNTIFS($C:$C,C360,$A:$A,A360-1,$G:$G,"Night")&gt;0),"Rest &lt;12h after night shift",""),IF(J360&gt;5,"Meal interval required","")))</f>
        <v>#NAME?</v>
      </c>
      <c r="O360" s="25" t="s">
        <v>112</v>
      </c>
      <c r="P360" s="25"/>
    </row>
    <row r="361" spans="1:16" x14ac:dyDescent="0.35">
      <c r="A361" s="31">
        <f>IF(17+1&lt;=Settings!$B$7,Settings!$B$6+17,"")</f>
        <v>46160</v>
      </c>
      <c r="B361" s="31">
        <f t="shared" si="15"/>
        <v>46160</v>
      </c>
      <c r="C361" s="26" t="str">
        <f>IF(Employees!A21="","",Employees!A21)</f>
        <v/>
      </c>
      <c r="D361" s="26" t="str">
        <f>IF(C361="","",Employees!B21)</f>
        <v/>
      </c>
      <c r="E361" s="26" t="str">
        <f>IF(C361="","",Employees!C21)</f>
        <v/>
      </c>
      <c r="F361" s="26">
        <f>IF(A361="","",MOD(A361-Settings!$B$6,4)+1)</f>
        <v>2</v>
      </c>
      <c r="G361" s="26" t="str">
        <f>IF(C361="","",INDEX(Rotation_Pattern!$B$4:$E$7,F361,MATCH(E361,{"A","B","C","D"},0)))</f>
        <v/>
      </c>
      <c r="H361" s="32" t="str">
        <f t="shared" si="16"/>
        <v/>
      </c>
      <c r="I361" s="32" t="str">
        <f>IF(OR(G361="Off",G361=""),"",H361+TIME(Settings!$B$8,0,0))</f>
        <v/>
      </c>
      <c r="J361" s="26">
        <f>IF(OR(G361="Off",G361=""),0,Settings!$B$8)</f>
        <v>0</v>
      </c>
      <c r="K361" s="25" t="s">
        <v>111</v>
      </c>
      <c r="L361" s="26" t="str">
        <f>IF(A361="","",IF(COUNTIF(Public_Holidays!$A$4:$A$80,A361)&gt;0,"Y","N"))</f>
        <v>N</v>
      </c>
      <c r="M361" s="26" t="str">
        <f t="shared" si="17"/>
        <v>N</v>
      </c>
      <c r="N361" s="26" t="e">
        <f ca="1">IF(A361="","",_xludf.TEXTJOIN("; ",TRUE,IF(SUMIFS($J:$J,$C:$C,C361,$B:$B,B361)&gt;Settings!$B$9,"Weekly ordinary hrs &gt;45",""),IF(SUMIFS(Claims!$H:$H,Claims!$C:$C,C361,Claims!$B:$B,B361)&gt;Settings!$B$10,"Weekly OT &gt;10",""),IF(AND(G361&lt;&gt;"Off",COUNTIFS($C:$C,C361,$A:$A,A361-1,$G:$G,"Night")&gt;0),"Rest &lt;12h after night shift",""),IF(J361&gt;5,"Meal interval required","")))</f>
        <v>#NAME?</v>
      </c>
      <c r="O361" s="25" t="s">
        <v>112</v>
      </c>
      <c r="P361" s="25"/>
    </row>
    <row r="362" spans="1:16" x14ac:dyDescent="0.35">
      <c r="A362" s="31">
        <f>IF(17+1&lt;=Settings!$B$7,Settings!$B$6+17,"")</f>
        <v>46160</v>
      </c>
      <c r="B362" s="31">
        <f t="shared" si="15"/>
        <v>46160</v>
      </c>
      <c r="C362" s="26" t="str">
        <f>IF(Employees!A22="","",Employees!A22)</f>
        <v/>
      </c>
      <c r="D362" s="26" t="str">
        <f>IF(C362="","",Employees!B22)</f>
        <v/>
      </c>
      <c r="E362" s="26" t="str">
        <f>IF(C362="","",Employees!C22)</f>
        <v/>
      </c>
      <c r="F362" s="26">
        <f>IF(A362="","",MOD(A362-Settings!$B$6,4)+1)</f>
        <v>2</v>
      </c>
      <c r="G362" s="26" t="str">
        <f>IF(C362="","",INDEX(Rotation_Pattern!$B$4:$E$7,F362,MATCH(E362,{"A","B","C","D"},0)))</f>
        <v/>
      </c>
      <c r="H362" s="32" t="str">
        <f t="shared" si="16"/>
        <v/>
      </c>
      <c r="I362" s="32" t="str">
        <f>IF(OR(G362="Off",G362=""),"",H362+TIME(Settings!$B$8,0,0))</f>
        <v/>
      </c>
      <c r="J362" s="26">
        <f>IF(OR(G362="Off",G362=""),0,Settings!$B$8)</f>
        <v>0</v>
      </c>
      <c r="K362" s="25" t="s">
        <v>111</v>
      </c>
      <c r="L362" s="26" t="str">
        <f>IF(A362="","",IF(COUNTIF(Public_Holidays!$A$4:$A$80,A362)&gt;0,"Y","N"))</f>
        <v>N</v>
      </c>
      <c r="M362" s="26" t="str">
        <f t="shared" si="17"/>
        <v>N</v>
      </c>
      <c r="N362" s="26" t="e">
        <f ca="1">IF(A362="","",_xludf.TEXTJOIN("; ",TRUE,IF(SUMIFS($J:$J,$C:$C,C362,$B:$B,B362)&gt;Settings!$B$9,"Weekly ordinary hrs &gt;45",""),IF(SUMIFS(Claims!$H:$H,Claims!$C:$C,C362,Claims!$B:$B,B362)&gt;Settings!$B$10,"Weekly OT &gt;10",""),IF(AND(G362&lt;&gt;"Off",COUNTIFS($C:$C,C362,$A:$A,A362-1,$G:$G,"Night")&gt;0),"Rest &lt;12h after night shift",""),IF(J362&gt;5,"Meal interval required","")))</f>
        <v>#NAME?</v>
      </c>
      <c r="O362" s="25" t="s">
        <v>112</v>
      </c>
      <c r="P362" s="25"/>
    </row>
    <row r="363" spans="1:16" x14ac:dyDescent="0.35">
      <c r="A363" s="31">
        <f>IF(17+1&lt;=Settings!$B$7,Settings!$B$6+17,"")</f>
        <v>46160</v>
      </c>
      <c r="B363" s="31">
        <f t="shared" si="15"/>
        <v>46160</v>
      </c>
      <c r="C363" s="26" t="str">
        <f>IF(Employees!A23="","",Employees!A23)</f>
        <v/>
      </c>
      <c r="D363" s="26" t="str">
        <f>IF(C363="","",Employees!B23)</f>
        <v/>
      </c>
      <c r="E363" s="26" t="str">
        <f>IF(C363="","",Employees!C23)</f>
        <v/>
      </c>
      <c r="F363" s="26">
        <f>IF(A363="","",MOD(A363-Settings!$B$6,4)+1)</f>
        <v>2</v>
      </c>
      <c r="G363" s="26" t="str">
        <f>IF(C363="","",INDEX(Rotation_Pattern!$B$4:$E$7,F363,MATCH(E363,{"A","B","C","D"},0)))</f>
        <v/>
      </c>
      <c r="H363" s="32" t="str">
        <f t="shared" si="16"/>
        <v/>
      </c>
      <c r="I363" s="32" t="str">
        <f>IF(OR(G363="Off",G363=""),"",H363+TIME(Settings!$B$8,0,0))</f>
        <v/>
      </c>
      <c r="J363" s="26">
        <f>IF(OR(G363="Off",G363=""),0,Settings!$B$8)</f>
        <v>0</v>
      </c>
      <c r="K363" s="25" t="s">
        <v>111</v>
      </c>
      <c r="L363" s="26" t="str">
        <f>IF(A363="","",IF(COUNTIF(Public_Holidays!$A$4:$A$80,A363)&gt;0,"Y","N"))</f>
        <v>N</v>
      </c>
      <c r="M363" s="26" t="str">
        <f t="shared" si="17"/>
        <v>N</v>
      </c>
      <c r="N363" s="26" t="e">
        <f ca="1">IF(A363="","",_xludf.TEXTJOIN("; ",TRUE,IF(SUMIFS($J:$J,$C:$C,C363,$B:$B,B363)&gt;Settings!$B$9,"Weekly ordinary hrs &gt;45",""),IF(SUMIFS(Claims!$H:$H,Claims!$C:$C,C363,Claims!$B:$B,B363)&gt;Settings!$B$10,"Weekly OT &gt;10",""),IF(AND(G363&lt;&gt;"Off",COUNTIFS($C:$C,C363,$A:$A,A363-1,$G:$G,"Night")&gt;0),"Rest &lt;12h after night shift",""),IF(J363&gt;5,"Meal interval required","")))</f>
        <v>#NAME?</v>
      </c>
      <c r="O363" s="25" t="s">
        <v>112</v>
      </c>
      <c r="P363" s="25"/>
    </row>
    <row r="364" spans="1:16" x14ac:dyDescent="0.35">
      <c r="A364" s="31">
        <f>IF(18+1&lt;=Settings!$B$7,Settings!$B$6+18,"")</f>
        <v>46161</v>
      </c>
      <c r="B364" s="31">
        <f t="shared" si="15"/>
        <v>46160</v>
      </c>
      <c r="C364" s="26" t="str">
        <f>IF(Employees!A4="","",Employees!A4)</f>
        <v>E001</v>
      </c>
      <c r="D364" s="26" t="str">
        <f>IF(C364="","",Employees!B4)</f>
        <v>Musiwa Khavalani</v>
      </c>
      <c r="E364" s="26">
        <f>IF(C364="","",Employees!C4)</f>
        <v>0</v>
      </c>
      <c r="F364" s="26">
        <f>IF(A364="","",MOD(A364-Settings!$B$6,4)+1)</f>
        <v>3</v>
      </c>
      <c r="G364" s="26" t="e">
        <f>IF(C364="","",INDEX(Rotation_Pattern!$B$4:$E$7,F364,MATCH(E364,{"A","B","C","D"},0)))</f>
        <v>#N/A</v>
      </c>
      <c r="H364" s="32" t="e">
        <f t="shared" si="16"/>
        <v>#N/A</v>
      </c>
      <c r="I364" s="32" t="e">
        <f>IF(OR(G364="Off",G364=""),"",H364+TIME(Settings!$B$8,0,0))</f>
        <v>#N/A</v>
      </c>
      <c r="J364" s="26" t="e">
        <f>IF(OR(G364="Off",G364=""),0,Settings!$B$8)</f>
        <v>#N/A</v>
      </c>
      <c r="K364" s="25" t="s">
        <v>111</v>
      </c>
      <c r="L364" s="26" t="str">
        <f>IF(A364="","",IF(COUNTIF(Public_Holidays!$A$4:$A$80,A364)&gt;0,"Y","N"))</f>
        <v>N</v>
      </c>
      <c r="M364" s="26" t="str">
        <f t="shared" si="17"/>
        <v>N</v>
      </c>
      <c r="N364" s="26" t="e">
        <f ca="1">IF(A364="","",_xludf.TEXTJOIN("; ",TRUE,IF(SUMIFS($J:$J,$C:$C,C364,$B:$B,B364)&gt;Settings!$B$9,"Weekly ordinary hrs &gt;45",""),IF(SUMIFS(Claims!$H:$H,Claims!$C:$C,C364,Claims!$B:$B,B364)&gt;Settings!$B$10,"Weekly OT &gt;10",""),IF(AND(G364&lt;&gt;"Off",COUNTIFS($C:$C,C364,$A:$A,A364-1,$G:$G,"Night")&gt;0),"Rest &lt;12h after night shift",""),IF(J364&gt;5,"Meal interval required","")))</f>
        <v>#NAME?</v>
      </c>
      <c r="O364" s="25" t="s">
        <v>112</v>
      </c>
      <c r="P364" s="25"/>
    </row>
    <row r="365" spans="1:16" x14ac:dyDescent="0.35">
      <c r="A365" s="31">
        <f>IF(18+1&lt;=Settings!$B$7,Settings!$B$6+18,"")</f>
        <v>46161</v>
      </c>
      <c r="B365" s="31">
        <f t="shared" si="15"/>
        <v>46160</v>
      </c>
      <c r="C365" s="26" t="str">
        <f>IF(Employees!A5="","",Employees!A5)</f>
        <v>E002</v>
      </c>
      <c r="D365" s="26" t="str">
        <f>IF(C365="","",Employees!B5)</f>
        <v>Mpho  Nembemhia</v>
      </c>
      <c r="E365" s="26" t="str">
        <f>IF(C365="","",Employees!C5)</f>
        <v>B</v>
      </c>
      <c r="F365" s="26">
        <f>IF(A365="","",MOD(A365-Settings!$B$6,4)+1)</f>
        <v>3</v>
      </c>
      <c r="G365" s="26" t="str">
        <f>IF(C365="","",INDEX(Rotation_Pattern!$B$4:$E$7,F365,MATCH(E365,{"A","B","C","D"},0)))</f>
        <v>Evening</v>
      </c>
      <c r="H365" s="32">
        <f t="shared" si="16"/>
        <v>0.58333333333333337</v>
      </c>
      <c r="I365" s="32">
        <f>IF(OR(G365="Off",G365=""),"",H365+TIME(Settings!$B$8,0,0))</f>
        <v>0.91666666666666674</v>
      </c>
      <c r="J365" s="26">
        <f>IF(OR(G365="Off",G365=""),0,Settings!$B$8)</f>
        <v>8</v>
      </c>
      <c r="K365" s="25" t="s">
        <v>111</v>
      </c>
      <c r="L365" s="26" t="str">
        <f>IF(A365="","",IF(COUNTIF(Public_Holidays!$A$4:$A$80,A365)&gt;0,"Y","N"))</f>
        <v>N</v>
      </c>
      <c r="M365" s="26" t="str">
        <f t="shared" si="17"/>
        <v>N</v>
      </c>
      <c r="N365" s="26" t="e">
        <f ca="1">IF(A365="","",_xludf.TEXTJOIN("; ",TRUE,IF(SUMIFS($J:$J,$C:$C,C365,$B:$B,B365)&gt;Settings!$B$9,"Weekly ordinary hrs &gt;45",""),IF(SUMIFS(Claims!$H:$H,Claims!$C:$C,C365,Claims!$B:$B,B365)&gt;Settings!$B$10,"Weekly OT &gt;10",""),IF(AND(G365&lt;&gt;"Off",COUNTIFS($C:$C,C365,$A:$A,A365-1,$G:$G,"Night")&gt;0),"Rest &lt;12h after night shift",""),IF(J365&gt;5,"Meal interval required","")))</f>
        <v>#NAME?</v>
      </c>
      <c r="O365" s="25" t="s">
        <v>112</v>
      </c>
      <c r="P365" s="25"/>
    </row>
    <row r="366" spans="1:16" x14ac:dyDescent="0.35">
      <c r="A366" s="31">
        <f>IF(18+1&lt;=Settings!$B$7,Settings!$B$6+18,"")</f>
        <v>46161</v>
      </c>
      <c r="B366" s="31">
        <f t="shared" si="15"/>
        <v>46160</v>
      </c>
      <c r="C366" s="26" t="str">
        <f>IF(Employees!A6="","",Employees!A6)</f>
        <v>E003</v>
      </c>
      <c r="D366" s="26" t="str">
        <f>IF(C366="","",Employees!B6)</f>
        <v>Dimpho Makhafola</v>
      </c>
      <c r="E366" s="26" t="str">
        <f>IF(C366="","",Employees!C6)</f>
        <v>C</v>
      </c>
      <c r="F366" s="26">
        <f>IF(A366="","",MOD(A366-Settings!$B$6,4)+1)</f>
        <v>3</v>
      </c>
      <c r="G366" s="26" t="str">
        <f>IF(C366="","",INDEX(Rotation_Pattern!$B$4:$E$7,F366,MATCH(E366,{"A","B","C","D"},0)))</f>
        <v>Day</v>
      </c>
      <c r="H366" s="32">
        <f t="shared" si="16"/>
        <v>0.25</v>
      </c>
      <c r="I366" s="32">
        <f>IF(OR(G366="Off",G366=""),"",H366+TIME(Settings!$B$8,0,0))</f>
        <v>0.58333333333333326</v>
      </c>
      <c r="J366" s="26">
        <f>IF(OR(G366="Off",G366=""),0,Settings!$B$8)</f>
        <v>8</v>
      </c>
      <c r="K366" s="25" t="s">
        <v>111</v>
      </c>
      <c r="L366" s="26" t="str">
        <f>IF(A366="","",IF(COUNTIF(Public_Holidays!$A$4:$A$80,A366)&gt;0,"Y","N"))</f>
        <v>N</v>
      </c>
      <c r="M366" s="26" t="str">
        <f t="shared" si="17"/>
        <v>N</v>
      </c>
      <c r="N366" s="26" t="e">
        <f ca="1">IF(A366="","",_xludf.TEXTJOIN("; ",TRUE,IF(SUMIFS($J:$J,$C:$C,C366,$B:$B,B366)&gt;Settings!$B$9,"Weekly ordinary hrs &gt;45",""),IF(SUMIFS(Claims!$H:$H,Claims!$C:$C,C366,Claims!$B:$B,B366)&gt;Settings!$B$10,"Weekly OT &gt;10",""),IF(AND(G366&lt;&gt;"Off",COUNTIFS($C:$C,C366,$A:$A,A366-1,$G:$G,"Night")&gt;0),"Rest &lt;12h after night shift",""),IF(J366&gt;5,"Meal interval required","")))</f>
        <v>#NAME?</v>
      </c>
      <c r="O366" s="25" t="s">
        <v>112</v>
      </c>
      <c r="P366" s="25"/>
    </row>
    <row r="367" spans="1:16" x14ac:dyDescent="0.35">
      <c r="A367" s="31">
        <f>IF(18+1&lt;=Settings!$B$7,Settings!$B$6+18,"")</f>
        <v>46161</v>
      </c>
      <c r="B367" s="31">
        <f t="shared" si="15"/>
        <v>46160</v>
      </c>
      <c r="C367" s="26" t="str">
        <f>IF(Employees!A7="","",Employees!A7)</f>
        <v>E004</v>
      </c>
      <c r="D367" s="26" t="str">
        <f>IF(C367="","",Employees!B7)</f>
        <v>Bashii Fall</v>
      </c>
      <c r="E367" s="26" t="str">
        <f>IF(C367="","",Employees!C7)</f>
        <v>D</v>
      </c>
      <c r="F367" s="26">
        <f>IF(A367="","",MOD(A367-Settings!$B$6,4)+1)</f>
        <v>3</v>
      </c>
      <c r="G367" s="26" t="str">
        <f>IF(C367="","",INDEX(Rotation_Pattern!$B$4:$E$7,F367,MATCH(E367,{"A","B","C","D"},0)))</f>
        <v>Off</v>
      </c>
      <c r="H367" s="32" t="str">
        <f t="shared" si="16"/>
        <v/>
      </c>
      <c r="I367" s="32" t="str">
        <f>IF(OR(G367="Off",G367=""),"",H367+TIME(Settings!$B$8,0,0))</f>
        <v/>
      </c>
      <c r="J367" s="26">
        <f>IF(OR(G367="Off",G367=""),0,Settings!$B$8)</f>
        <v>0</v>
      </c>
      <c r="K367" s="25" t="s">
        <v>111</v>
      </c>
      <c r="L367" s="26" t="str">
        <f>IF(A367="","",IF(COUNTIF(Public_Holidays!$A$4:$A$80,A367)&gt;0,"Y","N"))</f>
        <v>N</v>
      </c>
      <c r="M367" s="26" t="str">
        <f t="shared" si="17"/>
        <v>N</v>
      </c>
      <c r="N367" s="26" t="e">
        <f ca="1">IF(A367="","",_xludf.TEXTJOIN("; ",TRUE,IF(SUMIFS($J:$J,$C:$C,C367,$B:$B,B367)&gt;Settings!$B$9,"Weekly ordinary hrs &gt;45",""),IF(SUMIFS(Claims!$H:$H,Claims!$C:$C,C367,Claims!$B:$B,B367)&gt;Settings!$B$10,"Weekly OT &gt;10",""),IF(AND(G367&lt;&gt;"Off",COUNTIFS($C:$C,C367,$A:$A,A367-1,$G:$G,"Night")&gt;0),"Rest &lt;12h after night shift",""),IF(J367&gt;5,"Meal interval required","")))</f>
        <v>#NAME?</v>
      </c>
      <c r="O367" s="25" t="s">
        <v>112</v>
      </c>
      <c r="P367" s="25"/>
    </row>
    <row r="368" spans="1:16" x14ac:dyDescent="0.35">
      <c r="A368" s="31">
        <f>IF(18+1&lt;=Settings!$B$7,Settings!$B$6+18,"")</f>
        <v>46161</v>
      </c>
      <c r="B368" s="31">
        <f t="shared" si="15"/>
        <v>46160</v>
      </c>
      <c r="C368" s="26" t="str">
        <f>IF(Employees!A8="","",Employees!A8)</f>
        <v>E005</v>
      </c>
      <c r="D368" s="26" t="str">
        <f>IF(C368="","",Employees!B8)</f>
        <v>Lesego Aphane</v>
      </c>
      <c r="E368" s="26" t="str">
        <f>IF(C368="","",Employees!C8)</f>
        <v>A</v>
      </c>
      <c r="F368" s="26">
        <f>IF(A368="","",MOD(A368-Settings!$B$6,4)+1)</f>
        <v>3</v>
      </c>
      <c r="G368" s="26" t="str">
        <f>IF(C368="","",INDEX(Rotation_Pattern!$B$4:$E$7,F368,MATCH(E368,{"A","B","C","D"},0)))</f>
        <v>Night</v>
      </c>
      <c r="H368" s="32">
        <f t="shared" si="16"/>
        <v>0.91666666666666663</v>
      </c>
      <c r="I368" s="32">
        <f>IF(OR(G368="Off",G368=""),"",H368+TIME(Settings!$B$8,0,0))</f>
        <v>1.25</v>
      </c>
      <c r="J368" s="26">
        <f>IF(OR(G368="Off",G368=""),0,Settings!$B$8)</f>
        <v>8</v>
      </c>
      <c r="K368" s="25" t="s">
        <v>111</v>
      </c>
      <c r="L368" s="26" t="str">
        <f>IF(A368="","",IF(COUNTIF(Public_Holidays!$A$4:$A$80,A368)&gt;0,"Y","N"))</f>
        <v>N</v>
      </c>
      <c r="M368" s="26" t="str">
        <f t="shared" si="17"/>
        <v>N</v>
      </c>
      <c r="N368" s="26" t="e">
        <f ca="1">IF(A368="","",_xludf.TEXTJOIN("; ",TRUE,IF(SUMIFS($J:$J,$C:$C,C368,$B:$B,B368)&gt;Settings!$B$9,"Weekly ordinary hrs &gt;45",""),IF(SUMIFS(Claims!$H:$H,Claims!$C:$C,C368,Claims!$B:$B,B368)&gt;Settings!$B$10,"Weekly OT &gt;10",""),IF(AND(G368&lt;&gt;"Off",COUNTIFS($C:$C,C368,$A:$A,A368-1,$G:$G,"Night")&gt;0),"Rest &lt;12h after night shift",""),IF(J368&gt;5,"Meal interval required","")))</f>
        <v>#NAME?</v>
      </c>
      <c r="O368" s="25" t="s">
        <v>112</v>
      </c>
      <c r="P368" s="25"/>
    </row>
    <row r="369" spans="1:16" x14ac:dyDescent="0.35">
      <c r="A369" s="31">
        <f>IF(18+1&lt;=Settings!$B$7,Settings!$B$6+18,"")</f>
        <v>46161</v>
      </c>
      <c r="B369" s="31">
        <f t="shared" si="15"/>
        <v>46160</v>
      </c>
      <c r="C369" s="26" t="str">
        <f>IF(Employees!A9="","",Employees!A9)</f>
        <v>E006</v>
      </c>
      <c r="D369" s="26" t="str">
        <f>IF(C369="","",Employees!B9)</f>
        <v>Nhalnahla</v>
      </c>
      <c r="E369" s="26" t="str">
        <f>IF(C369="","",Employees!C9)</f>
        <v>B</v>
      </c>
      <c r="F369" s="26">
        <f>IF(A369="","",MOD(A369-Settings!$B$6,4)+1)</f>
        <v>3</v>
      </c>
      <c r="G369" s="26" t="str">
        <f>IF(C369="","",INDEX(Rotation_Pattern!$B$4:$E$7,F369,MATCH(E369,{"A","B","C","D"},0)))</f>
        <v>Evening</v>
      </c>
      <c r="H369" s="32">
        <f t="shared" si="16"/>
        <v>0.58333333333333337</v>
      </c>
      <c r="I369" s="32">
        <f>IF(OR(G369="Off",G369=""),"",H369+TIME(Settings!$B$8,0,0))</f>
        <v>0.91666666666666674</v>
      </c>
      <c r="J369" s="26">
        <f>IF(OR(G369="Off",G369=""),0,Settings!$B$8)</f>
        <v>8</v>
      </c>
      <c r="K369" s="25" t="s">
        <v>111</v>
      </c>
      <c r="L369" s="26" t="str">
        <f>IF(A369="","",IF(COUNTIF(Public_Holidays!$A$4:$A$80,A369)&gt;0,"Y","N"))</f>
        <v>N</v>
      </c>
      <c r="M369" s="26" t="str">
        <f t="shared" si="17"/>
        <v>N</v>
      </c>
      <c r="N369" s="26" t="e">
        <f ca="1">IF(A369="","",_xludf.TEXTJOIN("; ",TRUE,IF(SUMIFS($J:$J,$C:$C,C369,$B:$B,B369)&gt;Settings!$B$9,"Weekly ordinary hrs &gt;45",""),IF(SUMIFS(Claims!$H:$H,Claims!$C:$C,C369,Claims!$B:$B,B369)&gt;Settings!$B$10,"Weekly OT &gt;10",""),IF(AND(G369&lt;&gt;"Off",COUNTIFS($C:$C,C369,$A:$A,A369-1,$G:$G,"Night")&gt;0),"Rest &lt;12h after night shift",""),IF(J369&gt;5,"Meal interval required","")))</f>
        <v>#NAME?</v>
      </c>
      <c r="O369" s="25" t="s">
        <v>112</v>
      </c>
      <c r="P369" s="25"/>
    </row>
    <row r="370" spans="1:16" x14ac:dyDescent="0.35">
      <c r="A370" s="31">
        <f>IF(18+1&lt;=Settings!$B$7,Settings!$B$6+18,"")</f>
        <v>46161</v>
      </c>
      <c r="B370" s="31">
        <f t="shared" si="15"/>
        <v>46160</v>
      </c>
      <c r="C370" s="26" t="str">
        <f>IF(Employees!A10="","",Employees!A10)</f>
        <v>E007</v>
      </c>
      <c r="D370" s="26" t="str">
        <f>IF(C370="","",Employees!B10)</f>
        <v>Joe</v>
      </c>
      <c r="E370" s="26" t="str">
        <f>IF(C370="","",Employees!C10)</f>
        <v>C</v>
      </c>
      <c r="F370" s="26">
        <f>IF(A370="","",MOD(A370-Settings!$B$6,4)+1)</f>
        <v>3</v>
      </c>
      <c r="G370" s="26" t="str">
        <f>IF(C370="","",INDEX(Rotation_Pattern!$B$4:$E$7,F370,MATCH(E370,{"A","B","C","D"},0)))</f>
        <v>Day</v>
      </c>
      <c r="H370" s="32">
        <f t="shared" si="16"/>
        <v>0.25</v>
      </c>
      <c r="I370" s="32">
        <f>IF(OR(G370="Off",G370=""),"",H370+TIME(Settings!$B$8,0,0))</f>
        <v>0.58333333333333326</v>
      </c>
      <c r="J370" s="26">
        <f>IF(OR(G370="Off",G370=""),0,Settings!$B$8)</f>
        <v>8</v>
      </c>
      <c r="K370" s="25" t="s">
        <v>111</v>
      </c>
      <c r="L370" s="26" t="str">
        <f>IF(A370="","",IF(COUNTIF(Public_Holidays!$A$4:$A$80,A370)&gt;0,"Y","N"))</f>
        <v>N</v>
      </c>
      <c r="M370" s="26" t="str">
        <f t="shared" si="17"/>
        <v>N</v>
      </c>
      <c r="N370" s="26" t="e">
        <f ca="1">IF(A370="","",_xludf.TEXTJOIN("; ",TRUE,IF(SUMIFS($J:$J,$C:$C,C370,$B:$B,B370)&gt;Settings!$B$9,"Weekly ordinary hrs &gt;45",""),IF(SUMIFS(Claims!$H:$H,Claims!$C:$C,C370,Claims!$B:$B,B370)&gt;Settings!$B$10,"Weekly OT &gt;10",""),IF(AND(G370&lt;&gt;"Off",COUNTIFS($C:$C,C370,$A:$A,A370-1,$G:$G,"Night")&gt;0),"Rest &lt;12h after night shift",""),IF(J370&gt;5,"Meal interval required","")))</f>
        <v>#NAME?</v>
      </c>
      <c r="O370" s="25" t="s">
        <v>112</v>
      </c>
      <c r="P370" s="25"/>
    </row>
    <row r="371" spans="1:16" x14ac:dyDescent="0.35">
      <c r="A371" s="31">
        <f>IF(18+1&lt;=Settings!$B$7,Settings!$B$6+18,"")</f>
        <v>46161</v>
      </c>
      <c r="B371" s="31">
        <f t="shared" si="15"/>
        <v>46160</v>
      </c>
      <c r="C371" s="26" t="str">
        <f>IF(Employees!A11="","",Employees!A11)</f>
        <v>E008</v>
      </c>
      <c r="D371" s="26" t="str">
        <f>IF(C371="","",Employees!B11)</f>
        <v>Tim</v>
      </c>
      <c r="E371" s="26" t="str">
        <f>IF(C371="","",Employees!C11)</f>
        <v>D</v>
      </c>
      <c r="F371" s="26">
        <f>IF(A371="","",MOD(A371-Settings!$B$6,4)+1)</f>
        <v>3</v>
      </c>
      <c r="G371" s="26" t="str">
        <f>IF(C371="","",INDEX(Rotation_Pattern!$B$4:$E$7,F371,MATCH(E371,{"A","B","C","D"},0)))</f>
        <v>Off</v>
      </c>
      <c r="H371" s="32" t="str">
        <f t="shared" si="16"/>
        <v/>
      </c>
      <c r="I371" s="32" t="str">
        <f>IF(OR(G371="Off",G371=""),"",H371+TIME(Settings!$B$8,0,0))</f>
        <v/>
      </c>
      <c r="J371" s="26">
        <f>IF(OR(G371="Off",G371=""),0,Settings!$B$8)</f>
        <v>0</v>
      </c>
      <c r="K371" s="25" t="s">
        <v>111</v>
      </c>
      <c r="L371" s="26" t="str">
        <f>IF(A371="","",IF(COUNTIF(Public_Holidays!$A$4:$A$80,A371)&gt;0,"Y","N"))</f>
        <v>N</v>
      </c>
      <c r="M371" s="26" t="str">
        <f t="shared" si="17"/>
        <v>N</v>
      </c>
      <c r="N371" s="26" t="e">
        <f ca="1">IF(A371="","",_xludf.TEXTJOIN("; ",TRUE,IF(SUMIFS($J:$J,$C:$C,C371,$B:$B,B371)&gt;Settings!$B$9,"Weekly ordinary hrs &gt;45",""),IF(SUMIFS(Claims!$H:$H,Claims!$C:$C,C371,Claims!$B:$B,B371)&gt;Settings!$B$10,"Weekly OT &gt;10",""),IF(AND(G371&lt;&gt;"Off",COUNTIFS($C:$C,C371,$A:$A,A371-1,$G:$G,"Night")&gt;0),"Rest &lt;12h after night shift",""),IF(J371&gt;5,"Meal interval required","")))</f>
        <v>#NAME?</v>
      </c>
      <c r="O371" s="25" t="s">
        <v>112</v>
      </c>
      <c r="P371" s="25"/>
    </row>
    <row r="372" spans="1:16" x14ac:dyDescent="0.35">
      <c r="A372" s="31">
        <f>IF(18+1&lt;=Settings!$B$7,Settings!$B$6+18,"")</f>
        <v>46161</v>
      </c>
      <c r="B372" s="31">
        <f t="shared" si="15"/>
        <v>46160</v>
      </c>
      <c r="C372" s="26" t="str">
        <f>IF(Employees!A12="","",Employees!A12)</f>
        <v>E009</v>
      </c>
      <c r="D372" s="26" t="str">
        <f>IF(C372="","",Employees!B12)</f>
        <v>Frank</v>
      </c>
      <c r="E372" s="26" t="str">
        <f>IF(C372="","",Employees!C12)</f>
        <v>A</v>
      </c>
      <c r="F372" s="26">
        <f>IF(A372="","",MOD(A372-Settings!$B$6,4)+1)</f>
        <v>3</v>
      </c>
      <c r="G372" s="26" t="str">
        <f>IF(C372="","",INDEX(Rotation_Pattern!$B$4:$E$7,F372,MATCH(E372,{"A","B","C","D"},0)))</f>
        <v>Night</v>
      </c>
      <c r="H372" s="32">
        <f t="shared" si="16"/>
        <v>0.91666666666666663</v>
      </c>
      <c r="I372" s="32">
        <f>IF(OR(G372="Off",G372=""),"",H372+TIME(Settings!$B$8,0,0))</f>
        <v>1.25</v>
      </c>
      <c r="J372" s="26">
        <f>IF(OR(G372="Off",G372=""),0,Settings!$B$8)</f>
        <v>8</v>
      </c>
      <c r="K372" s="25" t="s">
        <v>111</v>
      </c>
      <c r="L372" s="26" t="str">
        <f>IF(A372="","",IF(COUNTIF(Public_Holidays!$A$4:$A$80,A372)&gt;0,"Y","N"))</f>
        <v>N</v>
      </c>
      <c r="M372" s="26" t="str">
        <f t="shared" si="17"/>
        <v>N</v>
      </c>
      <c r="N372" s="26" t="e">
        <f ca="1">IF(A372="","",_xludf.TEXTJOIN("; ",TRUE,IF(SUMIFS($J:$J,$C:$C,C372,$B:$B,B372)&gt;Settings!$B$9,"Weekly ordinary hrs &gt;45",""),IF(SUMIFS(Claims!$H:$H,Claims!$C:$C,C372,Claims!$B:$B,B372)&gt;Settings!$B$10,"Weekly OT &gt;10",""),IF(AND(G372&lt;&gt;"Off",COUNTIFS($C:$C,C372,$A:$A,A372-1,$G:$G,"Night")&gt;0),"Rest &lt;12h after night shift",""),IF(J372&gt;5,"Meal interval required","")))</f>
        <v>#NAME?</v>
      </c>
      <c r="O372" s="25" t="s">
        <v>112</v>
      </c>
      <c r="P372" s="25"/>
    </row>
    <row r="373" spans="1:16" x14ac:dyDescent="0.35">
      <c r="A373" s="31">
        <f>IF(18+1&lt;=Settings!$B$7,Settings!$B$6+18,"")</f>
        <v>46161</v>
      </c>
      <c r="B373" s="31">
        <f t="shared" si="15"/>
        <v>46160</v>
      </c>
      <c r="C373" s="26" t="str">
        <f>IF(Employees!A13="","",Employees!A13)</f>
        <v/>
      </c>
      <c r="D373" s="26" t="str">
        <f>IF(C373="","",Employees!B13)</f>
        <v/>
      </c>
      <c r="E373" s="26" t="str">
        <f>IF(C373="","",Employees!C13)</f>
        <v/>
      </c>
      <c r="F373" s="26">
        <f>IF(A373="","",MOD(A373-Settings!$B$6,4)+1)</f>
        <v>3</v>
      </c>
      <c r="G373" s="26" t="str">
        <f>IF(C373="","",INDEX(Rotation_Pattern!$B$4:$E$7,F373,MATCH(E373,{"A","B","C","D"},0)))</f>
        <v/>
      </c>
      <c r="H373" s="32" t="str">
        <f t="shared" si="16"/>
        <v/>
      </c>
      <c r="I373" s="32" t="str">
        <f>IF(OR(G373="Off",G373=""),"",H373+TIME(Settings!$B$8,0,0))</f>
        <v/>
      </c>
      <c r="J373" s="26">
        <f>IF(OR(G373="Off",G373=""),0,Settings!$B$8)</f>
        <v>0</v>
      </c>
      <c r="K373" s="25" t="s">
        <v>111</v>
      </c>
      <c r="L373" s="26" t="str">
        <f>IF(A373="","",IF(COUNTIF(Public_Holidays!$A$4:$A$80,A373)&gt;0,"Y","N"))</f>
        <v>N</v>
      </c>
      <c r="M373" s="26" t="str">
        <f t="shared" si="17"/>
        <v>N</v>
      </c>
      <c r="N373" s="26" t="e">
        <f ca="1">IF(A373="","",_xludf.TEXTJOIN("; ",TRUE,IF(SUMIFS($J:$J,$C:$C,C373,$B:$B,B373)&gt;Settings!$B$9,"Weekly ordinary hrs &gt;45",""),IF(SUMIFS(Claims!$H:$H,Claims!$C:$C,C373,Claims!$B:$B,B373)&gt;Settings!$B$10,"Weekly OT &gt;10",""),IF(AND(G373&lt;&gt;"Off",COUNTIFS($C:$C,C373,$A:$A,A373-1,$G:$G,"Night")&gt;0),"Rest &lt;12h after night shift",""),IF(J373&gt;5,"Meal interval required","")))</f>
        <v>#NAME?</v>
      </c>
      <c r="O373" s="25" t="s">
        <v>112</v>
      </c>
      <c r="P373" s="25"/>
    </row>
    <row r="374" spans="1:16" x14ac:dyDescent="0.35">
      <c r="A374" s="31">
        <f>IF(18+1&lt;=Settings!$B$7,Settings!$B$6+18,"")</f>
        <v>46161</v>
      </c>
      <c r="B374" s="31">
        <f t="shared" si="15"/>
        <v>46160</v>
      </c>
      <c r="C374" s="26" t="str">
        <f>IF(Employees!A14="","",Employees!A14)</f>
        <v/>
      </c>
      <c r="D374" s="26" t="str">
        <f>IF(C374="","",Employees!B14)</f>
        <v/>
      </c>
      <c r="E374" s="26" t="str">
        <f>IF(C374="","",Employees!C14)</f>
        <v/>
      </c>
      <c r="F374" s="26">
        <f>IF(A374="","",MOD(A374-Settings!$B$6,4)+1)</f>
        <v>3</v>
      </c>
      <c r="G374" s="26" t="str">
        <f>IF(C374="","",INDEX(Rotation_Pattern!$B$4:$E$7,F374,MATCH(E374,{"A","B","C","D"},0)))</f>
        <v/>
      </c>
      <c r="H374" s="32" t="str">
        <f t="shared" si="16"/>
        <v/>
      </c>
      <c r="I374" s="32" t="str">
        <f>IF(OR(G374="Off",G374=""),"",H374+TIME(Settings!$B$8,0,0))</f>
        <v/>
      </c>
      <c r="J374" s="26">
        <f>IF(OR(G374="Off",G374=""),0,Settings!$B$8)</f>
        <v>0</v>
      </c>
      <c r="K374" s="25" t="s">
        <v>111</v>
      </c>
      <c r="L374" s="26" t="str">
        <f>IF(A374="","",IF(COUNTIF(Public_Holidays!$A$4:$A$80,A374)&gt;0,"Y","N"))</f>
        <v>N</v>
      </c>
      <c r="M374" s="26" t="str">
        <f t="shared" si="17"/>
        <v>N</v>
      </c>
      <c r="N374" s="26" t="e">
        <f ca="1">IF(A374="","",_xludf.TEXTJOIN("; ",TRUE,IF(SUMIFS($J:$J,$C:$C,C374,$B:$B,B374)&gt;Settings!$B$9,"Weekly ordinary hrs &gt;45",""),IF(SUMIFS(Claims!$H:$H,Claims!$C:$C,C374,Claims!$B:$B,B374)&gt;Settings!$B$10,"Weekly OT &gt;10",""),IF(AND(G374&lt;&gt;"Off",COUNTIFS($C:$C,C374,$A:$A,A374-1,$G:$G,"Night")&gt;0),"Rest &lt;12h after night shift",""),IF(J374&gt;5,"Meal interval required","")))</f>
        <v>#NAME?</v>
      </c>
      <c r="O374" s="25" t="s">
        <v>112</v>
      </c>
      <c r="P374" s="25"/>
    </row>
    <row r="375" spans="1:16" x14ac:dyDescent="0.35">
      <c r="A375" s="31">
        <f>IF(18+1&lt;=Settings!$B$7,Settings!$B$6+18,"")</f>
        <v>46161</v>
      </c>
      <c r="B375" s="31">
        <f t="shared" si="15"/>
        <v>46160</v>
      </c>
      <c r="C375" s="26" t="str">
        <f>IF(Employees!A15="","",Employees!A15)</f>
        <v/>
      </c>
      <c r="D375" s="26" t="str">
        <f>IF(C375="","",Employees!B15)</f>
        <v/>
      </c>
      <c r="E375" s="26" t="str">
        <f>IF(C375="","",Employees!C15)</f>
        <v/>
      </c>
      <c r="F375" s="26">
        <f>IF(A375="","",MOD(A375-Settings!$B$6,4)+1)</f>
        <v>3</v>
      </c>
      <c r="G375" s="26" t="str">
        <f>IF(C375="","",INDEX(Rotation_Pattern!$B$4:$E$7,F375,MATCH(E375,{"A","B","C","D"},0)))</f>
        <v/>
      </c>
      <c r="H375" s="32" t="str">
        <f t="shared" si="16"/>
        <v/>
      </c>
      <c r="I375" s="32" t="str">
        <f>IF(OR(G375="Off",G375=""),"",H375+TIME(Settings!$B$8,0,0))</f>
        <v/>
      </c>
      <c r="J375" s="26">
        <f>IF(OR(G375="Off",G375=""),0,Settings!$B$8)</f>
        <v>0</v>
      </c>
      <c r="K375" s="25" t="s">
        <v>111</v>
      </c>
      <c r="L375" s="26" t="str">
        <f>IF(A375="","",IF(COUNTIF(Public_Holidays!$A$4:$A$80,A375)&gt;0,"Y","N"))</f>
        <v>N</v>
      </c>
      <c r="M375" s="26" t="str">
        <f t="shared" si="17"/>
        <v>N</v>
      </c>
      <c r="N375" s="26" t="e">
        <f ca="1">IF(A375="","",_xludf.TEXTJOIN("; ",TRUE,IF(SUMIFS($J:$J,$C:$C,C375,$B:$B,B375)&gt;Settings!$B$9,"Weekly ordinary hrs &gt;45",""),IF(SUMIFS(Claims!$H:$H,Claims!$C:$C,C375,Claims!$B:$B,B375)&gt;Settings!$B$10,"Weekly OT &gt;10",""),IF(AND(G375&lt;&gt;"Off",COUNTIFS($C:$C,C375,$A:$A,A375-1,$G:$G,"Night")&gt;0),"Rest &lt;12h after night shift",""),IF(J375&gt;5,"Meal interval required","")))</f>
        <v>#NAME?</v>
      </c>
      <c r="O375" s="25" t="s">
        <v>112</v>
      </c>
      <c r="P375" s="25"/>
    </row>
    <row r="376" spans="1:16" x14ac:dyDescent="0.35">
      <c r="A376" s="31">
        <f>IF(18+1&lt;=Settings!$B$7,Settings!$B$6+18,"")</f>
        <v>46161</v>
      </c>
      <c r="B376" s="31">
        <f t="shared" si="15"/>
        <v>46160</v>
      </c>
      <c r="C376" s="26" t="str">
        <f>IF(Employees!A16="","",Employees!A16)</f>
        <v/>
      </c>
      <c r="D376" s="26" t="str">
        <f>IF(C376="","",Employees!B16)</f>
        <v/>
      </c>
      <c r="E376" s="26" t="str">
        <f>IF(C376="","",Employees!C16)</f>
        <v/>
      </c>
      <c r="F376" s="26">
        <f>IF(A376="","",MOD(A376-Settings!$B$6,4)+1)</f>
        <v>3</v>
      </c>
      <c r="G376" s="26" t="str">
        <f>IF(C376="","",INDEX(Rotation_Pattern!$B$4:$E$7,F376,MATCH(E376,{"A","B","C","D"},0)))</f>
        <v/>
      </c>
      <c r="H376" s="32" t="str">
        <f t="shared" si="16"/>
        <v/>
      </c>
      <c r="I376" s="32" t="str">
        <f>IF(OR(G376="Off",G376=""),"",H376+TIME(Settings!$B$8,0,0))</f>
        <v/>
      </c>
      <c r="J376" s="26">
        <f>IF(OR(G376="Off",G376=""),0,Settings!$B$8)</f>
        <v>0</v>
      </c>
      <c r="K376" s="25" t="s">
        <v>111</v>
      </c>
      <c r="L376" s="26" t="str">
        <f>IF(A376="","",IF(COUNTIF(Public_Holidays!$A$4:$A$80,A376)&gt;0,"Y","N"))</f>
        <v>N</v>
      </c>
      <c r="M376" s="26" t="str">
        <f t="shared" si="17"/>
        <v>N</v>
      </c>
      <c r="N376" s="26" t="e">
        <f ca="1">IF(A376="","",_xludf.TEXTJOIN("; ",TRUE,IF(SUMIFS($J:$J,$C:$C,C376,$B:$B,B376)&gt;Settings!$B$9,"Weekly ordinary hrs &gt;45",""),IF(SUMIFS(Claims!$H:$H,Claims!$C:$C,C376,Claims!$B:$B,B376)&gt;Settings!$B$10,"Weekly OT &gt;10",""),IF(AND(G376&lt;&gt;"Off",COUNTIFS($C:$C,C376,$A:$A,A376-1,$G:$G,"Night")&gt;0),"Rest &lt;12h after night shift",""),IF(J376&gt;5,"Meal interval required","")))</f>
        <v>#NAME?</v>
      </c>
      <c r="O376" s="25" t="s">
        <v>112</v>
      </c>
      <c r="P376" s="25"/>
    </row>
    <row r="377" spans="1:16" x14ac:dyDescent="0.35">
      <c r="A377" s="31">
        <f>IF(18+1&lt;=Settings!$B$7,Settings!$B$6+18,"")</f>
        <v>46161</v>
      </c>
      <c r="B377" s="31">
        <f t="shared" si="15"/>
        <v>46160</v>
      </c>
      <c r="C377" s="26" t="str">
        <f>IF(Employees!A17="","",Employees!A17)</f>
        <v/>
      </c>
      <c r="D377" s="26" t="str">
        <f>IF(C377="","",Employees!B17)</f>
        <v/>
      </c>
      <c r="E377" s="26" t="str">
        <f>IF(C377="","",Employees!C17)</f>
        <v/>
      </c>
      <c r="F377" s="26">
        <f>IF(A377="","",MOD(A377-Settings!$B$6,4)+1)</f>
        <v>3</v>
      </c>
      <c r="G377" s="26" t="str">
        <f>IF(C377="","",INDEX(Rotation_Pattern!$B$4:$E$7,F377,MATCH(E377,{"A","B","C","D"},0)))</f>
        <v/>
      </c>
      <c r="H377" s="32" t="str">
        <f t="shared" si="16"/>
        <v/>
      </c>
      <c r="I377" s="32" t="str">
        <f>IF(OR(G377="Off",G377=""),"",H377+TIME(Settings!$B$8,0,0))</f>
        <v/>
      </c>
      <c r="J377" s="26">
        <f>IF(OR(G377="Off",G377=""),0,Settings!$B$8)</f>
        <v>0</v>
      </c>
      <c r="K377" s="25" t="s">
        <v>111</v>
      </c>
      <c r="L377" s="26" t="str">
        <f>IF(A377="","",IF(COUNTIF(Public_Holidays!$A$4:$A$80,A377)&gt;0,"Y","N"))</f>
        <v>N</v>
      </c>
      <c r="M377" s="26" t="str">
        <f t="shared" si="17"/>
        <v>N</v>
      </c>
      <c r="N377" s="26" t="e">
        <f ca="1">IF(A377="","",_xludf.TEXTJOIN("; ",TRUE,IF(SUMIFS($J:$J,$C:$C,C377,$B:$B,B377)&gt;Settings!$B$9,"Weekly ordinary hrs &gt;45",""),IF(SUMIFS(Claims!$H:$H,Claims!$C:$C,C377,Claims!$B:$B,B377)&gt;Settings!$B$10,"Weekly OT &gt;10",""),IF(AND(G377&lt;&gt;"Off",COUNTIFS($C:$C,C377,$A:$A,A377-1,$G:$G,"Night")&gt;0),"Rest &lt;12h after night shift",""),IF(J377&gt;5,"Meal interval required","")))</f>
        <v>#NAME?</v>
      </c>
      <c r="O377" s="25" t="s">
        <v>112</v>
      </c>
      <c r="P377" s="25"/>
    </row>
    <row r="378" spans="1:16" x14ac:dyDescent="0.35">
      <c r="A378" s="31">
        <f>IF(18+1&lt;=Settings!$B$7,Settings!$B$6+18,"")</f>
        <v>46161</v>
      </c>
      <c r="B378" s="31">
        <f t="shared" si="15"/>
        <v>46160</v>
      </c>
      <c r="C378" s="26" t="str">
        <f>IF(Employees!A18="","",Employees!A18)</f>
        <v/>
      </c>
      <c r="D378" s="26" t="str">
        <f>IF(C378="","",Employees!B18)</f>
        <v/>
      </c>
      <c r="E378" s="26" t="str">
        <f>IF(C378="","",Employees!C18)</f>
        <v/>
      </c>
      <c r="F378" s="26">
        <f>IF(A378="","",MOD(A378-Settings!$B$6,4)+1)</f>
        <v>3</v>
      </c>
      <c r="G378" s="26" t="str">
        <f>IF(C378="","",INDEX(Rotation_Pattern!$B$4:$E$7,F378,MATCH(E378,{"A","B","C","D"},0)))</f>
        <v/>
      </c>
      <c r="H378" s="32" t="str">
        <f t="shared" si="16"/>
        <v/>
      </c>
      <c r="I378" s="32" t="str">
        <f>IF(OR(G378="Off",G378=""),"",H378+TIME(Settings!$B$8,0,0))</f>
        <v/>
      </c>
      <c r="J378" s="26">
        <f>IF(OR(G378="Off",G378=""),0,Settings!$B$8)</f>
        <v>0</v>
      </c>
      <c r="K378" s="25" t="s">
        <v>111</v>
      </c>
      <c r="L378" s="26" t="str">
        <f>IF(A378="","",IF(COUNTIF(Public_Holidays!$A$4:$A$80,A378)&gt;0,"Y","N"))</f>
        <v>N</v>
      </c>
      <c r="M378" s="26" t="str">
        <f t="shared" si="17"/>
        <v>N</v>
      </c>
      <c r="N378" s="26" t="e">
        <f ca="1">IF(A378="","",_xludf.TEXTJOIN("; ",TRUE,IF(SUMIFS($J:$J,$C:$C,C378,$B:$B,B378)&gt;Settings!$B$9,"Weekly ordinary hrs &gt;45",""),IF(SUMIFS(Claims!$H:$H,Claims!$C:$C,C378,Claims!$B:$B,B378)&gt;Settings!$B$10,"Weekly OT &gt;10",""),IF(AND(G378&lt;&gt;"Off",COUNTIFS($C:$C,C378,$A:$A,A378-1,$G:$G,"Night")&gt;0),"Rest &lt;12h after night shift",""),IF(J378&gt;5,"Meal interval required","")))</f>
        <v>#NAME?</v>
      </c>
      <c r="O378" s="25" t="s">
        <v>112</v>
      </c>
      <c r="P378" s="25"/>
    </row>
    <row r="379" spans="1:16" x14ac:dyDescent="0.35">
      <c r="A379" s="31">
        <f>IF(18+1&lt;=Settings!$B$7,Settings!$B$6+18,"")</f>
        <v>46161</v>
      </c>
      <c r="B379" s="31">
        <f t="shared" si="15"/>
        <v>46160</v>
      </c>
      <c r="C379" s="26" t="str">
        <f>IF(Employees!A19="","",Employees!A19)</f>
        <v/>
      </c>
      <c r="D379" s="26" t="str">
        <f>IF(C379="","",Employees!B19)</f>
        <v/>
      </c>
      <c r="E379" s="26" t="str">
        <f>IF(C379="","",Employees!C19)</f>
        <v/>
      </c>
      <c r="F379" s="26">
        <f>IF(A379="","",MOD(A379-Settings!$B$6,4)+1)</f>
        <v>3</v>
      </c>
      <c r="G379" s="26" t="str">
        <f>IF(C379="","",INDEX(Rotation_Pattern!$B$4:$E$7,F379,MATCH(E379,{"A","B","C","D"},0)))</f>
        <v/>
      </c>
      <c r="H379" s="32" t="str">
        <f t="shared" si="16"/>
        <v/>
      </c>
      <c r="I379" s="32" t="str">
        <f>IF(OR(G379="Off",G379=""),"",H379+TIME(Settings!$B$8,0,0))</f>
        <v/>
      </c>
      <c r="J379" s="26">
        <f>IF(OR(G379="Off",G379=""),0,Settings!$B$8)</f>
        <v>0</v>
      </c>
      <c r="K379" s="25" t="s">
        <v>111</v>
      </c>
      <c r="L379" s="26" t="str">
        <f>IF(A379="","",IF(COUNTIF(Public_Holidays!$A$4:$A$80,A379)&gt;0,"Y","N"))</f>
        <v>N</v>
      </c>
      <c r="M379" s="26" t="str">
        <f t="shared" si="17"/>
        <v>N</v>
      </c>
      <c r="N379" s="26" t="e">
        <f ca="1">IF(A379="","",_xludf.TEXTJOIN("; ",TRUE,IF(SUMIFS($J:$J,$C:$C,C379,$B:$B,B379)&gt;Settings!$B$9,"Weekly ordinary hrs &gt;45",""),IF(SUMIFS(Claims!$H:$H,Claims!$C:$C,C379,Claims!$B:$B,B379)&gt;Settings!$B$10,"Weekly OT &gt;10",""),IF(AND(G379&lt;&gt;"Off",COUNTIFS($C:$C,C379,$A:$A,A379-1,$G:$G,"Night")&gt;0),"Rest &lt;12h after night shift",""),IF(J379&gt;5,"Meal interval required","")))</f>
        <v>#NAME?</v>
      </c>
      <c r="O379" s="25" t="s">
        <v>112</v>
      </c>
      <c r="P379" s="25"/>
    </row>
    <row r="380" spans="1:16" x14ac:dyDescent="0.35">
      <c r="A380" s="31">
        <f>IF(18+1&lt;=Settings!$B$7,Settings!$B$6+18,"")</f>
        <v>46161</v>
      </c>
      <c r="B380" s="31">
        <f t="shared" si="15"/>
        <v>46160</v>
      </c>
      <c r="C380" s="26" t="str">
        <f>IF(Employees!A20="","",Employees!A20)</f>
        <v/>
      </c>
      <c r="D380" s="26" t="str">
        <f>IF(C380="","",Employees!B20)</f>
        <v/>
      </c>
      <c r="E380" s="26" t="str">
        <f>IF(C380="","",Employees!C20)</f>
        <v/>
      </c>
      <c r="F380" s="26">
        <f>IF(A380="","",MOD(A380-Settings!$B$6,4)+1)</f>
        <v>3</v>
      </c>
      <c r="G380" s="26" t="str">
        <f>IF(C380="","",INDEX(Rotation_Pattern!$B$4:$E$7,F380,MATCH(E380,{"A","B","C","D"},0)))</f>
        <v/>
      </c>
      <c r="H380" s="32" t="str">
        <f t="shared" si="16"/>
        <v/>
      </c>
      <c r="I380" s="32" t="str">
        <f>IF(OR(G380="Off",G380=""),"",H380+TIME(Settings!$B$8,0,0))</f>
        <v/>
      </c>
      <c r="J380" s="26">
        <f>IF(OR(G380="Off",G380=""),0,Settings!$B$8)</f>
        <v>0</v>
      </c>
      <c r="K380" s="25" t="s">
        <v>111</v>
      </c>
      <c r="L380" s="26" t="str">
        <f>IF(A380="","",IF(COUNTIF(Public_Holidays!$A$4:$A$80,A380)&gt;0,"Y","N"))</f>
        <v>N</v>
      </c>
      <c r="M380" s="26" t="str">
        <f t="shared" si="17"/>
        <v>N</v>
      </c>
      <c r="N380" s="26" t="e">
        <f ca="1">IF(A380="","",_xludf.TEXTJOIN("; ",TRUE,IF(SUMIFS($J:$J,$C:$C,C380,$B:$B,B380)&gt;Settings!$B$9,"Weekly ordinary hrs &gt;45",""),IF(SUMIFS(Claims!$H:$H,Claims!$C:$C,C380,Claims!$B:$B,B380)&gt;Settings!$B$10,"Weekly OT &gt;10",""),IF(AND(G380&lt;&gt;"Off",COUNTIFS($C:$C,C380,$A:$A,A380-1,$G:$G,"Night")&gt;0),"Rest &lt;12h after night shift",""),IF(J380&gt;5,"Meal interval required","")))</f>
        <v>#NAME?</v>
      </c>
      <c r="O380" s="25" t="s">
        <v>112</v>
      </c>
      <c r="P380" s="25"/>
    </row>
    <row r="381" spans="1:16" x14ac:dyDescent="0.35">
      <c r="A381" s="31">
        <f>IF(18+1&lt;=Settings!$B$7,Settings!$B$6+18,"")</f>
        <v>46161</v>
      </c>
      <c r="B381" s="31">
        <f t="shared" si="15"/>
        <v>46160</v>
      </c>
      <c r="C381" s="26" t="str">
        <f>IF(Employees!A21="","",Employees!A21)</f>
        <v/>
      </c>
      <c r="D381" s="26" t="str">
        <f>IF(C381="","",Employees!B21)</f>
        <v/>
      </c>
      <c r="E381" s="26" t="str">
        <f>IF(C381="","",Employees!C21)</f>
        <v/>
      </c>
      <c r="F381" s="26">
        <f>IF(A381="","",MOD(A381-Settings!$B$6,4)+1)</f>
        <v>3</v>
      </c>
      <c r="G381" s="26" t="str">
        <f>IF(C381="","",INDEX(Rotation_Pattern!$B$4:$E$7,F381,MATCH(E381,{"A","B","C","D"},0)))</f>
        <v/>
      </c>
      <c r="H381" s="32" t="str">
        <f t="shared" si="16"/>
        <v/>
      </c>
      <c r="I381" s="32" t="str">
        <f>IF(OR(G381="Off",G381=""),"",H381+TIME(Settings!$B$8,0,0))</f>
        <v/>
      </c>
      <c r="J381" s="26">
        <f>IF(OR(G381="Off",G381=""),0,Settings!$B$8)</f>
        <v>0</v>
      </c>
      <c r="K381" s="25" t="s">
        <v>111</v>
      </c>
      <c r="L381" s="26" t="str">
        <f>IF(A381="","",IF(COUNTIF(Public_Holidays!$A$4:$A$80,A381)&gt;0,"Y","N"))</f>
        <v>N</v>
      </c>
      <c r="M381" s="26" t="str">
        <f t="shared" si="17"/>
        <v>N</v>
      </c>
      <c r="N381" s="26" t="e">
        <f ca="1">IF(A381="","",_xludf.TEXTJOIN("; ",TRUE,IF(SUMIFS($J:$J,$C:$C,C381,$B:$B,B381)&gt;Settings!$B$9,"Weekly ordinary hrs &gt;45",""),IF(SUMIFS(Claims!$H:$H,Claims!$C:$C,C381,Claims!$B:$B,B381)&gt;Settings!$B$10,"Weekly OT &gt;10",""),IF(AND(G381&lt;&gt;"Off",COUNTIFS($C:$C,C381,$A:$A,A381-1,$G:$G,"Night")&gt;0),"Rest &lt;12h after night shift",""),IF(J381&gt;5,"Meal interval required","")))</f>
        <v>#NAME?</v>
      </c>
      <c r="O381" s="25" t="s">
        <v>112</v>
      </c>
      <c r="P381" s="25"/>
    </row>
    <row r="382" spans="1:16" x14ac:dyDescent="0.35">
      <c r="A382" s="31">
        <f>IF(18+1&lt;=Settings!$B$7,Settings!$B$6+18,"")</f>
        <v>46161</v>
      </c>
      <c r="B382" s="31">
        <f t="shared" si="15"/>
        <v>46160</v>
      </c>
      <c r="C382" s="26" t="str">
        <f>IF(Employees!A22="","",Employees!A22)</f>
        <v/>
      </c>
      <c r="D382" s="26" t="str">
        <f>IF(C382="","",Employees!B22)</f>
        <v/>
      </c>
      <c r="E382" s="26" t="str">
        <f>IF(C382="","",Employees!C22)</f>
        <v/>
      </c>
      <c r="F382" s="26">
        <f>IF(A382="","",MOD(A382-Settings!$B$6,4)+1)</f>
        <v>3</v>
      </c>
      <c r="G382" s="26" t="str">
        <f>IF(C382="","",INDEX(Rotation_Pattern!$B$4:$E$7,F382,MATCH(E382,{"A","B","C","D"},0)))</f>
        <v/>
      </c>
      <c r="H382" s="32" t="str">
        <f t="shared" si="16"/>
        <v/>
      </c>
      <c r="I382" s="32" t="str">
        <f>IF(OR(G382="Off",G382=""),"",H382+TIME(Settings!$B$8,0,0))</f>
        <v/>
      </c>
      <c r="J382" s="26">
        <f>IF(OR(G382="Off",G382=""),0,Settings!$B$8)</f>
        <v>0</v>
      </c>
      <c r="K382" s="25" t="s">
        <v>111</v>
      </c>
      <c r="L382" s="26" t="str">
        <f>IF(A382="","",IF(COUNTIF(Public_Holidays!$A$4:$A$80,A382)&gt;0,"Y","N"))</f>
        <v>N</v>
      </c>
      <c r="M382" s="26" t="str">
        <f t="shared" si="17"/>
        <v>N</v>
      </c>
      <c r="N382" s="26" t="e">
        <f ca="1">IF(A382="","",_xludf.TEXTJOIN("; ",TRUE,IF(SUMIFS($J:$J,$C:$C,C382,$B:$B,B382)&gt;Settings!$B$9,"Weekly ordinary hrs &gt;45",""),IF(SUMIFS(Claims!$H:$H,Claims!$C:$C,C382,Claims!$B:$B,B382)&gt;Settings!$B$10,"Weekly OT &gt;10",""),IF(AND(G382&lt;&gt;"Off",COUNTIFS($C:$C,C382,$A:$A,A382-1,$G:$G,"Night")&gt;0),"Rest &lt;12h after night shift",""),IF(J382&gt;5,"Meal interval required","")))</f>
        <v>#NAME?</v>
      </c>
      <c r="O382" s="25" t="s">
        <v>112</v>
      </c>
      <c r="P382" s="25"/>
    </row>
    <row r="383" spans="1:16" x14ac:dyDescent="0.35">
      <c r="A383" s="31">
        <f>IF(18+1&lt;=Settings!$B$7,Settings!$B$6+18,"")</f>
        <v>46161</v>
      </c>
      <c r="B383" s="31">
        <f t="shared" si="15"/>
        <v>46160</v>
      </c>
      <c r="C383" s="26" t="str">
        <f>IF(Employees!A23="","",Employees!A23)</f>
        <v/>
      </c>
      <c r="D383" s="26" t="str">
        <f>IF(C383="","",Employees!B23)</f>
        <v/>
      </c>
      <c r="E383" s="26" t="str">
        <f>IF(C383="","",Employees!C23)</f>
        <v/>
      </c>
      <c r="F383" s="26">
        <f>IF(A383="","",MOD(A383-Settings!$B$6,4)+1)</f>
        <v>3</v>
      </c>
      <c r="G383" s="26" t="str">
        <f>IF(C383="","",INDEX(Rotation_Pattern!$B$4:$E$7,F383,MATCH(E383,{"A","B","C","D"},0)))</f>
        <v/>
      </c>
      <c r="H383" s="32" t="str">
        <f t="shared" si="16"/>
        <v/>
      </c>
      <c r="I383" s="32" t="str">
        <f>IF(OR(G383="Off",G383=""),"",H383+TIME(Settings!$B$8,0,0))</f>
        <v/>
      </c>
      <c r="J383" s="26">
        <f>IF(OR(G383="Off",G383=""),0,Settings!$B$8)</f>
        <v>0</v>
      </c>
      <c r="K383" s="25" t="s">
        <v>111</v>
      </c>
      <c r="L383" s="26" t="str">
        <f>IF(A383="","",IF(COUNTIF(Public_Holidays!$A$4:$A$80,A383)&gt;0,"Y","N"))</f>
        <v>N</v>
      </c>
      <c r="M383" s="26" t="str">
        <f t="shared" si="17"/>
        <v>N</v>
      </c>
      <c r="N383" s="26" t="e">
        <f ca="1">IF(A383="","",_xludf.TEXTJOIN("; ",TRUE,IF(SUMIFS($J:$J,$C:$C,C383,$B:$B,B383)&gt;Settings!$B$9,"Weekly ordinary hrs &gt;45",""),IF(SUMIFS(Claims!$H:$H,Claims!$C:$C,C383,Claims!$B:$B,B383)&gt;Settings!$B$10,"Weekly OT &gt;10",""),IF(AND(G383&lt;&gt;"Off",COUNTIFS($C:$C,C383,$A:$A,A383-1,$G:$G,"Night")&gt;0),"Rest &lt;12h after night shift",""),IF(J383&gt;5,"Meal interval required","")))</f>
        <v>#NAME?</v>
      </c>
      <c r="O383" s="25" t="s">
        <v>112</v>
      </c>
      <c r="P383" s="25"/>
    </row>
    <row r="384" spans="1:16" x14ac:dyDescent="0.35">
      <c r="A384" s="31">
        <f>IF(19+1&lt;=Settings!$B$7,Settings!$B$6+19,"")</f>
        <v>46162</v>
      </c>
      <c r="B384" s="31">
        <f t="shared" si="15"/>
        <v>46160</v>
      </c>
      <c r="C384" s="26" t="str">
        <f>IF(Employees!A4="","",Employees!A4)</f>
        <v>E001</v>
      </c>
      <c r="D384" s="26" t="str">
        <f>IF(C384="","",Employees!B4)</f>
        <v>Musiwa Khavalani</v>
      </c>
      <c r="E384" s="26">
        <f>IF(C384="","",Employees!C4)</f>
        <v>0</v>
      </c>
      <c r="F384" s="26">
        <f>IF(A384="","",MOD(A384-Settings!$B$6,4)+1)</f>
        <v>4</v>
      </c>
      <c r="G384" s="26" t="e">
        <f>IF(C384="","",INDEX(Rotation_Pattern!$B$4:$E$7,F384,MATCH(E384,{"A","B","C","D"},0)))</f>
        <v>#N/A</v>
      </c>
      <c r="H384" s="32" t="e">
        <f t="shared" si="16"/>
        <v>#N/A</v>
      </c>
      <c r="I384" s="32" t="e">
        <f>IF(OR(G384="Off",G384=""),"",H384+TIME(Settings!$B$8,0,0))</f>
        <v>#N/A</v>
      </c>
      <c r="J384" s="26" t="e">
        <f>IF(OR(G384="Off",G384=""),0,Settings!$B$8)</f>
        <v>#N/A</v>
      </c>
      <c r="K384" s="25" t="s">
        <v>111</v>
      </c>
      <c r="L384" s="26" t="str">
        <f>IF(A384="","",IF(COUNTIF(Public_Holidays!$A$4:$A$80,A384)&gt;0,"Y","N"))</f>
        <v>N</v>
      </c>
      <c r="M384" s="26" t="str">
        <f t="shared" si="17"/>
        <v>N</v>
      </c>
      <c r="N384" s="26" t="e">
        <f ca="1">IF(A384="","",_xludf.TEXTJOIN("; ",TRUE,IF(SUMIFS($J:$J,$C:$C,C384,$B:$B,B384)&gt;Settings!$B$9,"Weekly ordinary hrs &gt;45",""),IF(SUMIFS(Claims!$H:$H,Claims!$C:$C,C384,Claims!$B:$B,B384)&gt;Settings!$B$10,"Weekly OT &gt;10",""),IF(AND(G384&lt;&gt;"Off",COUNTIFS($C:$C,C384,$A:$A,A384-1,$G:$G,"Night")&gt;0),"Rest &lt;12h after night shift",""),IF(J384&gt;5,"Meal interval required","")))</f>
        <v>#NAME?</v>
      </c>
      <c r="O384" s="25" t="s">
        <v>112</v>
      </c>
      <c r="P384" s="25"/>
    </row>
    <row r="385" spans="1:16" x14ac:dyDescent="0.35">
      <c r="A385" s="31">
        <f>IF(19+1&lt;=Settings!$B$7,Settings!$B$6+19,"")</f>
        <v>46162</v>
      </c>
      <c r="B385" s="31">
        <f t="shared" si="15"/>
        <v>46160</v>
      </c>
      <c r="C385" s="26" t="str">
        <f>IF(Employees!A5="","",Employees!A5)</f>
        <v>E002</v>
      </c>
      <c r="D385" s="26" t="str">
        <f>IF(C385="","",Employees!B5)</f>
        <v>Mpho  Nembemhia</v>
      </c>
      <c r="E385" s="26" t="str">
        <f>IF(C385="","",Employees!C5)</f>
        <v>B</v>
      </c>
      <c r="F385" s="26">
        <f>IF(A385="","",MOD(A385-Settings!$B$6,4)+1)</f>
        <v>4</v>
      </c>
      <c r="G385" s="26" t="str">
        <f>IF(C385="","",INDEX(Rotation_Pattern!$B$4:$E$7,F385,MATCH(E385,{"A","B","C","D"},0)))</f>
        <v>Night</v>
      </c>
      <c r="H385" s="32">
        <f t="shared" si="16"/>
        <v>0.91666666666666663</v>
      </c>
      <c r="I385" s="32">
        <f>IF(OR(G385="Off",G385=""),"",H385+TIME(Settings!$B$8,0,0))</f>
        <v>1.25</v>
      </c>
      <c r="J385" s="26">
        <f>IF(OR(G385="Off",G385=""),0,Settings!$B$8)</f>
        <v>8</v>
      </c>
      <c r="K385" s="25" t="s">
        <v>111</v>
      </c>
      <c r="L385" s="26" t="str">
        <f>IF(A385="","",IF(COUNTIF(Public_Holidays!$A$4:$A$80,A385)&gt;0,"Y","N"))</f>
        <v>N</v>
      </c>
      <c r="M385" s="26" t="str">
        <f t="shared" si="17"/>
        <v>N</v>
      </c>
      <c r="N385" s="26" t="e">
        <f ca="1">IF(A385="","",_xludf.TEXTJOIN("; ",TRUE,IF(SUMIFS($J:$J,$C:$C,C385,$B:$B,B385)&gt;Settings!$B$9,"Weekly ordinary hrs &gt;45",""),IF(SUMIFS(Claims!$H:$H,Claims!$C:$C,C385,Claims!$B:$B,B385)&gt;Settings!$B$10,"Weekly OT &gt;10",""),IF(AND(G385&lt;&gt;"Off",COUNTIFS($C:$C,C385,$A:$A,A385-1,$G:$G,"Night")&gt;0),"Rest &lt;12h after night shift",""),IF(J385&gt;5,"Meal interval required","")))</f>
        <v>#NAME?</v>
      </c>
      <c r="O385" s="25" t="s">
        <v>112</v>
      </c>
      <c r="P385" s="25"/>
    </row>
    <row r="386" spans="1:16" x14ac:dyDescent="0.35">
      <c r="A386" s="31">
        <f>IF(19+1&lt;=Settings!$B$7,Settings!$B$6+19,"")</f>
        <v>46162</v>
      </c>
      <c r="B386" s="31">
        <f t="shared" si="15"/>
        <v>46160</v>
      </c>
      <c r="C386" s="26" t="str">
        <f>IF(Employees!A6="","",Employees!A6)</f>
        <v>E003</v>
      </c>
      <c r="D386" s="26" t="str">
        <f>IF(C386="","",Employees!B6)</f>
        <v>Dimpho Makhafola</v>
      </c>
      <c r="E386" s="26" t="str">
        <f>IF(C386="","",Employees!C6)</f>
        <v>C</v>
      </c>
      <c r="F386" s="26">
        <f>IF(A386="","",MOD(A386-Settings!$B$6,4)+1)</f>
        <v>4</v>
      </c>
      <c r="G386" s="26" t="str">
        <f>IF(C386="","",INDEX(Rotation_Pattern!$B$4:$E$7,F386,MATCH(E386,{"A","B","C","D"},0)))</f>
        <v>Evening</v>
      </c>
      <c r="H386" s="32">
        <f t="shared" si="16"/>
        <v>0.58333333333333337</v>
      </c>
      <c r="I386" s="32">
        <f>IF(OR(G386="Off",G386=""),"",H386+TIME(Settings!$B$8,0,0))</f>
        <v>0.91666666666666674</v>
      </c>
      <c r="J386" s="26">
        <f>IF(OR(G386="Off",G386=""),0,Settings!$B$8)</f>
        <v>8</v>
      </c>
      <c r="K386" s="25" t="s">
        <v>111</v>
      </c>
      <c r="L386" s="26" t="str">
        <f>IF(A386="","",IF(COUNTIF(Public_Holidays!$A$4:$A$80,A386)&gt;0,"Y","N"))</f>
        <v>N</v>
      </c>
      <c r="M386" s="26" t="str">
        <f t="shared" si="17"/>
        <v>N</v>
      </c>
      <c r="N386" s="26" t="e">
        <f ca="1">IF(A386="","",_xludf.TEXTJOIN("; ",TRUE,IF(SUMIFS($J:$J,$C:$C,C386,$B:$B,B386)&gt;Settings!$B$9,"Weekly ordinary hrs &gt;45",""),IF(SUMIFS(Claims!$H:$H,Claims!$C:$C,C386,Claims!$B:$B,B386)&gt;Settings!$B$10,"Weekly OT &gt;10",""),IF(AND(G386&lt;&gt;"Off",COUNTIFS($C:$C,C386,$A:$A,A386-1,$G:$G,"Night")&gt;0),"Rest &lt;12h after night shift",""),IF(J386&gt;5,"Meal interval required","")))</f>
        <v>#NAME?</v>
      </c>
      <c r="O386" s="25" t="s">
        <v>112</v>
      </c>
      <c r="P386" s="25"/>
    </row>
    <row r="387" spans="1:16" x14ac:dyDescent="0.35">
      <c r="A387" s="31">
        <f>IF(19+1&lt;=Settings!$B$7,Settings!$B$6+19,"")</f>
        <v>46162</v>
      </c>
      <c r="B387" s="31">
        <f t="shared" si="15"/>
        <v>46160</v>
      </c>
      <c r="C387" s="26" t="str">
        <f>IF(Employees!A7="","",Employees!A7)</f>
        <v>E004</v>
      </c>
      <c r="D387" s="26" t="str">
        <f>IF(C387="","",Employees!B7)</f>
        <v>Bashii Fall</v>
      </c>
      <c r="E387" s="26" t="str">
        <f>IF(C387="","",Employees!C7)</f>
        <v>D</v>
      </c>
      <c r="F387" s="26">
        <f>IF(A387="","",MOD(A387-Settings!$B$6,4)+1)</f>
        <v>4</v>
      </c>
      <c r="G387" s="26" t="str">
        <f>IF(C387="","",INDEX(Rotation_Pattern!$B$4:$E$7,F387,MATCH(E387,{"A","B","C","D"},0)))</f>
        <v>Day</v>
      </c>
      <c r="H387" s="32">
        <f t="shared" si="16"/>
        <v>0.25</v>
      </c>
      <c r="I387" s="32">
        <f>IF(OR(G387="Off",G387=""),"",H387+TIME(Settings!$B$8,0,0))</f>
        <v>0.58333333333333326</v>
      </c>
      <c r="J387" s="26">
        <f>IF(OR(G387="Off",G387=""),0,Settings!$B$8)</f>
        <v>8</v>
      </c>
      <c r="K387" s="25" t="s">
        <v>111</v>
      </c>
      <c r="L387" s="26" t="str">
        <f>IF(A387="","",IF(COUNTIF(Public_Holidays!$A$4:$A$80,A387)&gt;0,"Y","N"))</f>
        <v>N</v>
      </c>
      <c r="M387" s="26" t="str">
        <f t="shared" si="17"/>
        <v>N</v>
      </c>
      <c r="N387" s="26" t="e">
        <f ca="1">IF(A387="","",_xludf.TEXTJOIN("; ",TRUE,IF(SUMIFS($J:$J,$C:$C,C387,$B:$B,B387)&gt;Settings!$B$9,"Weekly ordinary hrs &gt;45",""),IF(SUMIFS(Claims!$H:$H,Claims!$C:$C,C387,Claims!$B:$B,B387)&gt;Settings!$B$10,"Weekly OT &gt;10",""),IF(AND(G387&lt;&gt;"Off",COUNTIFS($C:$C,C387,$A:$A,A387-1,$G:$G,"Night")&gt;0),"Rest &lt;12h after night shift",""),IF(J387&gt;5,"Meal interval required","")))</f>
        <v>#NAME?</v>
      </c>
      <c r="O387" s="25" t="s">
        <v>112</v>
      </c>
      <c r="P387" s="25"/>
    </row>
    <row r="388" spans="1:16" x14ac:dyDescent="0.35">
      <c r="A388" s="31">
        <f>IF(19+1&lt;=Settings!$B$7,Settings!$B$6+19,"")</f>
        <v>46162</v>
      </c>
      <c r="B388" s="31">
        <f t="shared" ref="B388:B451" si="18">IF(A388="","",A388-WEEKDAY(A388,2)+1)</f>
        <v>46160</v>
      </c>
      <c r="C388" s="26" t="str">
        <f>IF(Employees!A8="","",Employees!A8)</f>
        <v>E005</v>
      </c>
      <c r="D388" s="26" t="str">
        <f>IF(C388="","",Employees!B8)</f>
        <v>Lesego Aphane</v>
      </c>
      <c r="E388" s="26" t="str">
        <f>IF(C388="","",Employees!C8)</f>
        <v>A</v>
      </c>
      <c r="F388" s="26">
        <f>IF(A388="","",MOD(A388-Settings!$B$6,4)+1)</f>
        <v>4</v>
      </c>
      <c r="G388" s="26" t="str">
        <f>IF(C388="","",INDEX(Rotation_Pattern!$B$4:$E$7,F388,MATCH(E388,{"A","B","C","D"},0)))</f>
        <v>Off</v>
      </c>
      <c r="H388" s="32" t="str">
        <f t="shared" ref="H388:H451" si="19">IF(OR(G388="Off",G388=""),"",IF(G388="Day",TIME(6,0,0),IF(G388="Evening",TIME(14,0,0),TIME(22,0,0))))</f>
        <v/>
      </c>
      <c r="I388" s="32" t="str">
        <f>IF(OR(G388="Off",G388=""),"",H388+TIME(Settings!$B$8,0,0))</f>
        <v/>
      </c>
      <c r="J388" s="26">
        <f>IF(OR(G388="Off",G388=""),0,Settings!$B$8)</f>
        <v>0</v>
      </c>
      <c r="K388" s="25" t="s">
        <v>111</v>
      </c>
      <c r="L388" s="26" t="str">
        <f>IF(A388="","",IF(COUNTIF(Public_Holidays!$A$4:$A$80,A388)&gt;0,"Y","N"))</f>
        <v>N</v>
      </c>
      <c r="M388" s="26" t="str">
        <f t="shared" ref="M388:M451" si="20">IF(A388="","",IF(WEEKDAY(A388,2)=7,"Y","N"))</f>
        <v>N</v>
      </c>
      <c r="N388" s="26" t="e">
        <f ca="1">IF(A388="","",_xludf.TEXTJOIN("; ",TRUE,IF(SUMIFS($J:$J,$C:$C,C388,$B:$B,B388)&gt;Settings!$B$9,"Weekly ordinary hrs &gt;45",""),IF(SUMIFS(Claims!$H:$H,Claims!$C:$C,C388,Claims!$B:$B,B388)&gt;Settings!$B$10,"Weekly OT &gt;10",""),IF(AND(G388&lt;&gt;"Off",COUNTIFS($C:$C,C388,$A:$A,A388-1,$G:$G,"Night")&gt;0),"Rest &lt;12h after night shift",""),IF(J388&gt;5,"Meal interval required","")))</f>
        <v>#NAME?</v>
      </c>
      <c r="O388" s="25" t="s">
        <v>112</v>
      </c>
      <c r="P388" s="25"/>
    </row>
    <row r="389" spans="1:16" x14ac:dyDescent="0.35">
      <c r="A389" s="31">
        <f>IF(19+1&lt;=Settings!$B$7,Settings!$B$6+19,"")</f>
        <v>46162</v>
      </c>
      <c r="B389" s="31">
        <f t="shared" si="18"/>
        <v>46160</v>
      </c>
      <c r="C389" s="26" t="str">
        <f>IF(Employees!A9="","",Employees!A9)</f>
        <v>E006</v>
      </c>
      <c r="D389" s="26" t="str">
        <f>IF(C389="","",Employees!B9)</f>
        <v>Nhalnahla</v>
      </c>
      <c r="E389" s="26" t="str">
        <f>IF(C389="","",Employees!C9)</f>
        <v>B</v>
      </c>
      <c r="F389" s="26">
        <f>IF(A389="","",MOD(A389-Settings!$B$6,4)+1)</f>
        <v>4</v>
      </c>
      <c r="G389" s="26" t="str">
        <f>IF(C389="","",INDEX(Rotation_Pattern!$B$4:$E$7,F389,MATCH(E389,{"A","B","C","D"},0)))</f>
        <v>Night</v>
      </c>
      <c r="H389" s="32">
        <f t="shared" si="19"/>
        <v>0.91666666666666663</v>
      </c>
      <c r="I389" s="32">
        <f>IF(OR(G389="Off",G389=""),"",H389+TIME(Settings!$B$8,0,0))</f>
        <v>1.25</v>
      </c>
      <c r="J389" s="26">
        <f>IF(OR(G389="Off",G389=""),0,Settings!$B$8)</f>
        <v>8</v>
      </c>
      <c r="K389" s="25" t="s">
        <v>111</v>
      </c>
      <c r="L389" s="26" t="str">
        <f>IF(A389="","",IF(COUNTIF(Public_Holidays!$A$4:$A$80,A389)&gt;0,"Y","N"))</f>
        <v>N</v>
      </c>
      <c r="M389" s="26" t="str">
        <f t="shared" si="20"/>
        <v>N</v>
      </c>
      <c r="N389" s="26" t="e">
        <f ca="1">IF(A389="","",_xludf.TEXTJOIN("; ",TRUE,IF(SUMIFS($J:$J,$C:$C,C389,$B:$B,B389)&gt;Settings!$B$9,"Weekly ordinary hrs &gt;45",""),IF(SUMIFS(Claims!$H:$H,Claims!$C:$C,C389,Claims!$B:$B,B389)&gt;Settings!$B$10,"Weekly OT &gt;10",""),IF(AND(G389&lt;&gt;"Off",COUNTIFS($C:$C,C389,$A:$A,A389-1,$G:$G,"Night")&gt;0),"Rest &lt;12h after night shift",""),IF(J389&gt;5,"Meal interval required","")))</f>
        <v>#NAME?</v>
      </c>
      <c r="O389" s="25" t="s">
        <v>112</v>
      </c>
      <c r="P389" s="25"/>
    </row>
    <row r="390" spans="1:16" x14ac:dyDescent="0.35">
      <c r="A390" s="31">
        <f>IF(19+1&lt;=Settings!$B$7,Settings!$B$6+19,"")</f>
        <v>46162</v>
      </c>
      <c r="B390" s="31">
        <f t="shared" si="18"/>
        <v>46160</v>
      </c>
      <c r="C390" s="26" t="str">
        <f>IF(Employees!A10="","",Employees!A10)</f>
        <v>E007</v>
      </c>
      <c r="D390" s="26" t="str">
        <f>IF(C390="","",Employees!B10)</f>
        <v>Joe</v>
      </c>
      <c r="E390" s="26" t="str">
        <f>IF(C390="","",Employees!C10)</f>
        <v>C</v>
      </c>
      <c r="F390" s="26">
        <f>IF(A390="","",MOD(A390-Settings!$B$6,4)+1)</f>
        <v>4</v>
      </c>
      <c r="G390" s="26" t="str">
        <f>IF(C390="","",INDEX(Rotation_Pattern!$B$4:$E$7,F390,MATCH(E390,{"A","B","C","D"},0)))</f>
        <v>Evening</v>
      </c>
      <c r="H390" s="32">
        <f t="shared" si="19"/>
        <v>0.58333333333333337</v>
      </c>
      <c r="I390" s="32">
        <f>IF(OR(G390="Off",G390=""),"",H390+TIME(Settings!$B$8,0,0))</f>
        <v>0.91666666666666674</v>
      </c>
      <c r="J390" s="26">
        <f>IF(OR(G390="Off",G390=""),0,Settings!$B$8)</f>
        <v>8</v>
      </c>
      <c r="K390" s="25" t="s">
        <v>111</v>
      </c>
      <c r="L390" s="26" t="str">
        <f>IF(A390="","",IF(COUNTIF(Public_Holidays!$A$4:$A$80,A390)&gt;0,"Y","N"))</f>
        <v>N</v>
      </c>
      <c r="M390" s="26" t="str">
        <f t="shared" si="20"/>
        <v>N</v>
      </c>
      <c r="N390" s="26" t="e">
        <f ca="1">IF(A390="","",_xludf.TEXTJOIN("; ",TRUE,IF(SUMIFS($J:$J,$C:$C,C390,$B:$B,B390)&gt;Settings!$B$9,"Weekly ordinary hrs &gt;45",""),IF(SUMIFS(Claims!$H:$H,Claims!$C:$C,C390,Claims!$B:$B,B390)&gt;Settings!$B$10,"Weekly OT &gt;10",""),IF(AND(G390&lt;&gt;"Off",COUNTIFS($C:$C,C390,$A:$A,A390-1,$G:$G,"Night")&gt;0),"Rest &lt;12h after night shift",""),IF(J390&gt;5,"Meal interval required","")))</f>
        <v>#NAME?</v>
      </c>
      <c r="O390" s="25" t="s">
        <v>112</v>
      </c>
      <c r="P390" s="25"/>
    </row>
    <row r="391" spans="1:16" x14ac:dyDescent="0.35">
      <c r="A391" s="31">
        <f>IF(19+1&lt;=Settings!$B$7,Settings!$B$6+19,"")</f>
        <v>46162</v>
      </c>
      <c r="B391" s="31">
        <f t="shared" si="18"/>
        <v>46160</v>
      </c>
      <c r="C391" s="26" t="str">
        <f>IF(Employees!A11="","",Employees!A11)</f>
        <v>E008</v>
      </c>
      <c r="D391" s="26" t="str">
        <f>IF(C391="","",Employees!B11)</f>
        <v>Tim</v>
      </c>
      <c r="E391" s="26" t="str">
        <f>IF(C391="","",Employees!C11)</f>
        <v>D</v>
      </c>
      <c r="F391" s="26">
        <f>IF(A391="","",MOD(A391-Settings!$B$6,4)+1)</f>
        <v>4</v>
      </c>
      <c r="G391" s="26" t="str">
        <f>IF(C391="","",INDEX(Rotation_Pattern!$B$4:$E$7,F391,MATCH(E391,{"A","B","C","D"},0)))</f>
        <v>Day</v>
      </c>
      <c r="H391" s="32">
        <f t="shared" si="19"/>
        <v>0.25</v>
      </c>
      <c r="I391" s="32">
        <f>IF(OR(G391="Off",G391=""),"",H391+TIME(Settings!$B$8,0,0))</f>
        <v>0.58333333333333326</v>
      </c>
      <c r="J391" s="26">
        <f>IF(OR(G391="Off",G391=""),0,Settings!$B$8)</f>
        <v>8</v>
      </c>
      <c r="K391" s="25" t="s">
        <v>111</v>
      </c>
      <c r="L391" s="26" t="str">
        <f>IF(A391="","",IF(COUNTIF(Public_Holidays!$A$4:$A$80,A391)&gt;0,"Y","N"))</f>
        <v>N</v>
      </c>
      <c r="M391" s="26" t="str">
        <f t="shared" si="20"/>
        <v>N</v>
      </c>
      <c r="N391" s="26" t="e">
        <f ca="1">IF(A391="","",_xludf.TEXTJOIN("; ",TRUE,IF(SUMIFS($J:$J,$C:$C,C391,$B:$B,B391)&gt;Settings!$B$9,"Weekly ordinary hrs &gt;45",""),IF(SUMIFS(Claims!$H:$H,Claims!$C:$C,C391,Claims!$B:$B,B391)&gt;Settings!$B$10,"Weekly OT &gt;10",""),IF(AND(G391&lt;&gt;"Off",COUNTIFS($C:$C,C391,$A:$A,A391-1,$G:$G,"Night")&gt;0),"Rest &lt;12h after night shift",""),IF(J391&gt;5,"Meal interval required","")))</f>
        <v>#NAME?</v>
      </c>
      <c r="O391" s="25" t="s">
        <v>112</v>
      </c>
      <c r="P391" s="25"/>
    </row>
    <row r="392" spans="1:16" x14ac:dyDescent="0.35">
      <c r="A392" s="31">
        <f>IF(19+1&lt;=Settings!$B$7,Settings!$B$6+19,"")</f>
        <v>46162</v>
      </c>
      <c r="B392" s="31">
        <f t="shared" si="18"/>
        <v>46160</v>
      </c>
      <c r="C392" s="26" t="str">
        <f>IF(Employees!A12="","",Employees!A12)</f>
        <v>E009</v>
      </c>
      <c r="D392" s="26" t="str">
        <f>IF(C392="","",Employees!B12)</f>
        <v>Frank</v>
      </c>
      <c r="E392" s="26" t="str">
        <f>IF(C392="","",Employees!C12)</f>
        <v>A</v>
      </c>
      <c r="F392" s="26">
        <f>IF(A392="","",MOD(A392-Settings!$B$6,4)+1)</f>
        <v>4</v>
      </c>
      <c r="G392" s="26" t="str">
        <f>IF(C392="","",INDEX(Rotation_Pattern!$B$4:$E$7,F392,MATCH(E392,{"A","B","C","D"},0)))</f>
        <v>Off</v>
      </c>
      <c r="H392" s="32" t="str">
        <f t="shared" si="19"/>
        <v/>
      </c>
      <c r="I392" s="32" t="str">
        <f>IF(OR(G392="Off",G392=""),"",H392+TIME(Settings!$B$8,0,0))</f>
        <v/>
      </c>
      <c r="J392" s="26">
        <f>IF(OR(G392="Off",G392=""),0,Settings!$B$8)</f>
        <v>0</v>
      </c>
      <c r="K392" s="25" t="s">
        <v>111</v>
      </c>
      <c r="L392" s="26" t="str">
        <f>IF(A392="","",IF(COUNTIF(Public_Holidays!$A$4:$A$80,A392)&gt;0,"Y","N"))</f>
        <v>N</v>
      </c>
      <c r="M392" s="26" t="str">
        <f t="shared" si="20"/>
        <v>N</v>
      </c>
      <c r="N392" s="26" t="e">
        <f ca="1">IF(A392="","",_xludf.TEXTJOIN("; ",TRUE,IF(SUMIFS($J:$J,$C:$C,C392,$B:$B,B392)&gt;Settings!$B$9,"Weekly ordinary hrs &gt;45",""),IF(SUMIFS(Claims!$H:$H,Claims!$C:$C,C392,Claims!$B:$B,B392)&gt;Settings!$B$10,"Weekly OT &gt;10",""),IF(AND(G392&lt;&gt;"Off",COUNTIFS($C:$C,C392,$A:$A,A392-1,$G:$G,"Night")&gt;0),"Rest &lt;12h after night shift",""),IF(J392&gt;5,"Meal interval required","")))</f>
        <v>#NAME?</v>
      </c>
      <c r="O392" s="25" t="s">
        <v>112</v>
      </c>
      <c r="P392" s="25"/>
    </row>
    <row r="393" spans="1:16" x14ac:dyDescent="0.35">
      <c r="A393" s="31">
        <f>IF(19+1&lt;=Settings!$B$7,Settings!$B$6+19,"")</f>
        <v>46162</v>
      </c>
      <c r="B393" s="31">
        <f t="shared" si="18"/>
        <v>46160</v>
      </c>
      <c r="C393" s="26" t="str">
        <f>IF(Employees!A13="","",Employees!A13)</f>
        <v/>
      </c>
      <c r="D393" s="26" t="str">
        <f>IF(C393="","",Employees!B13)</f>
        <v/>
      </c>
      <c r="E393" s="26" t="str">
        <f>IF(C393="","",Employees!C13)</f>
        <v/>
      </c>
      <c r="F393" s="26">
        <f>IF(A393="","",MOD(A393-Settings!$B$6,4)+1)</f>
        <v>4</v>
      </c>
      <c r="G393" s="26" t="str">
        <f>IF(C393="","",INDEX(Rotation_Pattern!$B$4:$E$7,F393,MATCH(E393,{"A","B","C","D"},0)))</f>
        <v/>
      </c>
      <c r="H393" s="32" t="str">
        <f t="shared" si="19"/>
        <v/>
      </c>
      <c r="I393" s="32" t="str">
        <f>IF(OR(G393="Off",G393=""),"",H393+TIME(Settings!$B$8,0,0))</f>
        <v/>
      </c>
      <c r="J393" s="26">
        <f>IF(OR(G393="Off",G393=""),0,Settings!$B$8)</f>
        <v>0</v>
      </c>
      <c r="K393" s="25" t="s">
        <v>111</v>
      </c>
      <c r="L393" s="26" t="str">
        <f>IF(A393="","",IF(COUNTIF(Public_Holidays!$A$4:$A$80,A393)&gt;0,"Y","N"))</f>
        <v>N</v>
      </c>
      <c r="M393" s="26" t="str">
        <f t="shared" si="20"/>
        <v>N</v>
      </c>
      <c r="N393" s="26" t="e">
        <f ca="1">IF(A393="","",_xludf.TEXTJOIN("; ",TRUE,IF(SUMIFS($J:$J,$C:$C,C393,$B:$B,B393)&gt;Settings!$B$9,"Weekly ordinary hrs &gt;45",""),IF(SUMIFS(Claims!$H:$H,Claims!$C:$C,C393,Claims!$B:$B,B393)&gt;Settings!$B$10,"Weekly OT &gt;10",""),IF(AND(G393&lt;&gt;"Off",COUNTIFS($C:$C,C393,$A:$A,A393-1,$G:$G,"Night")&gt;0),"Rest &lt;12h after night shift",""),IF(J393&gt;5,"Meal interval required","")))</f>
        <v>#NAME?</v>
      </c>
      <c r="O393" s="25" t="s">
        <v>112</v>
      </c>
      <c r="P393" s="25"/>
    </row>
    <row r="394" spans="1:16" x14ac:dyDescent="0.35">
      <c r="A394" s="31">
        <f>IF(19+1&lt;=Settings!$B$7,Settings!$B$6+19,"")</f>
        <v>46162</v>
      </c>
      <c r="B394" s="31">
        <f t="shared" si="18"/>
        <v>46160</v>
      </c>
      <c r="C394" s="26" t="str">
        <f>IF(Employees!A14="","",Employees!A14)</f>
        <v/>
      </c>
      <c r="D394" s="26" t="str">
        <f>IF(C394="","",Employees!B14)</f>
        <v/>
      </c>
      <c r="E394" s="26" t="str">
        <f>IF(C394="","",Employees!C14)</f>
        <v/>
      </c>
      <c r="F394" s="26">
        <f>IF(A394="","",MOD(A394-Settings!$B$6,4)+1)</f>
        <v>4</v>
      </c>
      <c r="G394" s="26" t="str">
        <f>IF(C394="","",INDEX(Rotation_Pattern!$B$4:$E$7,F394,MATCH(E394,{"A","B","C","D"},0)))</f>
        <v/>
      </c>
      <c r="H394" s="32" t="str">
        <f t="shared" si="19"/>
        <v/>
      </c>
      <c r="I394" s="32" t="str">
        <f>IF(OR(G394="Off",G394=""),"",H394+TIME(Settings!$B$8,0,0))</f>
        <v/>
      </c>
      <c r="J394" s="26">
        <f>IF(OR(G394="Off",G394=""),0,Settings!$B$8)</f>
        <v>0</v>
      </c>
      <c r="K394" s="25" t="s">
        <v>111</v>
      </c>
      <c r="L394" s="26" t="str">
        <f>IF(A394="","",IF(COUNTIF(Public_Holidays!$A$4:$A$80,A394)&gt;0,"Y","N"))</f>
        <v>N</v>
      </c>
      <c r="M394" s="26" t="str">
        <f t="shared" si="20"/>
        <v>N</v>
      </c>
      <c r="N394" s="26" t="e">
        <f ca="1">IF(A394="","",_xludf.TEXTJOIN("; ",TRUE,IF(SUMIFS($J:$J,$C:$C,C394,$B:$B,B394)&gt;Settings!$B$9,"Weekly ordinary hrs &gt;45",""),IF(SUMIFS(Claims!$H:$H,Claims!$C:$C,C394,Claims!$B:$B,B394)&gt;Settings!$B$10,"Weekly OT &gt;10",""),IF(AND(G394&lt;&gt;"Off",COUNTIFS($C:$C,C394,$A:$A,A394-1,$G:$G,"Night")&gt;0),"Rest &lt;12h after night shift",""),IF(J394&gt;5,"Meal interval required","")))</f>
        <v>#NAME?</v>
      </c>
      <c r="O394" s="25" t="s">
        <v>112</v>
      </c>
      <c r="P394" s="25"/>
    </row>
    <row r="395" spans="1:16" x14ac:dyDescent="0.35">
      <c r="A395" s="31">
        <f>IF(19+1&lt;=Settings!$B$7,Settings!$B$6+19,"")</f>
        <v>46162</v>
      </c>
      <c r="B395" s="31">
        <f t="shared" si="18"/>
        <v>46160</v>
      </c>
      <c r="C395" s="26" t="str">
        <f>IF(Employees!A15="","",Employees!A15)</f>
        <v/>
      </c>
      <c r="D395" s="26" t="str">
        <f>IF(C395="","",Employees!B15)</f>
        <v/>
      </c>
      <c r="E395" s="26" t="str">
        <f>IF(C395="","",Employees!C15)</f>
        <v/>
      </c>
      <c r="F395" s="26">
        <f>IF(A395="","",MOD(A395-Settings!$B$6,4)+1)</f>
        <v>4</v>
      </c>
      <c r="G395" s="26" t="str">
        <f>IF(C395="","",INDEX(Rotation_Pattern!$B$4:$E$7,F395,MATCH(E395,{"A","B","C","D"},0)))</f>
        <v/>
      </c>
      <c r="H395" s="32" t="str">
        <f t="shared" si="19"/>
        <v/>
      </c>
      <c r="I395" s="32" t="str">
        <f>IF(OR(G395="Off",G395=""),"",H395+TIME(Settings!$B$8,0,0))</f>
        <v/>
      </c>
      <c r="J395" s="26">
        <f>IF(OR(G395="Off",G395=""),0,Settings!$B$8)</f>
        <v>0</v>
      </c>
      <c r="K395" s="25" t="s">
        <v>111</v>
      </c>
      <c r="L395" s="26" t="str">
        <f>IF(A395="","",IF(COUNTIF(Public_Holidays!$A$4:$A$80,A395)&gt;0,"Y","N"))</f>
        <v>N</v>
      </c>
      <c r="M395" s="26" t="str">
        <f t="shared" si="20"/>
        <v>N</v>
      </c>
      <c r="N395" s="26" t="e">
        <f ca="1">IF(A395="","",_xludf.TEXTJOIN("; ",TRUE,IF(SUMIFS($J:$J,$C:$C,C395,$B:$B,B395)&gt;Settings!$B$9,"Weekly ordinary hrs &gt;45",""),IF(SUMIFS(Claims!$H:$H,Claims!$C:$C,C395,Claims!$B:$B,B395)&gt;Settings!$B$10,"Weekly OT &gt;10",""),IF(AND(G395&lt;&gt;"Off",COUNTIFS($C:$C,C395,$A:$A,A395-1,$G:$G,"Night")&gt;0),"Rest &lt;12h after night shift",""),IF(J395&gt;5,"Meal interval required","")))</f>
        <v>#NAME?</v>
      </c>
      <c r="O395" s="25" t="s">
        <v>112</v>
      </c>
      <c r="P395" s="25"/>
    </row>
    <row r="396" spans="1:16" x14ac:dyDescent="0.35">
      <c r="A396" s="31">
        <f>IF(19+1&lt;=Settings!$B$7,Settings!$B$6+19,"")</f>
        <v>46162</v>
      </c>
      <c r="B396" s="31">
        <f t="shared" si="18"/>
        <v>46160</v>
      </c>
      <c r="C396" s="26" t="str">
        <f>IF(Employees!A16="","",Employees!A16)</f>
        <v/>
      </c>
      <c r="D396" s="26" t="str">
        <f>IF(C396="","",Employees!B16)</f>
        <v/>
      </c>
      <c r="E396" s="26" t="str">
        <f>IF(C396="","",Employees!C16)</f>
        <v/>
      </c>
      <c r="F396" s="26">
        <f>IF(A396="","",MOD(A396-Settings!$B$6,4)+1)</f>
        <v>4</v>
      </c>
      <c r="G396" s="26" t="str">
        <f>IF(C396="","",INDEX(Rotation_Pattern!$B$4:$E$7,F396,MATCH(E396,{"A","B","C","D"},0)))</f>
        <v/>
      </c>
      <c r="H396" s="32" t="str">
        <f t="shared" si="19"/>
        <v/>
      </c>
      <c r="I396" s="32" t="str">
        <f>IF(OR(G396="Off",G396=""),"",H396+TIME(Settings!$B$8,0,0))</f>
        <v/>
      </c>
      <c r="J396" s="26">
        <f>IF(OR(G396="Off",G396=""),0,Settings!$B$8)</f>
        <v>0</v>
      </c>
      <c r="K396" s="25" t="s">
        <v>111</v>
      </c>
      <c r="L396" s="26" t="str">
        <f>IF(A396="","",IF(COUNTIF(Public_Holidays!$A$4:$A$80,A396)&gt;0,"Y","N"))</f>
        <v>N</v>
      </c>
      <c r="M396" s="26" t="str">
        <f t="shared" si="20"/>
        <v>N</v>
      </c>
      <c r="N396" s="26" t="e">
        <f ca="1">IF(A396="","",_xludf.TEXTJOIN("; ",TRUE,IF(SUMIFS($J:$J,$C:$C,C396,$B:$B,B396)&gt;Settings!$B$9,"Weekly ordinary hrs &gt;45",""),IF(SUMIFS(Claims!$H:$H,Claims!$C:$C,C396,Claims!$B:$B,B396)&gt;Settings!$B$10,"Weekly OT &gt;10",""),IF(AND(G396&lt;&gt;"Off",COUNTIFS($C:$C,C396,$A:$A,A396-1,$G:$G,"Night")&gt;0),"Rest &lt;12h after night shift",""),IF(J396&gt;5,"Meal interval required","")))</f>
        <v>#NAME?</v>
      </c>
      <c r="O396" s="25" t="s">
        <v>112</v>
      </c>
      <c r="P396" s="25"/>
    </row>
    <row r="397" spans="1:16" x14ac:dyDescent="0.35">
      <c r="A397" s="31">
        <f>IF(19+1&lt;=Settings!$B$7,Settings!$B$6+19,"")</f>
        <v>46162</v>
      </c>
      <c r="B397" s="31">
        <f t="shared" si="18"/>
        <v>46160</v>
      </c>
      <c r="C397" s="26" t="str">
        <f>IF(Employees!A17="","",Employees!A17)</f>
        <v/>
      </c>
      <c r="D397" s="26" t="str">
        <f>IF(C397="","",Employees!B17)</f>
        <v/>
      </c>
      <c r="E397" s="26" t="str">
        <f>IF(C397="","",Employees!C17)</f>
        <v/>
      </c>
      <c r="F397" s="26">
        <f>IF(A397="","",MOD(A397-Settings!$B$6,4)+1)</f>
        <v>4</v>
      </c>
      <c r="G397" s="26" t="str">
        <f>IF(C397="","",INDEX(Rotation_Pattern!$B$4:$E$7,F397,MATCH(E397,{"A","B","C","D"},0)))</f>
        <v/>
      </c>
      <c r="H397" s="32" t="str">
        <f t="shared" si="19"/>
        <v/>
      </c>
      <c r="I397" s="32" t="str">
        <f>IF(OR(G397="Off",G397=""),"",H397+TIME(Settings!$B$8,0,0))</f>
        <v/>
      </c>
      <c r="J397" s="26">
        <f>IF(OR(G397="Off",G397=""),0,Settings!$B$8)</f>
        <v>0</v>
      </c>
      <c r="K397" s="25" t="s">
        <v>111</v>
      </c>
      <c r="L397" s="26" t="str">
        <f>IF(A397="","",IF(COUNTIF(Public_Holidays!$A$4:$A$80,A397)&gt;0,"Y","N"))</f>
        <v>N</v>
      </c>
      <c r="M397" s="26" t="str">
        <f t="shared" si="20"/>
        <v>N</v>
      </c>
      <c r="N397" s="26" t="e">
        <f ca="1">IF(A397="","",_xludf.TEXTJOIN("; ",TRUE,IF(SUMIFS($J:$J,$C:$C,C397,$B:$B,B397)&gt;Settings!$B$9,"Weekly ordinary hrs &gt;45",""),IF(SUMIFS(Claims!$H:$H,Claims!$C:$C,C397,Claims!$B:$B,B397)&gt;Settings!$B$10,"Weekly OT &gt;10",""),IF(AND(G397&lt;&gt;"Off",COUNTIFS($C:$C,C397,$A:$A,A397-1,$G:$G,"Night")&gt;0),"Rest &lt;12h after night shift",""),IF(J397&gt;5,"Meal interval required","")))</f>
        <v>#NAME?</v>
      </c>
      <c r="O397" s="25" t="s">
        <v>112</v>
      </c>
      <c r="P397" s="25"/>
    </row>
    <row r="398" spans="1:16" x14ac:dyDescent="0.35">
      <c r="A398" s="31">
        <f>IF(19+1&lt;=Settings!$B$7,Settings!$B$6+19,"")</f>
        <v>46162</v>
      </c>
      <c r="B398" s="31">
        <f t="shared" si="18"/>
        <v>46160</v>
      </c>
      <c r="C398" s="26" t="str">
        <f>IF(Employees!A18="","",Employees!A18)</f>
        <v/>
      </c>
      <c r="D398" s="26" t="str">
        <f>IF(C398="","",Employees!B18)</f>
        <v/>
      </c>
      <c r="E398" s="26" t="str">
        <f>IF(C398="","",Employees!C18)</f>
        <v/>
      </c>
      <c r="F398" s="26">
        <f>IF(A398="","",MOD(A398-Settings!$B$6,4)+1)</f>
        <v>4</v>
      </c>
      <c r="G398" s="26" t="str">
        <f>IF(C398="","",INDEX(Rotation_Pattern!$B$4:$E$7,F398,MATCH(E398,{"A","B","C","D"},0)))</f>
        <v/>
      </c>
      <c r="H398" s="32" t="str">
        <f t="shared" si="19"/>
        <v/>
      </c>
      <c r="I398" s="32" t="str">
        <f>IF(OR(G398="Off",G398=""),"",H398+TIME(Settings!$B$8,0,0))</f>
        <v/>
      </c>
      <c r="J398" s="26">
        <f>IF(OR(G398="Off",G398=""),0,Settings!$B$8)</f>
        <v>0</v>
      </c>
      <c r="K398" s="25" t="s">
        <v>111</v>
      </c>
      <c r="L398" s="26" t="str">
        <f>IF(A398="","",IF(COUNTIF(Public_Holidays!$A$4:$A$80,A398)&gt;0,"Y","N"))</f>
        <v>N</v>
      </c>
      <c r="M398" s="26" t="str">
        <f t="shared" si="20"/>
        <v>N</v>
      </c>
      <c r="N398" s="26" t="e">
        <f ca="1">IF(A398="","",_xludf.TEXTJOIN("; ",TRUE,IF(SUMIFS($J:$J,$C:$C,C398,$B:$B,B398)&gt;Settings!$B$9,"Weekly ordinary hrs &gt;45",""),IF(SUMIFS(Claims!$H:$H,Claims!$C:$C,C398,Claims!$B:$B,B398)&gt;Settings!$B$10,"Weekly OT &gt;10",""),IF(AND(G398&lt;&gt;"Off",COUNTIFS($C:$C,C398,$A:$A,A398-1,$G:$G,"Night")&gt;0),"Rest &lt;12h after night shift",""),IF(J398&gt;5,"Meal interval required","")))</f>
        <v>#NAME?</v>
      </c>
      <c r="O398" s="25" t="s">
        <v>112</v>
      </c>
      <c r="P398" s="25"/>
    </row>
    <row r="399" spans="1:16" x14ac:dyDescent="0.35">
      <c r="A399" s="31">
        <f>IF(19+1&lt;=Settings!$B$7,Settings!$B$6+19,"")</f>
        <v>46162</v>
      </c>
      <c r="B399" s="31">
        <f t="shared" si="18"/>
        <v>46160</v>
      </c>
      <c r="C399" s="26" t="str">
        <f>IF(Employees!A19="","",Employees!A19)</f>
        <v/>
      </c>
      <c r="D399" s="26" t="str">
        <f>IF(C399="","",Employees!B19)</f>
        <v/>
      </c>
      <c r="E399" s="26" t="str">
        <f>IF(C399="","",Employees!C19)</f>
        <v/>
      </c>
      <c r="F399" s="26">
        <f>IF(A399="","",MOD(A399-Settings!$B$6,4)+1)</f>
        <v>4</v>
      </c>
      <c r="G399" s="26" t="str">
        <f>IF(C399="","",INDEX(Rotation_Pattern!$B$4:$E$7,F399,MATCH(E399,{"A","B","C","D"},0)))</f>
        <v/>
      </c>
      <c r="H399" s="32" t="str">
        <f t="shared" si="19"/>
        <v/>
      </c>
      <c r="I399" s="32" t="str">
        <f>IF(OR(G399="Off",G399=""),"",H399+TIME(Settings!$B$8,0,0))</f>
        <v/>
      </c>
      <c r="J399" s="26">
        <f>IF(OR(G399="Off",G399=""),0,Settings!$B$8)</f>
        <v>0</v>
      </c>
      <c r="K399" s="25" t="s">
        <v>111</v>
      </c>
      <c r="L399" s="26" t="str">
        <f>IF(A399="","",IF(COUNTIF(Public_Holidays!$A$4:$A$80,A399)&gt;0,"Y","N"))</f>
        <v>N</v>
      </c>
      <c r="M399" s="26" t="str">
        <f t="shared" si="20"/>
        <v>N</v>
      </c>
      <c r="N399" s="26" t="e">
        <f ca="1">IF(A399="","",_xludf.TEXTJOIN("; ",TRUE,IF(SUMIFS($J:$J,$C:$C,C399,$B:$B,B399)&gt;Settings!$B$9,"Weekly ordinary hrs &gt;45",""),IF(SUMIFS(Claims!$H:$H,Claims!$C:$C,C399,Claims!$B:$B,B399)&gt;Settings!$B$10,"Weekly OT &gt;10",""),IF(AND(G399&lt;&gt;"Off",COUNTIFS($C:$C,C399,$A:$A,A399-1,$G:$G,"Night")&gt;0),"Rest &lt;12h after night shift",""),IF(J399&gt;5,"Meal interval required","")))</f>
        <v>#NAME?</v>
      </c>
      <c r="O399" s="25" t="s">
        <v>112</v>
      </c>
      <c r="P399" s="25"/>
    </row>
    <row r="400" spans="1:16" x14ac:dyDescent="0.35">
      <c r="A400" s="31">
        <f>IF(19+1&lt;=Settings!$B$7,Settings!$B$6+19,"")</f>
        <v>46162</v>
      </c>
      <c r="B400" s="31">
        <f t="shared" si="18"/>
        <v>46160</v>
      </c>
      <c r="C400" s="26" t="str">
        <f>IF(Employees!A20="","",Employees!A20)</f>
        <v/>
      </c>
      <c r="D400" s="26" t="str">
        <f>IF(C400="","",Employees!B20)</f>
        <v/>
      </c>
      <c r="E400" s="26" t="str">
        <f>IF(C400="","",Employees!C20)</f>
        <v/>
      </c>
      <c r="F400" s="26">
        <f>IF(A400="","",MOD(A400-Settings!$B$6,4)+1)</f>
        <v>4</v>
      </c>
      <c r="G400" s="26" t="str">
        <f>IF(C400="","",INDEX(Rotation_Pattern!$B$4:$E$7,F400,MATCH(E400,{"A","B","C","D"},0)))</f>
        <v/>
      </c>
      <c r="H400" s="32" t="str">
        <f t="shared" si="19"/>
        <v/>
      </c>
      <c r="I400" s="32" t="str">
        <f>IF(OR(G400="Off",G400=""),"",H400+TIME(Settings!$B$8,0,0))</f>
        <v/>
      </c>
      <c r="J400" s="26">
        <f>IF(OR(G400="Off",G400=""),0,Settings!$B$8)</f>
        <v>0</v>
      </c>
      <c r="K400" s="25" t="s">
        <v>111</v>
      </c>
      <c r="L400" s="26" t="str">
        <f>IF(A400="","",IF(COUNTIF(Public_Holidays!$A$4:$A$80,A400)&gt;0,"Y","N"))</f>
        <v>N</v>
      </c>
      <c r="M400" s="26" t="str">
        <f t="shared" si="20"/>
        <v>N</v>
      </c>
      <c r="N400" s="26" t="e">
        <f ca="1">IF(A400="","",_xludf.TEXTJOIN("; ",TRUE,IF(SUMIFS($J:$J,$C:$C,C400,$B:$B,B400)&gt;Settings!$B$9,"Weekly ordinary hrs &gt;45",""),IF(SUMIFS(Claims!$H:$H,Claims!$C:$C,C400,Claims!$B:$B,B400)&gt;Settings!$B$10,"Weekly OT &gt;10",""),IF(AND(G400&lt;&gt;"Off",COUNTIFS($C:$C,C400,$A:$A,A400-1,$G:$G,"Night")&gt;0),"Rest &lt;12h after night shift",""),IF(J400&gt;5,"Meal interval required","")))</f>
        <v>#NAME?</v>
      </c>
      <c r="O400" s="25" t="s">
        <v>112</v>
      </c>
      <c r="P400" s="25"/>
    </row>
    <row r="401" spans="1:16" x14ac:dyDescent="0.35">
      <c r="A401" s="31">
        <f>IF(19+1&lt;=Settings!$B$7,Settings!$B$6+19,"")</f>
        <v>46162</v>
      </c>
      <c r="B401" s="31">
        <f t="shared" si="18"/>
        <v>46160</v>
      </c>
      <c r="C401" s="26" t="str">
        <f>IF(Employees!A21="","",Employees!A21)</f>
        <v/>
      </c>
      <c r="D401" s="26" t="str">
        <f>IF(C401="","",Employees!B21)</f>
        <v/>
      </c>
      <c r="E401" s="26" t="str">
        <f>IF(C401="","",Employees!C21)</f>
        <v/>
      </c>
      <c r="F401" s="26">
        <f>IF(A401="","",MOD(A401-Settings!$B$6,4)+1)</f>
        <v>4</v>
      </c>
      <c r="G401" s="26" t="str">
        <f>IF(C401="","",INDEX(Rotation_Pattern!$B$4:$E$7,F401,MATCH(E401,{"A","B","C","D"},0)))</f>
        <v/>
      </c>
      <c r="H401" s="32" t="str">
        <f t="shared" si="19"/>
        <v/>
      </c>
      <c r="I401" s="32" t="str">
        <f>IF(OR(G401="Off",G401=""),"",H401+TIME(Settings!$B$8,0,0))</f>
        <v/>
      </c>
      <c r="J401" s="26">
        <f>IF(OR(G401="Off",G401=""),0,Settings!$B$8)</f>
        <v>0</v>
      </c>
      <c r="K401" s="25" t="s">
        <v>111</v>
      </c>
      <c r="L401" s="26" t="str">
        <f>IF(A401="","",IF(COUNTIF(Public_Holidays!$A$4:$A$80,A401)&gt;0,"Y","N"))</f>
        <v>N</v>
      </c>
      <c r="M401" s="26" t="str">
        <f t="shared" si="20"/>
        <v>N</v>
      </c>
      <c r="N401" s="26" t="e">
        <f ca="1">IF(A401="","",_xludf.TEXTJOIN("; ",TRUE,IF(SUMIFS($J:$J,$C:$C,C401,$B:$B,B401)&gt;Settings!$B$9,"Weekly ordinary hrs &gt;45",""),IF(SUMIFS(Claims!$H:$H,Claims!$C:$C,C401,Claims!$B:$B,B401)&gt;Settings!$B$10,"Weekly OT &gt;10",""),IF(AND(G401&lt;&gt;"Off",COUNTIFS($C:$C,C401,$A:$A,A401-1,$G:$G,"Night")&gt;0),"Rest &lt;12h after night shift",""),IF(J401&gt;5,"Meal interval required","")))</f>
        <v>#NAME?</v>
      </c>
      <c r="O401" s="25" t="s">
        <v>112</v>
      </c>
      <c r="P401" s="25"/>
    </row>
    <row r="402" spans="1:16" x14ac:dyDescent="0.35">
      <c r="A402" s="31">
        <f>IF(19+1&lt;=Settings!$B$7,Settings!$B$6+19,"")</f>
        <v>46162</v>
      </c>
      <c r="B402" s="31">
        <f t="shared" si="18"/>
        <v>46160</v>
      </c>
      <c r="C402" s="26" t="str">
        <f>IF(Employees!A22="","",Employees!A22)</f>
        <v/>
      </c>
      <c r="D402" s="26" t="str">
        <f>IF(C402="","",Employees!B22)</f>
        <v/>
      </c>
      <c r="E402" s="26" t="str">
        <f>IF(C402="","",Employees!C22)</f>
        <v/>
      </c>
      <c r="F402" s="26">
        <f>IF(A402="","",MOD(A402-Settings!$B$6,4)+1)</f>
        <v>4</v>
      </c>
      <c r="G402" s="26" t="str">
        <f>IF(C402="","",INDEX(Rotation_Pattern!$B$4:$E$7,F402,MATCH(E402,{"A","B","C","D"},0)))</f>
        <v/>
      </c>
      <c r="H402" s="32" t="str">
        <f t="shared" si="19"/>
        <v/>
      </c>
      <c r="I402" s="32" t="str">
        <f>IF(OR(G402="Off",G402=""),"",H402+TIME(Settings!$B$8,0,0))</f>
        <v/>
      </c>
      <c r="J402" s="26">
        <f>IF(OR(G402="Off",G402=""),0,Settings!$B$8)</f>
        <v>0</v>
      </c>
      <c r="K402" s="25" t="s">
        <v>111</v>
      </c>
      <c r="L402" s="26" t="str">
        <f>IF(A402="","",IF(COUNTIF(Public_Holidays!$A$4:$A$80,A402)&gt;0,"Y","N"))</f>
        <v>N</v>
      </c>
      <c r="M402" s="26" t="str">
        <f t="shared" si="20"/>
        <v>N</v>
      </c>
      <c r="N402" s="26" t="e">
        <f ca="1">IF(A402="","",_xludf.TEXTJOIN("; ",TRUE,IF(SUMIFS($J:$J,$C:$C,C402,$B:$B,B402)&gt;Settings!$B$9,"Weekly ordinary hrs &gt;45",""),IF(SUMIFS(Claims!$H:$H,Claims!$C:$C,C402,Claims!$B:$B,B402)&gt;Settings!$B$10,"Weekly OT &gt;10",""),IF(AND(G402&lt;&gt;"Off",COUNTIFS($C:$C,C402,$A:$A,A402-1,$G:$G,"Night")&gt;0),"Rest &lt;12h after night shift",""),IF(J402&gt;5,"Meal interval required","")))</f>
        <v>#NAME?</v>
      </c>
      <c r="O402" s="25" t="s">
        <v>112</v>
      </c>
      <c r="P402" s="25"/>
    </row>
    <row r="403" spans="1:16" x14ac:dyDescent="0.35">
      <c r="A403" s="31">
        <f>IF(19+1&lt;=Settings!$B$7,Settings!$B$6+19,"")</f>
        <v>46162</v>
      </c>
      <c r="B403" s="31">
        <f t="shared" si="18"/>
        <v>46160</v>
      </c>
      <c r="C403" s="26" t="str">
        <f>IF(Employees!A23="","",Employees!A23)</f>
        <v/>
      </c>
      <c r="D403" s="26" t="str">
        <f>IF(C403="","",Employees!B23)</f>
        <v/>
      </c>
      <c r="E403" s="26" t="str">
        <f>IF(C403="","",Employees!C23)</f>
        <v/>
      </c>
      <c r="F403" s="26">
        <f>IF(A403="","",MOD(A403-Settings!$B$6,4)+1)</f>
        <v>4</v>
      </c>
      <c r="G403" s="26" t="str">
        <f>IF(C403="","",INDEX(Rotation_Pattern!$B$4:$E$7,F403,MATCH(E403,{"A","B","C","D"},0)))</f>
        <v/>
      </c>
      <c r="H403" s="32" t="str">
        <f t="shared" si="19"/>
        <v/>
      </c>
      <c r="I403" s="32" t="str">
        <f>IF(OR(G403="Off",G403=""),"",H403+TIME(Settings!$B$8,0,0))</f>
        <v/>
      </c>
      <c r="J403" s="26">
        <f>IF(OR(G403="Off",G403=""),0,Settings!$B$8)</f>
        <v>0</v>
      </c>
      <c r="K403" s="25" t="s">
        <v>111</v>
      </c>
      <c r="L403" s="26" t="str">
        <f>IF(A403="","",IF(COUNTIF(Public_Holidays!$A$4:$A$80,A403)&gt;0,"Y","N"))</f>
        <v>N</v>
      </c>
      <c r="M403" s="26" t="str">
        <f t="shared" si="20"/>
        <v>N</v>
      </c>
      <c r="N403" s="26" t="e">
        <f ca="1">IF(A403="","",_xludf.TEXTJOIN("; ",TRUE,IF(SUMIFS($J:$J,$C:$C,C403,$B:$B,B403)&gt;Settings!$B$9,"Weekly ordinary hrs &gt;45",""),IF(SUMIFS(Claims!$H:$H,Claims!$C:$C,C403,Claims!$B:$B,B403)&gt;Settings!$B$10,"Weekly OT &gt;10",""),IF(AND(G403&lt;&gt;"Off",COUNTIFS($C:$C,C403,$A:$A,A403-1,$G:$G,"Night")&gt;0),"Rest &lt;12h after night shift",""),IF(J403&gt;5,"Meal interval required","")))</f>
        <v>#NAME?</v>
      </c>
      <c r="O403" s="25" t="s">
        <v>112</v>
      </c>
      <c r="P403" s="25"/>
    </row>
    <row r="404" spans="1:16" x14ac:dyDescent="0.35">
      <c r="A404" s="31">
        <f>IF(20+1&lt;=Settings!$B$7,Settings!$B$6+20,"")</f>
        <v>46163</v>
      </c>
      <c r="B404" s="31">
        <f t="shared" si="18"/>
        <v>46160</v>
      </c>
      <c r="C404" s="26" t="str">
        <f>IF(Employees!A4="","",Employees!A4)</f>
        <v>E001</v>
      </c>
      <c r="D404" s="26" t="str">
        <f>IF(C404="","",Employees!B4)</f>
        <v>Musiwa Khavalani</v>
      </c>
      <c r="E404" s="26">
        <f>IF(C404="","",Employees!C4)</f>
        <v>0</v>
      </c>
      <c r="F404" s="26">
        <f>IF(A404="","",MOD(A404-Settings!$B$6,4)+1)</f>
        <v>1</v>
      </c>
      <c r="G404" s="26" t="e">
        <f>IF(C404="","",INDEX(Rotation_Pattern!$B$4:$E$7,F404,MATCH(E404,{"A","B","C","D"},0)))</f>
        <v>#N/A</v>
      </c>
      <c r="H404" s="32" t="e">
        <f t="shared" si="19"/>
        <v>#N/A</v>
      </c>
      <c r="I404" s="32" t="e">
        <f>IF(OR(G404="Off",G404=""),"",H404+TIME(Settings!$B$8,0,0))</f>
        <v>#N/A</v>
      </c>
      <c r="J404" s="26" t="e">
        <f>IF(OR(G404="Off",G404=""),0,Settings!$B$8)</f>
        <v>#N/A</v>
      </c>
      <c r="K404" s="25" t="s">
        <v>111</v>
      </c>
      <c r="L404" s="26" t="str">
        <f>IF(A404="","",IF(COUNTIF(Public_Holidays!$A$4:$A$80,A404)&gt;0,"Y","N"))</f>
        <v>N</v>
      </c>
      <c r="M404" s="26" t="str">
        <f t="shared" si="20"/>
        <v>N</v>
      </c>
      <c r="N404" s="26" t="e">
        <f ca="1">IF(A404="","",_xludf.TEXTJOIN("; ",TRUE,IF(SUMIFS($J:$J,$C:$C,C404,$B:$B,B404)&gt;Settings!$B$9,"Weekly ordinary hrs &gt;45",""),IF(SUMIFS(Claims!$H:$H,Claims!$C:$C,C404,Claims!$B:$B,B404)&gt;Settings!$B$10,"Weekly OT &gt;10",""),IF(AND(G404&lt;&gt;"Off",COUNTIFS($C:$C,C404,$A:$A,A404-1,$G:$G,"Night")&gt;0),"Rest &lt;12h after night shift",""),IF(J404&gt;5,"Meal interval required","")))</f>
        <v>#NAME?</v>
      </c>
      <c r="O404" s="25" t="s">
        <v>112</v>
      </c>
      <c r="P404" s="25"/>
    </row>
    <row r="405" spans="1:16" x14ac:dyDescent="0.35">
      <c r="A405" s="31">
        <f>IF(20+1&lt;=Settings!$B$7,Settings!$B$6+20,"")</f>
        <v>46163</v>
      </c>
      <c r="B405" s="31">
        <f t="shared" si="18"/>
        <v>46160</v>
      </c>
      <c r="C405" s="26" t="str">
        <f>IF(Employees!A5="","",Employees!A5)</f>
        <v>E002</v>
      </c>
      <c r="D405" s="26" t="str">
        <f>IF(C405="","",Employees!B5)</f>
        <v>Mpho  Nembemhia</v>
      </c>
      <c r="E405" s="26" t="str">
        <f>IF(C405="","",Employees!C5)</f>
        <v>B</v>
      </c>
      <c r="F405" s="26">
        <f>IF(A405="","",MOD(A405-Settings!$B$6,4)+1)</f>
        <v>1</v>
      </c>
      <c r="G405" s="26" t="str">
        <f>IF(C405="","",INDEX(Rotation_Pattern!$B$4:$E$7,F405,MATCH(E405,{"A","B","C","D"},0)))</f>
        <v>Off</v>
      </c>
      <c r="H405" s="32" t="str">
        <f t="shared" si="19"/>
        <v/>
      </c>
      <c r="I405" s="32" t="str">
        <f>IF(OR(G405="Off",G405=""),"",H405+TIME(Settings!$B$8,0,0))</f>
        <v/>
      </c>
      <c r="J405" s="26">
        <f>IF(OR(G405="Off",G405=""),0,Settings!$B$8)</f>
        <v>0</v>
      </c>
      <c r="K405" s="25" t="s">
        <v>111</v>
      </c>
      <c r="L405" s="26" t="str">
        <f>IF(A405="","",IF(COUNTIF(Public_Holidays!$A$4:$A$80,A405)&gt;0,"Y","N"))</f>
        <v>N</v>
      </c>
      <c r="M405" s="26" t="str">
        <f t="shared" si="20"/>
        <v>N</v>
      </c>
      <c r="N405" s="26" t="e">
        <f ca="1">IF(A405="","",_xludf.TEXTJOIN("; ",TRUE,IF(SUMIFS($J:$J,$C:$C,C405,$B:$B,B405)&gt;Settings!$B$9,"Weekly ordinary hrs &gt;45",""),IF(SUMIFS(Claims!$H:$H,Claims!$C:$C,C405,Claims!$B:$B,B405)&gt;Settings!$B$10,"Weekly OT &gt;10",""),IF(AND(G405&lt;&gt;"Off",COUNTIFS($C:$C,C405,$A:$A,A405-1,$G:$G,"Night")&gt;0),"Rest &lt;12h after night shift",""),IF(J405&gt;5,"Meal interval required","")))</f>
        <v>#NAME?</v>
      </c>
      <c r="O405" s="25" t="s">
        <v>112</v>
      </c>
      <c r="P405" s="25"/>
    </row>
    <row r="406" spans="1:16" x14ac:dyDescent="0.35">
      <c r="A406" s="31">
        <f>IF(20+1&lt;=Settings!$B$7,Settings!$B$6+20,"")</f>
        <v>46163</v>
      </c>
      <c r="B406" s="31">
        <f t="shared" si="18"/>
        <v>46160</v>
      </c>
      <c r="C406" s="26" t="str">
        <f>IF(Employees!A6="","",Employees!A6)</f>
        <v>E003</v>
      </c>
      <c r="D406" s="26" t="str">
        <f>IF(C406="","",Employees!B6)</f>
        <v>Dimpho Makhafola</v>
      </c>
      <c r="E406" s="26" t="str">
        <f>IF(C406="","",Employees!C6)</f>
        <v>C</v>
      </c>
      <c r="F406" s="26">
        <f>IF(A406="","",MOD(A406-Settings!$B$6,4)+1)</f>
        <v>1</v>
      </c>
      <c r="G406" s="26" t="str">
        <f>IF(C406="","",INDEX(Rotation_Pattern!$B$4:$E$7,F406,MATCH(E406,{"A","B","C","D"},0)))</f>
        <v>Evening</v>
      </c>
      <c r="H406" s="32">
        <f t="shared" si="19"/>
        <v>0.58333333333333337</v>
      </c>
      <c r="I406" s="32">
        <f>IF(OR(G406="Off",G406=""),"",H406+TIME(Settings!$B$8,0,0))</f>
        <v>0.91666666666666674</v>
      </c>
      <c r="J406" s="26">
        <f>IF(OR(G406="Off",G406=""),0,Settings!$B$8)</f>
        <v>8</v>
      </c>
      <c r="K406" s="25" t="s">
        <v>111</v>
      </c>
      <c r="L406" s="26" t="str">
        <f>IF(A406="","",IF(COUNTIF(Public_Holidays!$A$4:$A$80,A406)&gt;0,"Y","N"))</f>
        <v>N</v>
      </c>
      <c r="M406" s="26" t="str">
        <f t="shared" si="20"/>
        <v>N</v>
      </c>
      <c r="N406" s="26" t="e">
        <f ca="1">IF(A406="","",_xludf.TEXTJOIN("; ",TRUE,IF(SUMIFS($J:$J,$C:$C,C406,$B:$B,B406)&gt;Settings!$B$9,"Weekly ordinary hrs &gt;45",""),IF(SUMIFS(Claims!$H:$H,Claims!$C:$C,C406,Claims!$B:$B,B406)&gt;Settings!$B$10,"Weekly OT &gt;10",""),IF(AND(G406&lt;&gt;"Off",COUNTIFS($C:$C,C406,$A:$A,A406-1,$G:$G,"Night")&gt;0),"Rest &lt;12h after night shift",""),IF(J406&gt;5,"Meal interval required","")))</f>
        <v>#NAME?</v>
      </c>
      <c r="O406" s="25" t="s">
        <v>112</v>
      </c>
      <c r="P406" s="25"/>
    </row>
    <row r="407" spans="1:16" x14ac:dyDescent="0.35">
      <c r="A407" s="31">
        <f>IF(20+1&lt;=Settings!$B$7,Settings!$B$6+20,"")</f>
        <v>46163</v>
      </c>
      <c r="B407" s="31">
        <f t="shared" si="18"/>
        <v>46160</v>
      </c>
      <c r="C407" s="26" t="str">
        <f>IF(Employees!A7="","",Employees!A7)</f>
        <v>E004</v>
      </c>
      <c r="D407" s="26" t="str">
        <f>IF(C407="","",Employees!B7)</f>
        <v>Bashii Fall</v>
      </c>
      <c r="E407" s="26" t="str">
        <f>IF(C407="","",Employees!C7)</f>
        <v>D</v>
      </c>
      <c r="F407" s="26">
        <f>IF(A407="","",MOD(A407-Settings!$B$6,4)+1)</f>
        <v>1</v>
      </c>
      <c r="G407" s="26" t="str">
        <f>IF(C407="","",INDEX(Rotation_Pattern!$B$4:$E$7,F407,MATCH(E407,{"A","B","C","D"},0)))</f>
        <v>Night</v>
      </c>
      <c r="H407" s="32">
        <f t="shared" si="19"/>
        <v>0.91666666666666663</v>
      </c>
      <c r="I407" s="32">
        <f>IF(OR(G407="Off",G407=""),"",H407+TIME(Settings!$B$8,0,0))</f>
        <v>1.25</v>
      </c>
      <c r="J407" s="26">
        <f>IF(OR(G407="Off",G407=""),0,Settings!$B$8)</f>
        <v>8</v>
      </c>
      <c r="K407" s="25" t="s">
        <v>111</v>
      </c>
      <c r="L407" s="26" t="str">
        <f>IF(A407="","",IF(COUNTIF(Public_Holidays!$A$4:$A$80,A407)&gt;0,"Y","N"))</f>
        <v>N</v>
      </c>
      <c r="M407" s="26" t="str">
        <f t="shared" si="20"/>
        <v>N</v>
      </c>
      <c r="N407" s="26" t="e">
        <f ca="1">IF(A407="","",_xludf.TEXTJOIN("; ",TRUE,IF(SUMIFS($J:$J,$C:$C,C407,$B:$B,B407)&gt;Settings!$B$9,"Weekly ordinary hrs &gt;45",""),IF(SUMIFS(Claims!$H:$H,Claims!$C:$C,C407,Claims!$B:$B,B407)&gt;Settings!$B$10,"Weekly OT &gt;10",""),IF(AND(G407&lt;&gt;"Off",COUNTIFS($C:$C,C407,$A:$A,A407-1,$G:$G,"Night")&gt;0),"Rest &lt;12h after night shift",""),IF(J407&gt;5,"Meal interval required","")))</f>
        <v>#NAME?</v>
      </c>
      <c r="O407" s="25" t="s">
        <v>112</v>
      </c>
      <c r="P407" s="25"/>
    </row>
    <row r="408" spans="1:16" x14ac:dyDescent="0.35">
      <c r="A408" s="31">
        <f>IF(20+1&lt;=Settings!$B$7,Settings!$B$6+20,"")</f>
        <v>46163</v>
      </c>
      <c r="B408" s="31">
        <f t="shared" si="18"/>
        <v>46160</v>
      </c>
      <c r="C408" s="26" t="str">
        <f>IF(Employees!A8="","",Employees!A8)</f>
        <v>E005</v>
      </c>
      <c r="D408" s="26" t="str">
        <f>IF(C408="","",Employees!B8)</f>
        <v>Lesego Aphane</v>
      </c>
      <c r="E408" s="26" t="str">
        <f>IF(C408="","",Employees!C8)</f>
        <v>A</v>
      </c>
      <c r="F408" s="26">
        <f>IF(A408="","",MOD(A408-Settings!$B$6,4)+1)</f>
        <v>1</v>
      </c>
      <c r="G408" s="26" t="str">
        <f>IF(C408="","",INDEX(Rotation_Pattern!$B$4:$E$7,F408,MATCH(E408,{"A","B","C","D"},0)))</f>
        <v>Day</v>
      </c>
      <c r="H408" s="32">
        <f t="shared" si="19"/>
        <v>0.25</v>
      </c>
      <c r="I408" s="32">
        <f>IF(OR(G408="Off",G408=""),"",H408+TIME(Settings!$B$8,0,0))</f>
        <v>0.58333333333333326</v>
      </c>
      <c r="J408" s="26">
        <f>IF(OR(G408="Off",G408=""),0,Settings!$B$8)</f>
        <v>8</v>
      </c>
      <c r="K408" s="25" t="s">
        <v>111</v>
      </c>
      <c r="L408" s="26" t="str">
        <f>IF(A408="","",IF(COUNTIF(Public_Holidays!$A$4:$A$80,A408)&gt;0,"Y","N"))</f>
        <v>N</v>
      </c>
      <c r="M408" s="26" t="str">
        <f t="shared" si="20"/>
        <v>N</v>
      </c>
      <c r="N408" s="26" t="e">
        <f ca="1">IF(A408="","",_xludf.TEXTJOIN("; ",TRUE,IF(SUMIFS($J:$J,$C:$C,C408,$B:$B,B408)&gt;Settings!$B$9,"Weekly ordinary hrs &gt;45",""),IF(SUMIFS(Claims!$H:$H,Claims!$C:$C,C408,Claims!$B:$B,B408)&gt;Settings!$B$10,"Weekly OT &gt;10",""),IF(AND(G408&lt;&gt;"Off",COUNTIFS($C:$C,C408,$A:$A,A408-1,$G:$G,"Night")&gt;0),"Rest &lt;12h after night shift",""),IF(J408&gt;5,"Meal interval required","")))</f>
        <v>#NAME?</v>
      </c>
      <c r="O408" s="25" t="s">
        <v>112</v>
      </c>
      <c r="P408" s="25"/>
    </row>
    <row r="409" spans="1:16" x14ac:dyDescent="0.35">
      <c r="A409" s="31">
        <f>IF(20+1&lt;=Settings!$B$7,Settings!$B$6+20,"")</f>
        <v>46163</v>
      </c>
      <c r="B409" s="31">
        <f t="shared" si="18"/>
        <v>46160</v>
      </c>
      <c r="C409" s="26" t="str">
        <f>IF(Employees!A9="","",Employees!A9)</f>
        <v>E006</v>
      </c>
      <c r="D409" s="26" t="str">
        <f>IF(C409="","",Employees!B9)</f>
        <v>Nhalnahla</v>
      </c>
      <c r="E409" s="26" t="str">
        <f>IF(C409="","",Employees!C9)</f>
        <v>B</v>
      </c>
      <c r="F409" s="26">
        <f>IF(A409="","",MOD(A409-Settings!$B$6,4)+1)</f>
        <v>1</v>
      </c>
      <c r="G409" s="26" t="str">
        <f>IF(C409="","",INDEX(Rotation_Pattern!$B$4:$E$7,F409,MATCH(E409,{"A","B","C","D"},0)))</f>
        <v>Off</v>
      </c>
      <c r="H409" s="32" t="str">
        <f t="shared" si="19"/>
        <v/>
      </c>
      <c r="I409" s="32" t="str">
        <f>IF(OR(G409="Off",G409=""),"",H409+TIME(Settings!$B$8,0,0))</f>
        <v/>
      </c>
      <c r="J409" s="26">
        <f>IF(OR(G409="Off",G409=""),0,Settings!$B$8)</f>
        <v>0</v>
      </c>
      <c r="K409" s="25" t="s">
        <v>111</v>
      </c>
      <c r="L409" s="26" t="str">
        <f>IF(A409="","",IF(COUNTIF(Public_Holidays!$A$4:$A$80,A409)&gt;0,"Y","N"))</f>
        <v>N</v>
      </c>
      <c r="M409" s="26" t="str">
        <f t="shared" si="20"/>
        <v>N</v>
      </c>
      <c r="N409" s="26" t="e">
        <f ca="1">IF(A409="","",_xludf.TEXTJOIN("; ",TRUE,IF(SUMIFS($J:$J,$C:$C,C409,$B:$B,B409)&gt;Settings!$B$9,"Weekly ordinary hrs &gt;45",""),IF(SUMIFS(Claims!$H:$H,Claims!$C:$C,C409,Claims!$B:$B,B409)&gt;Settings!$B$10,"Weekly OT &gt;10",""),IF(AND(G409&lt;&gt;"Off",COUNTIFS($C:$C,C409,$A:$A,A409-1,$G:$G,"Night")&gt;0),"Rest &lt;12h after night shift",""),IF(J409&gt;5,"Meal interval required","")))</f>
        <v>#NAME?</v>
      </c>
      <c r="O409" s="25" t="s">
        <v>112</v>
      </c>
      <c r="P409" s="25"/>
    </row>
    <row r="410" spans="1:16" x14ac:dyDescent="0.35">
      <c r="A410" s="31">
        <f>IF(20+1&lt;=Settings!$B$7,Settings!$B$6+20,"")</f>
        <v>46163</v>
      </c>
      <c r="B410" s="31">
        <f t="shared" si="18"/>
        <v>46160</v>
      </c>
      <c r="C410" s="26" t="str">
        <f>IF(Employees!A10="","",Employees!A10)</f>
        <v>E007</v>
      </c>
      <c r="D410" s="26" t="str">
        <f>IF(C410="","",Employees!B10)</f>
        <v>Joe</v>
      </c>
      <c r="E410" s="26" t="str">
        <f>IF(C410="","",Employees!C10)</f>
        <v>C</v>
      </c>
      <c r="F410" s="26">
        <f>IF(A410="","",MOD(A410-Settings!$B$6,4)+1)</f>
        <v>1</v>
      </c>
      <c r="G410" s="26" t="str">
        <f>IF(C410="","",INDEX(Rotation_Pattern!$B$4:$E$7,F410,MATCH(E410,{"A","B","C","D"},0)))</f>
        <v>Evening</v>
      </c>
      <c r="H410" s="32">
        <f t="shared" si="19"/>
        <v>0.58333333333333337</v>
      </c>
      <c r="I410" s="32">
        <f>IF(OR(G410="Off",G410=""),"",H410+TIME(Settings!$B$8,0,0))</f>
        <v>0.91666666666666674</v>
      </c>
      <c r="J410" s="26">
        <f>IF(OR(G410="Off",G410=""),0,Settings!$B$8)</f>
        <v>8</v>
      </c>
      <c r="K410" s="25" t="s">
        <v>111</v>
      </c>
      <c r="L410" s="26" t="str">
        <f>IF(A410="","",IF(COUNTIF(Public_Holidays!$A$4:$A$80,A410)&gt;0,"Y","N"))</f>
        <v>N</v>
      </c>
      <c r="M410" s="26" t="str">
        <f t="shared" si="20"/>
        <v>N</v>
      </c>
      <c r="N410" s="26" t="e">
        <f ca="1">IF(A410="","",_xludf.TEXTJOIN("; ",TRUE,IF(SUMIFS($J:$J,$C:$C,C410,$B:$B,B410)&gt;Settings!$B$9,"Weekly ordinary hrs &gt;45",""),IF(SUMIFS(Claims!$H:$H,Claims!$C:$C,C410,Claims!$B:$B,B410)&gt;Settings!$B$10,"Weekly OT &gt;10",""),IF(AND(G410&lt;&gt;"Off",COUNTIFS($C:$C,C410,$A:$A,A410-1,$G:$G,"Night")&gt;0),"Rest &lt;12h after night shift",""),IF(J410&gt;5,"Meal interval required","")))</f>
        <v>#NAME?</v>
      </c>
      <c r="O410" s="25" t="s">
        <v>112</v>
      </c>
      <c r="P410" s="25"/>
    </row>
    <row r="411" spans="1:16" x14ac:dyDescent="0.35">
      <c r="A411" s="31">
        <f>IF(20+1&lt;=Settings!$B$7,Settings!$B$6+20,"")</f>
        <v>46163</v>
      </c>
      <c r="B411" s="31">
        <f t="shared" si="18"/>
        <v>46160</v>
      </c>
      <c r="C411" s="26" t="str">
        <f>IF(Employees!A11="","",Employees!A11)</f>
        <v>E008</v>
      </c>
      <c r="D411" s="26" t="str">
        <f>IF(C411="","",Employees!B11)</f>
        <v>Tim</v>
      </c>
      <c r="E411" s="26" t="str">
        <f>IF(C411="","",Employees!C11)</f>
        <v>D</v>
      </c>
      <c r="F411" s="26">
        <f>IF(A411="","",MOD(A411-Settings!$B$6,4)+1)</f>
        <v>1</v>
      </c>
      <c r="G411" s="26" t="str">
        <f>IF(C411="","",INDEX(Rotation_Pattern!$B$4:$E$7,F411,MATCH(E411,{"A","B","C","D"},0)))</f>
        <v>Night</v>
      </c>
      <c r="H411" s="32">
        <f t="shared" si="19"/>
        <v>0.91666666666666663</v>
      </c>
      <c r="I411" s="32">
        <f>IF(OR(G411="Off",G411=""),"",H411+TIME(Settings!$B$8,0,0))</f>
        <v>1.25</v>
      </c>
      <c r="J411" s="26">
        <f>IF(OR(G411="Off",G411=""),0,Settings!$B$8)</f>
        <v>8</v>
      </c>
      <c r="K411" s="25" t="s">
        <v>111</v>
      </c>
      <c r="L411" s="26" t="str">
        <f>IF(A411="","",IF(COUNTIF(Public_Holidays!$A$4:$A$80,A411)&gt;0,"Y","N"))</f>
        <v>N</v>
      </c>
      <c r="M411" s="26" t="str">
        <f t="shared" si="20"/>
        <v>N</v>
      </c>
      <c r="N411" s="26" t="e">
        <f ca="1">IF(A411="","",_xludf.TEXTJOIN("; ",TRUE,IF(SUMIFS($J:$J,$C:$C,C411,$B:$B,B411)&gt;Settings!$B$9,"Weekly ordinary hrs &gt;45",""),IF(SUMIFS(Claims!$H:$H,Claims!$C:$C,C411,Claims!$B:$B,B411)&gt;Settings!$B$10,"Weekly OT &gt;10",""),IF(AND(G411&lt;&gt;"Off",COUNTIFS($C:$C,C411,$A:$A,A411-1,$G:$G,"Night")&gt;0),"Rest &lt;12h after night shift",""),IF(J411&gt;5,"Meal interval required","")))</f>
        <v>#NAME?</v>
      </c>
      <c r="O411" s="25" t="s">
        <v>112</v>
      </c>
      <c r="P411" s="25"/>
    </row>
    <row r="412" spans="1:16" x14ac:dyDescent="0.35">
      <c r="A412" s="31">
        <f>IF(20+1&lt;=Settings!$B$7,Settings!$B$6+20,"")</f>
        <v>46163</v>
      </c>
      <c r="B412" s="31">
        <f t="shared" si="18"/>
        <v>46160</v>
      </c>
      <c r="C412" s="26" t="str">
        <f>IF(Employees!A12="","",Employees!A12)</f>
        <v>E009</v>
      </c>
      <c r="D412" s="26" t="str">
        <f>IF(C412="","",Employees!B12)</f>
        <v>Frank</v>
      </c>
      <c r="E412" s="26" t="str">
        <f>IF(C412="","",Employees!C12)</f>
        <v>A</v>
      </c>
      <c r="F412" s="26">
        <f>IF(A412="","",MOD(A412-Settings!$B$6,4)+1)</f>
        <v>1</v>
      </c>
      <c r="G412" s="26" t="str">
        <f>IF(C412="","",INDEX(Rotation_Pattern!$B$4:$E$7,F412,MATCH(E412,{"A","B","C","D"},0)))</f>
        <v>Day</v>
      </c>
      <c r="H412" s="32">
        <f t="shared" si="19"/>
        <v>0.25</v>
      </c>
      <c r="I412" s="32">
        <f>IF(OR(G412="Off",G412=""),"",H412+TIME(Settings!$B$8,0,0))</f>
        <v>0.58333333333333326</v>
      </c>
      <c r="J412" s="26">
        <f>IF(OR(G412="Off",G412=""),0,Settings!$B$8)</f>
        <v>8</v>
      </c>
      <c r="K412" s="25" t="s">
        <v>111</v>
      </c>
      <c r="L412" s="26" t="str">
        <f>IF(A412="","",IF(COUNTIF(Public_Holidays!$A$4:$A$80,A412)&gt;0,"Y","N"))</f>
        <v>N</v>
      </c>
      <c r="M412" s="26" t="str">
        <f t="shared" si="20"/>
        <v>N</v>
      </c>
      <c r="N412" s="26" t="e">
        <f ca="1">IF(A412="","",_xludf.TEXTJOIN("; ",TRUE,IF(SUMIFS($J:$J,$C:$C,C412,$B:$B,B412)&gt;Settings!$B$9,"Weekly ordinary hrs &gt;45",""),IF(SUMIFS(Claims!$H:$H,Claims!$C:$C,C412,Claims!$B:$B,B412)&gt;Settings!$B$10,"Weekly OT &gt;10",""),IF(AND(G412&lt;&gt;"Off",COUNTIFS($C:$C,C412,$A:$A,A412-1,$G:$G,"Night")&gt;0),"Rest &lt;12h after night shift",""),IF(J412&gt;5,"Meal interval required","")))</f>
        <v>#NAME?</v>
      </c>
      <c r="O412" s="25" t="s">
        <v>112</v>
      </c>
      <c r="P412" s="25"/>
    </row>
    <row r="413" spans="1:16" x14ac:dyDescent="0.35">
      <c r="A413" s="31">
        <f>IF(20+1&lt;=Settings!$B$7,Settings!$B$6+20,"")</f>
        <v>46163</v>
      </c>
      <c r="B413" s="31">
        <f t="shared" si="18"/>
        <v>46160</v>
      </c>
      <c r="C413" s="26" t="str">
        <f>IF(Employees!A13="","",Employees!A13)</f>
        <v/>
      </c>
      <c r="D413" s="26" t="str">
        <f>IF(C413="","",Employees!B13)</f>
        <v/>
      </c>
      <c r="E413" s="26" t="str">
        <f>IF(C413="","",Employees!C13)</f>
        <v/>
      </c>
      <c r="F413" s="26">
        <f>IF(A413="","",MOD(A413-Settings!$B$6,4)+1)</f>
        <v>1</v>
      </c>
      <c r="G413" s="26" t="str">
        <f>IF(C413="","",INDEX(Rotation_Pattern!$B$4:$E$7,F413,MATCH(E413,{"A","B","C","D"},0)))</f>
        <v/>
      </c>
      <c r="H413" s="32" t="str">
        <f t="shared" si="19"/>
        <v/>
      </c>
      <c r="I413" s="32" t="str">
        <f>IF(OR(G413="Off",G413=""),"",H413+TIME(Settings!$B$8,0,0))</f>
        <v/>
      </c>
      <c r="J413" s="26">
        <f>IF(OR(G413="Off",G413=""),0,Settings!$B$8)</f>
        <v>0</v>
      </c>
      <c r="K413" s="25" t="s">
        <v>111</v>
      </c>
      <c r="L413" s="26" t="str">
        <f>IF(A413="","",IF(COUNTIF(Public_Holidays!$A$4:$A$80,A413)&gt;0,"Y","N"))</f>
        <v>N</v>
      </c>
      <c r="M413" s="26" t="str">
        <f t="shared" si="20"/>
        <v>N</v>
      </c>
      <c r="N413" s="26" t="e">
        <f ca="1">IF(A413="","",_xludf.TEXTJOIN("; ",TRUE,IF(SUMIFS($J:$J,$C:$C,C413,$B:$B,B413)&gt;Settings!$B$9,"Weekly ordinary hrs &gt;45",""),IF(SUMIFS(Claims!$H:$H,Claims!$C:$C,C413,Claims!$B:$B,B413)&gt;Settings!$B$10,"Weekly OT &gt;10",""),IF(AND(G413&lt;&gt;"Off",COUNTIFS($C:$C,C413,$A:$A,A413-1,$G:$G,"Night")&gt;0),"Rest &lt;12h after night shift",""),IF(J413&gt;5,"Meal interval required","")))</f>
        <v>#NAME?</v>
      </c>
      <c r="O413" s="25" t="s">
        <v>112</v>
      </c>
      <c r="P413" s="25"/>
    </row>
    <row r="414" spans="1:16" x14ac:dyDescent="0.35">
      <c r="A414" s="31">
        <f>IF(20+1&lt;=Settings!$B$7,Settings!$B$6+20,"")</f>
        <v>46163</v>
      </c>
      <c r="B414" s="31">
        <f t="shared" si="18"/>
        <v>46160</v>
      </c>
      <c r="C414" s="26" t="str">
        <f>IF(Employees!A14="","",Employees!A14)</f>
        <v/>
      </c>
      <c r="D414" s="26" t="str">
        <f>IF(C414="","",Employees!B14)</f>
        <v/>
      </c>
      <c r="E414" s="26" t="str">
        <f>IF(C414="","",Employees!C14)</f>
        <v/>
      </c>
      <c r="F414" s="26">
        <f>IF(A414="","",MOD(A414-Settings!$B$6,4)+1)</f>
        <v>1</v>
      </c>
      <c r="G414" s="26" t="str">
        <f>IF(C414="","",INDEX(Rotation_Pattern!$B$4:$E$7,F414,MATCH(E414,{"A","B","C","D"},0)))</f>
        <v/>
      </c>
      <c r="H414" s="32" t="str">
        <f t="shared" si="19"/>
        <v/>
      </c>
      <c r="I414" s="32" t="str">
        <f>IF(OR(G414="Off",G414=""),"",H414+TIME(Settings!$B$8,0,0))</f>
        <v/>
      </c>
      <c r="J414" s="26">
        <f>IF(OR(G414="Off",G414=""),0,Settings!$B$8)</f>
        <v>0</v>
      </c>
      <c r="K414" s="25" t="s">
        <v>111</v>
      </c>
      <c r="L414" s="26" t="str">
        <f>IF(A414="","",IF(COUNTIF(Public_Holidays!$A$4:$A$80,A414)&gt;0,"Y","N"))</f>
        <v>N</v>
      </c>
      <c r="M414" s="26" t="str">
        <f t="shared" si="20"/>
        <v>N</v>
      </c>
      <c r="N414" s="26" t="e">
        <f ca="1">IF(A414="","",_xludf.TEXTJOIN("; ",TRUE,IF(SUMIFS($J:$J,$C:$C,C414,$B:$B,B414)&gt;Settings!$B$9,"Weekly ordinary hrs &gt;45",""),IF(SUMIFS(Claims!$H:$H,Claims!$C:$C,C414,Claims!$B:$B,B414)&gt;Settings!$B$10,"Weekly OT &gt;10",""),IF(AND(G414&lt;&gt;"Off",COUNTIFS($C:$C,C414,$A:$A,A414-1,$G:$G,"Night")&gt;0),"Rest &lt;12h after night shift",""),IF(J414&gt;5,"Meal interval required","")))</f>
        <v>#NAME?</v>
      </c>
      <c r="O414" s="25" t="s">
        <v>112</v>
      </c>
      <c r="P414" s="25"/>
    </row>
    <row r="415" spans="1:16" x14ac:dyDescent="0.35">
      <c r="A415" s="31">
        <f>IF(20+1&lt;=Settings!$B$7,Settings!$B$6+20,"")</f>
        <v>46163</v>
      </c>
      <c r="B415" s="31">
        <f t="shared" si="18"/>
        <v>46160</v>
      </c>
      <c r="C415" s="26" t="str">
        <f>IF(Employees!A15="","",Employees!A15)</f>
        <v/>
      </c>
      <c r="D415" s="26" t="str">
        <f>IF(C415="","",Employees!B15)</f>
        <v/>
      </c>
      <c r="E415" s="26" t="str">
        <f>IF(C415="","",Employees!C15)</f>
        <v/>
      </c>
      <c r="F415" s="26">
        <f>IF(A415="","",MOD(A415-Settings!$B$6,4)+1)</f>
        <v>1</v>
      </c>
      <c r="G415" s="26" t="str">
        <f>IF(C415="","",INDEX(Rotation_Pattern!$B$4:$E$7,F415,MATCH(E415,{"A","B","C","D"},0)))</f>
        <v/>
      </c>
      <c r="H415" s="32" t="str">
        <f t="shared" si="19"/>
        <v/>
      </c>
      <c r="I415" s="32" t="str">
        <f>IF(OR(G415="Off",G415=""),"",H415+TIME(Settings!$B$8,0,0))</f>
        <v/>
      </c>
      <c r="J415" s="26">
        <f>IF(OR(G415="Off",G415=""),0,Settings!$B$8)</f>
        <v>0</v>
      </c>
      <c r="K415" s="25" t="s">
        <v>111</v>
      </c>
      <c r="L415" s="26" t="str">
        <f>IF(A415="","",IF(COUNTIF(Public_Holidays!$A$4:$A$80,A415)&gt;0,"Y","N"))</f>
        <v>N</v>
      </c>
      <c r="M415" s="26" t="str">
        <f t="shared" si="20"/>
        <v>N</v>
      </c>
      <c r="N415" s="26" t="e">
        <f ca="1">IF(A415="","",_xludf.TEXTJOIN("; ",TRUE,IF(SUMIFS($J:$J,$C:$C,C415,$B:$B,B415)&gt;Settings!$B$9,"Weekly ordinary hrs &gt;45",""),IF(SUMIFS(Claims!$H:$H,Claims!$C:$C,C415,Claims!$B:$B,B415)&gt;Settings!$B$10,"Weekly OT &gt;10",""),IF(AND(G415&lt;&gt;"Off",COUNTIFS($C:$C,C415,$A:$A,A415-1,$G:$G,"Night")&gt;0),"Rest &lt;12h after night shift",""),IF(J415&gt;5,"Meal interval required","")))</f>
        <v>#NAME?</v>
      </c>
      <c r="O415" s="25" t="s">
        <v>112</v>
      </c>
      <c r="P415" s="25"/>
    </row>
    <row r="416" spans="1:16" x14ac:dyDescent="0.35">
      <c r="A416" s="31">
        <f>IF(20+1&lt;=Settings!$B$7,Settings!$B$6+20,"")</f>
        <v>46163</v>
      </c>
      <c r="B416" s="31">
        <f t="shared" si="18"/>
        <v>46160</v>
      </c>
      <c r="C416" s="26" t="str">
        <f>IF(Employees!A16="","",Employees!A16)</f>
        <v/>
      </c>
      <c r="D416" s="26" t="str">
        <f>IF(C416="","",Employees!B16)</f>
        <v/>
      </c>
      <c r="E416" s="26" t="str">
        <f>IF(C416="","",Employees!C16)</f>
        <v/>
      </c>
      <c r="F416" s="26">
        <f>IF(A416="","",MOD(A416-Settings!$B$6,4)+1)</f>
        <v>1</v>
      </c>
      <c r="G416" s="26" t="str">
        <f>IF(C416="","",INDEX(Rotation_Pattern!$B$4:$E$7,F416,MATCH(E416,{"A","B","C","D"},0)))</f>
        <v/>
      </c>
      <c r="H416" s="32" t="str">
        <f t="shared" si="19"/>
        <v/>
      </c>
      <c r="I416" s="32" t="str">
        <f>IF(OR(G416="Off",G416=""),"",H416+TIME(Settings!$B$8,0,0))</f>
        <v/>
      </c>
      <c r="J416" s="26">
        <f>IF(OR(G416="Off",G416=""),0,Settings!$B$8)</f>
        <v>0</v>
      </c>
      <c r="K416" s="25" t="s">
        <v>111</v>
      </c>
      <c r="L416" s="26" t="str">
        <f>IF(A416="","",IF(COUNTIF(Public_Holidays!$A$4:$A$80,A416)&gt;0,"Y","N"))</f>
        <v>N</v>
      </c>
      <c r="M416" s="26" t="str">
        <f t="shared" si="20"/>
        <v>N</v>
      </c>
      <c r="N416" s="26" t="e">
        <f ca="1">IF(A416="","",_xludf.TEXTJOIN("; ",TRUE,IF(SUMIFS($J:$J,$C:$C,C416,$B:$B,B416)&gt;Settings!$B$9,"Weekly ordinary hrs &gt;45",""),IF(SUMIFS(Claims!$H:$H,Claims!$C:$C,C416,Claims!$B:$B,B416)&gt;Settings!$B$10,"Weekly OT &gt;10",""),IF(AND(G416&lt;&gt;"Off",COUNTIFS($C:$C,C416,$A:$A,A416-1,$G:$G,"Night")&gt;0),"Rest &lt;12h after night shift",""),IF(J416&gt;5,"Meal interval required","")))</f>
        <v>#NAME?</v>
      </c>
      <c r="O416" s="25" t="s">
        <v>112</v>
      </c>
      <c r="P416" s="25"/>
    </row>
    <row r="417" spans="1:16" x14ac:dyDescent="0.35">
      <c r="A417" s="31">
        <f>IF(20+1&lt;=Settings!$B$7,Settings!$B$6+20,"")</f>
        <v>46163</v>
      </c>
      <c r="B417" s="31">
        <f t="shared" si="18"/>
        <v>46160</v>
      </c>
      <c r="C417" s="26" t="str">
        <f>IF(Employees!A17="","",Employees!A17)</f>
        <v/>
      </c>
      <c r="D417" s="26" t="str">
        <f>IF(C417="","",Employees!B17)</f>
        <v/>
      </c>
      <c r="E417" s="26" t="str">
        <f>IF(C417="","",Employees!C17)</f>
        <v/>
      </c>
      <c r="F417" s="26">
        <f>IF(A417="","",MOD(A417-Settings!$B$6,4)+1)</f>
        <v>1</v>
      </c>
      <c r="G417" s="26" t="str">
        <f>IF(C417="","",INDEX(Rotation_Pattern!$B$4:$E$7,F417,MATCH(E417,{"A","B","C","D"},0)))</f>
        <v/>
      </c>
      <c r="H417" s="32" t="str">
        <f t="shared" si="19"/>
        <v/>
      </c>
      <c r="I417" s="32" t="str">
        <f>IF(OR(G417="Off",G417=""),"",H417+TIME(Settings!$B$8,0,0))</f>
        <v/>
      </c>
      <c r="J417" s="26">
        <f>IF(OR(G417="Off",G417=""),0,Settings!$B$8)</f>
        <v>0</v>
      </c>
      <c r="K417" s="25" t="s">
        <v>111</v>
      </c>
      <c r="L417" s="26" t="str">
        <f>IF(A417="","",IF(COUNTIF(Public_Holidays!$A$4:$A$80,A417)&gt;0,"Y","N"))</f>
        <v>N</v>
      </c>
      <c r="M417" s="26" t="str">
        <f t="shared" si="20"/>
        <v>N</v>
      </c>
      <c r="N417" s="26" t="e">
        <f ca="1">IF(A417="","",_xludf.TEXTJOIN("; ",TRUE,IF(SUMIFS($J:$J,$C:$C,C417,$B:$B,B417)&gt;Settings!$B$9,"Weekly ordinary hrs &gt;45",""),IF(SUMIFS(Claims!$H:$H,Claims!$C:$C,C417,Claims!$B:$B,B417)&gt;Settings!$B$10,"Weekly OT &gt;10",""),IF(AND(G417&lt;&gt;"Off",COUNTIFS($C:$C,C417,$A:$A,A417-1,$G:$G,"Night")&gt;0),"Rest &lt;12h after night shift",""),IF(J417&gt;5,"Meal interval required","")))</f>
        <v>#NAME?</v>
      </c>
      <c r="O417" s="25" t="s">
        <v>112</v>
      </c>
      <c r="P417" s="25"/>
    </row>
    <row r="418" spans="1:16" x14ac:dyDescent="0.35">
      <c r="A418" s="31">
        <f>IF(20+1&lt;=Settings!$B$7,Settings!$B$6+20,"")</f>
        <v>46163</v>
      </c>
      <c r="B418" s="31">
        <f t="shared" si="18"/>
        <v>46160</v>
      </c>
      <c r="C418" s="26" t="str">
        <f>IF(Employees!A18="","",Employees!A18)</f>
        <v/>
      </c>
      <c r="D418" s="26" t="str">
        <f>IF(C418="","",Employees!B18)</f>
        <v/>
      </c>
      <c r="E418" s="26" t="str">
        <f>IF(C418="","",Employees!C18)</f>
        <v/>
      </c>
      <c r="F418" s="26">
        <f>IF(A418="","",MOD(A418-Settings!$B$6,4)+1)</f>
        <v>1</v>
      </c>
      <c r="G418" s="26" t="str">
        <f>IF(C418="","",INDEX(Rotation_Pattern!$B$4:$E$7,F418,MATCH(E418,{"A","B","C","D"},0)))</f>
        <v/>
      </c>
      <c r="H418" s="32" t="str">
        <f t="shared" si="19"/>
        <v/>
      </c>
      <c r="I418" s="32" t="str">
        <f>IF(OR(G418="Off",G418=""),"",H418+TIME(Settings!$B$8,0,0))</f>
        <v/>
      </c>
      <c r="J418" s="26">
        <f>IF(OR(G418="Off",G418=""),0,Settings!$B$8)</f>
        <v>0</v>
      </c>
      <c r="K418" s="25" t="s">
        <v>111</v>
      </c>
      <c r="L418" s="26" t="str">
        <f>IF(A418="","",IF(COUNTIF(Public_Holidays!$A$4:$A$80,A418)&gt;0,"Y","N"))</f>
        <v>N</v>
      </c>
      <c r="M418" s="26" t="str">
        <f t="shared" si="20"/>
        <v>N</v>
      </c>
      <c r="N418" s="26" t="e">
        <f ca="1">IF(A418="","",_xludf.TEXTJOIN("; ",TRUE,IF(SUMIFS($J:$J,$C:$C,C418,$B:$B,B418)&gt;Settings!$B$9,"Weekly ordinary hrs &gt;45",""),IF(SUMIFS(Claims!$H:$H,Claims!$C:$C,C418,Claims!$B:$B,B418)&gt;Settings!$B$10,"Weekly OT &gt;10",""),IF(AND(G418&lt;&gt;"Off",COUNTIFS($C:$C,C418,$A:$A,A418-1,$G:$G,"Night")&gt;0),"Rest &lt;12h after night shift",""),IF(J418&gt;5,"Meal interval required","")))</f>
        <v>#NAME?</v>
      </c>
      <c r="O418" s="25" t="s">
        <v>112</v>
      </c>
      <c r="P418" s="25"/>
    </row>
    <row r="419" spans="1:16" x14ac:dyDescent="0.35">
      <c r="A419" s="31">
        <f>IF(20+1&lt;=Settings!$B$7,Settings!$B$6+20,"")</f>
        <v>46163</v>
      </c>
      <c r="B419" s="31">
        <f t="shared" si="18"/>
        <v>46160</v>
      </c>
      <c r="C419" s="26" t="str">
        <f>IF(Employees!A19="","",Employees!A19)</f>
        <v/>
      </c>
      <c r="D419" s="26" t="str">
        <f>IF(C419="","",Employees!B19)</f>
        <v/>
      </c>
      <c r="E419" s="26" t="str">
        <f>IF(C419="","",Employees!C19)</f>
        <v/>
      </c>
      <c r="F419" s="26">
        <f>IF(A419="","",MOD(A419-Settings!$B$6,4)+1)</f>
        <v>1</v>
      </c>
      <c r="G419" s="26" t="str">
        <f>IF(C419="","",INDEX(Rotation_Pattern!$B$4:$E$7,F419,MATCH(E419,{"A","B","C","D"},0)))</f>
        <v/>
      </c>
      <c r="H419" s="32" t="str">
        <f t="shared" si="19"/>
        <v/>
      </c>
      <c r="I419" s="32" t="str">
        <f>IF(OR(G419="Off",G419=""),"",H419+TIME(Settings!$B$8,0,0))</f>
        <v/>
      </c>
      <c r="J419" s="26">
        <f>IF(OR(G419="Off",G419=""),0,Settings!$B$8)</f>
        <v>0</v>
      </c>
      <c r="K419" s="25" t="s">
        <v>111</v>
      </c>
      <c r="L419" s="26" t="str">
        <f>IF(A419="","",IF(COUNTIF(Public_Holidays!$A$4:$A$80,A419)&gt;0,"Y","N"))</f>
        <v>N</v>
      </c>
      <c r="M419" s="26" t="str">
        <f t="shared" si="20"/>
        <v>N</v>
      </c>
      <c r="N419" s="26" t="e">
        <f ca="1">IF(A419="","",_xludf.TEXTJOIN("; ",TRUE,IF(SUMIFS($J:$J,$C:$C,C419,$B:$B,B419)&gt;Settings!$B$9,"Weekly ordinary hrs &gt;45",""),IF(SUMIFS(Claims!$H:$H,Claims!$C:$C,C419,Claims!$B:$B,B419)&gt;Settings!$B$10,"Weekly OT &gt;10",""),IF(AND(G419&lt;&gt;"Off",COUNTIFS($C:$C,C419,$A:$A,A419-1,$G:$G,"Night")&gt;0),"Rest &lt;12h after night shift",""),IF(J419&gt;5,"Meal interval required","")))</f>
        <v>#NAME?</v>
      </c>
      <c r="O419" s="25" t="s">
        <v>112</v>
      </c>
      <c r="P419" s="25"/>
    </row>
    <row r="420" spans="1:16" x14ac:dyDescent="0.35">
      <c r="A420" s="31">
        <f>IF(20+1&lt;=Settings!$B$7,Settings!$B$6+20,"")</f>
        <v>46163</v>
      </c>
      <c r="B420" s="31">
        <f t="shared" si="18"/>
        <v>46160</v>
      </c>
      <c r="C420" s="26" t="str">
        <f>IF(Employees!A20="","",Employees!A20)</f>
        <v/>
      </c>
      <c r="D420" s="26" t="str">
        <f>IF(C420="","",Employees!B20)</f>
        <v/>
      </c>
      <c r="E420" s="26" t="str">
        <f>IF(C420="","",Employees!C20)</f>
        <v/>
      </c>
      <c r="F420" s="26">
        <f>IF(A420="","",MOD(A420-Settings!$B$6,4)+1)</f>
        <v>1</v>
      </c>
      <c r="G420" s="26" t="str">
        <f>IF(C420="","",INDEX(Rotation_Pattern!$B$4:$E$7,F420,MATCH(E420,{"A","B","C","D"},0)))</f>
        <v/>
      </c>
      <c r="H420" s="32" t="str">
        <f t="shared" si="19"/>
        <v/>
      </c>
      <c r="I420" s="32" t="str">
        <f>IF(OR(G420="Off",G420=""),"",H420+TIME(Settings!$B$8,0,0))</f>
        <v/>
      </c>
      <c r="J420" s="26">
        <f>IF(OR(G420="Off",G420=""),0,Settings!$B$8)</f>
        <v>0</v>
      </c>
      <c r="K420" s="25" t="s">
        <v>111</v>
      </c>
      <c r="L420" s="26" t="str">
        <f>IF(A420="","",IF(COUNTIF(Public_Holidays!$A$4:$A$80,A420)&gt;0,"Y","N"))</f>
        <v>N</v>
      </c>
      <c r="M420" s="26" t="str">
        <f t="shared" si="20"/>
        <v>N</v>
      </c>
      <c r="N420" s="26" t="e">
        <f ca="1">IF(A420="","",_xludf.TEXTJOIN("; ",TRUE,IF(SUMIFS($J:$J,$C:$C,C420,$B:$B,B420)&gt;Settings!$B$9,"Weekly ordinary hrs &gt;45",""),IF(SUMIFS(Claims!$H:$H,Claims!$C:$C,C420,Claims!$B:$B,B420)&gt;Settings!$B$10,"Weekly OT &gt;10",""),IF(AND(G420&lt;&gt;"Off",COUNTIFS($C:$C,C420,$A:$A,A420-1,$G:$G,"Night")&gt;0),"Rest &lt;12h after night shift",""),IF(J420&gt;5,"Meal interval required","")))</f>
        <v>#NAME?</v>
      </c>
      <c r="O420" s="25" t="s">
        <v>112</v>
      </c>
      <c r="P420" s="25"/>
    </row>
    <row r="421" spans="1:16" x14ac:dyDescent="0.35">
      <c r="A421" s="31">
        <f>IF(20+1&lt;=Settings!$B$7,Settings!$B$6+20,"")</f>
        <v>46163</v>
      </c>
      <c r="B421" s="31">
        <f t="shared" si="18"/>
        <v>46160</v>
      </c>
      <c r="C421" s="26" t="str">
        <f>IF(Employees!A21="","",Employees!A21)</f>
        <v/>
      </c>
      <c r="D421" s="26" t="str">
        <f>IF(C421="","",Employees!B21)</f>
        <v/>
      </c>
      <c r="E421" s="26" t="str">
        <f>IF(C421="","",Employees!C21)</f>
        <v/>
      </c>
      <c r="F421" s="26">
        <f>IF(A421="","",MOD(A421-Settings!$B$6,4)+1)</f>
        <v>1</v>
      </c>
      <c r="G421" s="26" t="str">
        <f>IF(C421="","",INDEX(Rotation_Pattern!$B$4:$E$7,F421,MATCH(E421,{"A","B","C","D"},0)))</f>
        <v/>
      </c>
      <c r="H421" s="32" t="str">
        <f t="shared" si="19"/>
        <v/>
      </c>
      <c r="I421" s="32" t="str">
        <f>IF(OR(G421="Off",G421=""),"",H421+TIME(Settings!$B$8,0,0))</f>
        <v/>
      </c>
      <c r="J421" s="26">
        <f>IF(OR(G421="Off",G421=""),0,Settings!$B$8)</f>
        <v>0</v>
      </c>
      <c r="K421" s="25" t="s">
        <v>111</v>
      </c>
      <c r="L421" s="26" t="str">
        <f>IF(A421="","",IF(COUNTIF(Public_Holidays!$A$4:$A$80,A421)&gt;0,"Y","N"))</f>
        <v>N</v>
      </c>
      <c r="M421" s="26" t="str">
        <f t="shared" si="20"/>
        <v>N</v>
      </c>
      <c r="N421" s="26" t="e">
        <f ca="1">IF(A421="","",_xludf.TEXTJOIN("; ",TRUE,IF(SUMIFS($J:$J,$C:$C,C421,$B:$B,B421)&gt;Settings!$B$9,"Weekly ordinary hrs &gt;45",""),IF(SUMIFS(Claims!$H:$H,Claims!$C:$C,C421,Claims!$B:$B,B421)&gt;Settings!$B$10,"Weekly OT &gt;10",""),IF(AND(G421&lt;&gt;"Off",COUNTIFS($C:$C,C421,$A:$A,A421-1,$G:$G,"Night")&gt;0),"Rest &lt;12h after night shift",""),IF(J421&gt;5,"Meal interval required","")))</f>
        <v>#NAME?</v>
      </c>
      <c r="O421" s="25" t="s">
        <v>112</v>
      </c>
      <c r="P421" s="25"/>
    </row>
    <row r="422" spans="1:16" x14ac:dyDescent="0.35">
      <c r="A422" s="31">
        <f>IF(20+1&lt;=Settings!$B$7,Settings!$B$6+20,"")</f>
        <v>46163</v>
      </c>
      <c r="B422" s="31">
        <f t="shared" si="18"/>
        <v>46160</v>
      </c>
      <c r="C422" s="26" t="str">
        <f>IF(Employees!A22="","",Employees!A22)</f>
        <v/>
      </c>
      <c r="D422" s="26" t="str">
        <f>IF(C422="","",Employees!B22)</f>
        <v/>
      </c>
      <c r="E422" s="26" t="str">
        <f>IF(C422="","",Employees!C22)</f>
        <v/>
      </c>
      <c r="F422" s="26">
        <f>IF(A422="","",MOD(A422-Settings!$B$6,4)+1)</f>
        <v>1</v>
      </c>
      <c r="G422" s="26" t="str">
        <f>IF(C422="","",INDEX(Rotation_Pattern!$B$4:$E$7,F422,MATCH(E422,{"A","B","C","D"},0)))</f>
        <v/>
      </c>
      <c r="H422" s="32" t="str">
        <f t="shared" si="19"/>
        <v/>
      </c>
      <c r="I422" s="32" t="str">
        <f>IF(OR(G422="Off",G422=""),"",H422+TIME(Settings!$B$8,0,0))</f>
        <v/>
      </c>
      <c r="J422" s="26">
        <f>IF(OR(G422="Off",G422=""),0,Settings!$B$8)</f>
        <v>0</v>
      </c>
      <c r="K422" s="25" t="s">
        <v>111</v>
      </c>
      <c r="L422" s="26" t="str">
        <f>IF(A422="","",IF(COUNTIF(Public_Holidays!$A$4:$A$80,A422)&gt;0,"Y","N"))</f>
        <v>N</v>
      </c>
      <c r="M422" s="26" t="str">
        <f t="shared" si="20"/>
        <v>N</v>
      </c>
      <c r="N422" s="26" t="e">
        <f ca="1">IF(A422="","",_xludf.TEXTJOIN("; ",TRUE,IF(SUMIFS($J:$J,$C:$C,C422,$B:$B,B422)&gt;Settings!$B$9,"Weekly ordinary hrs &gt;45",""),IF(SUMIFS(Claims!$H:$H,Claims!$C:$C,C422,Claims!$B:$B,B422)&gt;Settings!$B$10,"Weekly OT &gt;10",""),IF(AND(G422&lt;&gt;"Off",COUNTIFS($C:$C,C422,$A:$A,A422-1,$G:$G,"Night")&gt;0),"Rest &lt;12h after night shift",""),IF(J422&gt;5,"Meal interval required","")))</f>
        <v>#NAME?</v>
      </c>
      <c r="O422" s="25" t="s">
        <v>112</v>
      </c>
      <c r="P422" s="25"/>
    </row>
    <row r="423" spans="1:16" x14ac:dyDescent="0.35">
      <c r="A423" s="31">
        <f>IF(20+1&lt;=Settings!$B$7,Settings!$B$6+20,"")</f>
        <v>46163</v>
      </c>
      <c r="B423" s="31">
        <f t="shared" si="18"/>
        <v>46160</v>
      </c>
      <c r="C423" s="26" t="str">
        <f>IF(Employees!A23="","",Employees!A23)</f>
        <v/>
      </c>
      <c r="D423" s="26" t="str">
        <f>IF(C423="","",Employees!B23)</f>
        <v/>
      </c>
      <c r="E423" s="26" t="str">
        <f>IF(C423="","",Employees!C23)</f>
        <v/>
      </c>
      <c r="F423" s="26">
        <f>IF(A423="","",MOD(A423-Settings!$B$6,4)+1)</f>
        <v>1</v>
      </c>
      <c r="G423" s="26" t="str">
        <f>IF(C423="","",INDEX(Rotation_Pattern!$B$4:$E$7,F423,MATCH(E423,{"A","B","C","D"},0)))</f>
        <v/>
      </c>
      <c r="H423" s="32" t="str">
        <f t="shared" si="19"/>
        <v/>
      </c>
      <c r="I423" s="32" t="str">
        <f>IF(OR(G423="Off",G423=""),"",H423+TIME(Settings!$B$8,0,0))</f>
        <v/>
      </c>
      <c r="J423" s="26">
        <f>IF(OR(G423="Off",G423=""),0,Settings!$B$8)</f>
        <v>0</v>
      </c>
      <c r="K423" s="25" t="s">
        <v>111</v>
      </c>
      <c r="L423" s="26" t="str">
        <f>IF(A423="","",IF(COUNTIF(Public_Holidays!$A$4:$A$80,A423)&gt;0,"Y","N"))</f>
        <v>N</v>
      </c>
      <c r="M423" s="26" t="str">
        <f t="shared" si="20"/>
        <v>N</v>
      </c>
      <c r="N423" s="26" t="e">
        <f ca="1">IF(A423="","",_xludf.TEXTJOIN("; ",TRUE,IF(SUMIFS($J:$J,$C:$C,C423,$B:$B,B423)&gt;Settings!$B$9,"Weekly ordinary hrs &gt;45",""),IF(SUMIFS(Claims!$H:$H,Claims!$C:$C,C423,Claims!$B:$B,B423)&gt;Settings!$B$10,"Weekly OT &gt;10",""),IF(AND(G423&lt;&gt;"Off",COUNTIFS($C:$C,C423,$A:$A,A423-1,$G:$G,"Night")&gt;0),"Rest &lt;12h after night shift",""),IF(J423&gt;5,"Meal interval required","")))</f>
        <v>#NAME?</v>
      </c>
      <c r="O423" s="25" t="s">
        <v>112</v>
      </c>
      <c r="P423" s="25"/>
    </row>
    <row r="424" spans="1:16" x14ac:dyDescent="0.35">
      <c r="A424" s="31">
        <f>IF(21+1&lt;=Settings!$B$7,Settings!$B$6+21,"")</f>
        <v>46164</v>
      </c>
      <c r="B424" s="31">
        <f t="shared" si="18"/>
        <v>46160</v>
      </c>
      <c r="C424" s="26" t="str">
        <f>IF(Employees!A4="","",Employees!A4)</f>
        <v>E001</v>
      </c>
      <c r="D424" s="26" t="str">
        <f>IF(C424="","",Employees!B4)</f>
        <v>Musiwa Khavalani</v>
      </c>
      <c r="E424" s="26">
        <f>IF(C424="","",Employees!C4)</f>
        <v>0</v>
      </c>
      <c r="F424" s="26">
        <f>IF(A424="","",MOD(A424-Settings!$B$6,4)+1)</f>
        <v>2</v>
      </c>
      <c r="G424" s="26" t="e">
        <f>IF(C424="","",INDEX(Rotation_Pattern!$B$4:$E$7,F424,MATCH(E424,{"A","B","C","D"},0)))</f>
        <v>#N/A</v>
      </c>
      <c r="H424" s="32" t="e">
        <f t="shared" si="19"/>
        <v>#N/A</v>
      </c>
      <c r="I424" s="32" t="e">
        <f>IF(OR(G424="Off",G424=""),"",H424+TIME(Settings!$B$8,0,0))</f>
        <v>#N/A</v>
      </c>
      <c r="J424" s="26" t="e">
        <f>IF(OR(G424="Off",G424=""),0,Settings!$B$8)</f>
        <v>#N/A</v>
      </c>
      <c r="K424" s="25" t="s">
        <v>111</v>
      </c>
      <c r="L424" s="26" t="str">
        <f>IF(A424="","",IF(COUNTIF(Public_Holidays!$A$4:$A$80,A424)&gt;0,"Y","N"))</f>
        <v>N</v>
      </c>
      <c r="M424" s="26" t="str">
        <f t="shared" si="20"/>
        <v>N</v>
      </c>
      <c r="N424" s="26" t="e">
        <f ca="1">IF(A424="","",_xludf.TEXTJOIN("; ",TRUE,IF(SUMIFS($J:$J,$C:$C,C424,$B:$B,B424)&gt;Settings!$B$9,"Weekly ordinary hrs &gt;45",""),IF(SUMIFS(Claims!$H:$H,Claims!$C:$C,C424,Claims!$B:$B,B424)&gt;Settings!$B$10,"Weekly OT &gt;10",""),IF(AND(G424&lt;&gt;"Off",COUNTIFS($C:$C,C424,$A:$A,A424-1,$G:$G,"Night")&gt;0),"Rest &lt;12h after night shift",""),IF(J424&gt;5,"Meal interval required","")))</f>
        <v>#NAME?</v>
      </c>
      <c r="O424" s="25" t="s">
        <v>112</v>
      </c>
      <c r="P424" s="25"/>
    </row>
    <row r="425" spans="1:16" x14ac:dyDescent="0.35">
      <c r="A425" s="31">
        <f>IF(21+1&lt;=Settings!$B$7,Settings!$B$6+21,"")</f>
        <v>46164</v>
      </c>
      <c r="B425" s="31">
        <f t="shared" si="18"/>
        <v>46160</v>
      </c>
      <c r="C425" s="26" t="str">
        <f>IF(Employees!A5="","",Employees!A5)</f>
        <v>E002</v>
      </c>
      <c r="D425" s="26" t="str">
        <f>IF(C425="","",Employees!B5)</f>
        <v>Mpho  Nembemhia</v>
      </c>
      <c r="E425" s="26" t="str">
        <f>IF(C425="","",Employees!C5)</f>
        <v>B</v>
      </c>
      <c r="F425" s="26">
        <f>IF(A425="","",MOD(A425-Settings!$B$6,4)+1)</f>
        <v>2</v>
      </c>
      <c r="G425" s="26" t="str">
        <f>IF(C425="","",INDEX(Rotation_Pattern!$B$4:$E$7,F425,MATCH(E425,{"A","B","C","D"},0)))</f>
        <v>Day</v>
      </c>
      <c r="H425" s="32">
        <f t="shared" si="19"/>
        <v>0.25</v>
      </c>
      <c r="I425" s="32">
        <f>IF(OR(G425="Off",G425=""),"",H425+TIME(Settings!$B$8,0,0))</f>
        <v>0.58333333333333326</v>
      </c>
      <c r="J425" s="26">
        <f>IF(OR(G425="Off",G425=""),0,Settings!$B$8)</f>
        <v>8</v>
      </c>
      <c r="K425" s="25" t="s">
        <v>111</v>
      </c>
      <c r="L425" s="26" t="str">
        <f>IF(A425="","",IF(COUNTIF(Public_Holidays!$A$4:$A$80,A425)&gt;0,"Y","N"))</f>
        <v>N</v>
      </c>
      <c r="M425" s="26" t="str">
        <f t="shared" si="20"/>
        <v>N</v>
      </c>
      <c r="N425" s="26" t="e">
        <f ca="1">IF(A425="","",_xludf.TEXTJOIN("; ",TRUE,IF(SUMIFS($J:$J,$C:$C,C425,$B:$B,B425)&gt;Settings!$B$9,"Weekly ordinary hrs &gt;45",""),IF(SUMIFS(Claims!$H:$H,Claims!$C:$C,C425,Claims!$B:$B,B425)&gt;Settings!$B$10,"Weekly OT &gt;10",""),IF(AND(G425&lt;&gt;"Off",COUNTIFS($C:$C,C425,$A:$A,A425-1,$G:$G,"Night")&gt;0),"Rest &lt;12h after night shift",""),IF(J425&gt;5,"Meal interval required","")))</f>
        <v>#NAME?</v>
      </c>
      <c r="O425" s="25" t="s">
        <v>112</v>
      </c>
      <c r="P425" s="25"/>
    </row>
    <row r="426" spans="1:16" x14ac:dyDescent="0.35">
      <c r="A426" s="31">
        <f>IF(21+1&lt;=Settings!$B$7,Settings!$B$6+21,"")</f>
        <v>46164</v>
      </c>
      <c r="B426" s="31">
        <f t="shared" si="18"/>
        <v>46160</v>
      </c>
      <c r="C426" s="26" t="str">
        <f>IF(Employees!A6="","",Employees!A6)</f>
        <v>E003</v>
      </c>
      <c r="D426" s="26" t="str">
        <f>IF(C426="","",Employees!B6)</f>
        <v>Dimpho Makhafola</v>
      </c>
      <c r="E426" s="26" t="str">
        <f>IF(C426="","",Employees!C6)</f>
        <v>C</v>
      </c>
      <c r="F426" s="26">
        <f>IF(A426="","",MOD(A426-Settings!$B$6,4)+1)</f>
        <v>2</v>
      </c>
      <c r="G426" s="26" t="str">
        <f>IF(C426="","",INDEX(Rotation_Pattern!$B$4:$E$7,F426,MATCH(E426,{"A","B","C","D"},0)))</f>
        <v>Off</v>
      </c>
      <c r="H426" s="32" t="str">
        <f t="shared" si="19"/>
        <v/>
      </c>
      <c r="I426" s="32" t="str">
        <f>IF(OR(G426="Off",G426=""),"",H426+TIME(Settings!$B$8,0,0))</f>
        <v/>
      </c>
      <c r="J426" s="26">
        <f>IF(OR(G426="Off",G426=""),0,Settings!$B$8)</f>
        <v>0</v>
      </c>
      <c r="K426" s="25" t="s">
        <v>111</v>
      </c>
      <c r="L426" s="26" t="str">
        <f>IF(A426="","",IF(COUNTIF(Public_Holidays!$A$4:$A$80,A426)&gt;0,"Y","N"))</f>
        <v>N</v>
      </c>
      <c r="M426" s="26" t="str">
        <f t="shared" si="20"/>
        <v>N</v>
      </c>
      <c r="N426" s="26" t="e">
        <f ca="1">IF(A426="","",_xludf.TEXTJOIN("; ",TRUE,IF(SUMIFS($J:$J,$C:$C,C426,$B:$B,B426)&gt;Settings!$B$9,"Weekly ordinary hrs &gt;45",""),IF(SUMIFS(Claims!$H:$H,Claims!$C:$C,C426,Claims!$B:$B,B426)&gt;Settings!$B$10,"Weekly OT &gt;10",""),IF(AND(G426&lt;&gt;"Off",COUNTIFS($C:$C,C426,$A:$A,A426-1,$G:$G,"Night")&gt;0),"Rest &lt;12h after night shift",""),IF(J426&gt;5,"Meal interval required","")))</f>
        <v>#NAME?</v>
      </c>
      <c r="O426" s="25" t="s">
        <v>112</v>
      </c>
      <c r="P426" s="25"/>
    </row>
    <row r="427" spans="1:16" x14ac:dyDescent="0.35">
      <c r="A427" s="31">
        <f>IF(21+1&lt;=Settings!$B$7,Settings!$B$6+21,"")</f>
        <v>46164</v>
      </c>
      <c r="B427" s="31">
        <f t="shared" si="18"/>
        <v>46160</v>
      </c>
      <c r="C427" s="26" t="str">
        <f>IF(Employees!A7="","",Employees!A7)</f>
        <v>E004</v>
      </c>
      <c r="D427" s="26" t="str">
        <f>IF(C427="","",Employees!B7)</f>
        <v>Bashii Fall</v>
      </c>
      <c r="E427" s="26" t="str">
        <f>IF(C427="","",Employees!C7)</f>
        <v>D</v>
      </c>
      <c r="F427" s="26">
        <f>IF(A427="","",MOD(A427-Settings!$B$6,4)+1)</f>
        <v>2</v>
      </c>
      <c r="G427" s="26" t="str">
        <f>IF(C427="","",INDEX(Rotation_Pattern!$B$4:$E$7,F427,MATCH(E427,{"A","B","C","D"},0)))</f>
        <v>Night</v>
      </c>
      <c r="H427" s="32">
        <f t="shared" si="19"/>
        <v>0.91666666666666663</v>
      </c>
      <c r="I427" s="32">
        <f>IF(OR(G427="Off",G427=""),"",H427+TIME(Settings!$B$8,0,0))</f>
        <v>1.25</v>
      </c>
      <c r="J427" s="26">
        <f>IF(OR(G427="Off",G427=""),0,Settings!$B$8)</f>
        <v>8</v>
      </c>
      <c r="K427" s="25" t="s">
        <v>111</v>
      </c>
      <c r="L427" s="26" t="str">
        <f>IF(A427="","",IF(COUNTIF(Public_Holidays!$A$4:$A$80,A427)&gt;0,"Y","N"))</f>
        <v>N</v>
      </c>
      <c r="M427" s="26" t="str">
        <f t="shared" si="20"/>
        <v>N</v>
      </c>
      <c r="N427" s="26" t="e">
        <f ca="1">IF(A427="","",_xludf.TEXTJOIN("; ",TRUE,IF(SUMIFS($J:$J,$C:$C,C427,$B:$B,B427)&gt;Settings!$B$9,"Weekly ordinary hrs &gt;45",""),IF(SUMIFS(Claims!$H:$H,Claims!$C:$C,C427,Claims!$B:$B,B427)&gt;Settings!$B$10,"Weekly OT &gt;10",""),IF(AND(G427&lt;&gt;"Off",COUNTIFS($C:$C,C427,$A:$A,A427-1,$G:$G,"Night")&gt;0),"Rest &lt;12h after night shift",""),IF(J427&gt;5,"Meal interval required","")))</f>
        <v>#NAME?</v>
      </c>
      <c r="O427" s="25" t="s">
        <v>112</v>
      </c>
      <c r="P427" s="25"/>
    </row>
    <row r="428" spans="1:16" x14ac:dyDescent="0.35">
      <c r="A428" s="31">
        <f>IF(21+1&lt;=Settings!$B$7,Settings!$B$6+21,"")</f>
        <v>46164</v>
      </c>
      <c r="B428" s="31">
        <f t="shared" si="18"/>
        <v>46160</v>
      </c>
      <c r="C428" s="26" t="str">
        <f>IF(Employees!A8="","",Employees!A8)</f>
        <v>E005</v>
      </c>
      <c r="D428" s="26" t="str">
        <f>IF(C428="","",Employees!B8)</f>
        <v>Lesego Aphane</v>
      </c>
      <c r="E428" s="26" t="str">
        <f>IF(C428="","",Employees!C8)</f>
        <v>A</v>
      </c>
      <c r="F428" s="26">
        <f>IF(A428="","",MOD(A428-Settings!$B$6,4)+1)</f>
        <v>2</v>
      </c>
      <c r="G428" s="26" t="str">
        <f>IF(C428="","",INDEX(Rotation_Pattern!$B$4:$E$7,F428,MATCH(E428,{"A","B","C","D"},0)))</f>
        <v>Evening</v>
      </c>
      <c r="H428" s="32">
        <f t="shared" si="19"/>
        <v>0.58333333333333337</v>
      </c>
      <c r="I428" s="32">
        <f>IF(OR(G428="Off",G428=""),"",H428+TIME(Settings!$B$8,0,0))</f>
        <v>0.91666666666666674</v>
      </c>
      <c r="J428" s="26">
        <f>IF(OR(G428="Off",G428=""),0,Settings!$B$8)</f>
        <v>8</v>
      </c>
      <c r="K428" s="25" t="s">
        <v>111</v>
      </c>
      <c r="L428" s="26" t="str">
        <f>IF(A428="","",IF(COUNTIF(Public_Holidays!$A$4:$A$80,A428)&gt;0,"Y","N"))</f>
        <v>N</v>
      </c>
      <c r="M428" s="26" t="str">
        <f t="shared" si="20"/>
        <v>N</v>
      </c>
      <c r="N428" s="26" t="e">
        <f ca="1">IF(A428="","",_xludf.TEXTJOIN("; ",TRUE,IF(SUMIFS($J:$J,$C:$C,C428,$B:$B,B428)&gt;Settings!$B$9,"Weekly ordinary hrs &gt;45",""),IF(SUMIFS(Claims!$H:$H,Claims!$C:$C,C428,Claims!$B:$B,B428)&gt;Settings!$B$10,"Weekly OT &gt;10",""),IF(AND(G428&lt;&gt;"Off",COUNTIFS($C:$C,C428,$A:$A,A428-1,$G:$G,"Night")&gt;0),"Rest &lt;12h after night shift",""),IF(J428&gt;5,"Meal interval required","")))</f>
        <v>#NAME?</v>
      </c>
      <c r="O428" s="25" t="s">
        <v>112</v>
      </c>
      <c r="P428" s="25"/>
    </row>
    <row r="429" spans="1:16" x14ac:dyDescent="0.35">
      <c r="A429" s="31">
        <f>IF(21+1&lt;=Settings!$B$7,Settings!$B$6+21,"")</f>
        <v>46164</v>
      </c>
      <c r="B429" s="31">
        <f t="shared" si="18"/>
        <v>46160</v>
      </c>
      <c r="C429" s="26" t="str">
        <f>IF(Employees!A9="","",Employees!A9)</f>
        <v>E006</v>
      </c>
      <c r="D429" s="26" t="str">
        <f>IF(C429="","",Employees!B9)</f>
        <v>Nhalnahla</v>
      </c>
      <c r="E429" s="26" t="str">
        <f>IF(C429="","",Employees!C9)</f>
        <v>B</v>
      </c>
      <c r="F429" s="26">
        <f>IF(A429="","",MOD(A429-Settings!$B$6,4)+1)</f>
        <v>2</v>
      </c>
      <c r="G429" s="26" t="str">
        <f>IF(C429="","",INDEX(Rotation_Pattern!$B$4:$E$7,F429,MATCH(E429,{"A","B","C","D"},0)))</f>
        <v>Day</v>
      </c>
      <c r="H429" s="32">
        <f t="shared" si="19"/>
        <v>0.25</v>
      </c>
      <c r="I429" s="32">
        <f>IF(OR(G429="Off",G429=""),"",H429+TIME(Settings!$B$8,0,0))</f>
        <v>0.58333333333333326</v>
      </c>
      <c r="J429" s="26">
        <f>IF(OR(G429="Off",G429=""),0,Settings!$B$8)</f>
        <v>8</v>
      </c>
      <c r="K429" s="25" t="s">
        <v>111</v>
      </c>
      <c r="L429" s="26" t="str">
        <f>IF(A429="","",IF(COUNTIF(Public_Holidays!$A$4:$A$80,A429)&gt;0,"Y","N"))</f>
        <v>N</v>
      </c>
      <c r="M429" s="26" t="str">
        <f t="shared" si="20"/>
        <v>N</v>
      </c>
      <c r="N429" s="26" t="e">
        <f ca="1">IF(A429="","",_xludf.TEXTJOIN("; ",TRUE,IF(SUMIFS($J:$J,$C:$C,C429,$B:$B,B429)&gt;Settings!$B$9,"Weekly ordinary hrs &gt;45",""),IF(SUMIFS(Claims!$H:$H,Claims!$C:$C,C429,Claims!$B:$B,B429)&gt;Settings!$B$10,"Weekly OT &gt;10",""),IF(AND(G429&lt;&gt;"Off",COUNTIFS($C:$C,C429,$A:$A,A429-1,$G:$G,"Night")&gt;0),"Rest &lt;12h after night shift",""),IF(J429&gt;5,"Meal interval required","")))</f>
        <v>#NAME?</v>
      </c>
      <c r="O429" s="25" t="s">
        <v>112</v>
      </c>
      <c r="P429" s="25"/>
    </row>
    <row r="430" spans="1:16" x14ac:dyDescent="0.35">
      <c r="A430" s="31">
        <f>IF(21+1&lt;=Settings!$B$7,Settings!$B$6+21,"")</f>
        <v>46164</v>
      </c>
      <c r="B430" s="31">
        <f t="shared" si="18"/>
        <v>46160</v>
      </c>
      <c r="C430" s="26" t="str">
        <f>IF(Employees!A10="","",Employees!A10)</f>
        <v>E007</v>
      </c>
      <c r="D430" s="26" t="str">
        <f>IF(C430="","",Employees!B10)</f>
        <v>Joe</v>
      </c>
      <c r="E430" s="26" t="str">
        <f>IF(C430="","",Employees!C10)</f>
        <v>C</v>
      </c>
      <c r="F430" s="26">
        <f>IF(A430="","",MOD(A430-Settings!$B$6,4)+1)</f>
        <v>2</v>
      </c>
      <c r="G430" s="26" t="str">
        <f>IF(C430="","",INDEX(Rotation_Pattern!$B$4:$E$7,F430,MATCH(E430,{"A","B","C","D"},0)))</f>
        <v>Off</v>
      </c>
      <c r="H430" s="32" t="str">
        <f t="shared" si="19"/>
        <v/>
      </c>
      <c r="I430" s="32" t="str">
        <f>IF(OR(G430="Off",G430=""),"",H430+TIME(Settings!$B$8,0,0))</f>
        <v/>
      </c>
      <c r="J430" s="26">
        <f>IF(OR(G430="Off",G430=""),0,Settings!$B$8)</f>
        <v>0</v>
      </c>
      <c r="K430" s="25" t="s">
        <v>111</v>
      </c>
      <c r="L430" s="26" t="str">
        <f>IF(A430="","",IF(COUNTIF(Public_Holidays!$A$4:$A$80,A430)&gt;0,"Y","N"))</f>
        <v>N</v>
      </c>
      <c r="M430" s="26" t="str">
        <f t="shared" si="20"/>
        <v>N</v>
      </c>
      <c r="N430" s="26" t="e">
        <f ca="1">IF(A430="","",_xludf.TEXTJOIN("; ",TRUE,IF(SUMIFS($J:$J,$C:$C,C430,$B:$B,B430)&gt;Settings!$B$9,"Weekly ordinary hrs &gt;45",""),IF(SUMIFS(Claims!$H:$H,Claims!$C:$C,C430,Claims!$B:$B,B430)&gt;Settings!$B$10,"Weekly OT &gt;10",""),IF(AND(G430&lt;&gt;"Off",COUNTIFS($C:$C,C430,$A:$A,A430-1,$G:$G,"Night")&gt;0),"Rest &lt;12h after night shift",""),IF(J430&gt;5,"Meal interval required","")))</f>
        <v>#NAME?</v>
      </c>
      <c r="O430" s="25" t="s">
        <v>112</v>
      </c>
      <c r="P430" s="25"/>
    </row>
    <row r="431" spans="1:16" x14ac:dyDescent="0.35">
      <c r="A431" s="31">
        <f>IF(21+1&lt;=Settings!$B$7,Settings!$B$6+21,"")</f>
        <v>46164</v>
      </c>
      <c r="B431" s="31">
        <f t="shared" si="18"/>
        <v>46160</v>
      </c>
      <c r="C431" s="26" t="str">
        <f>IF(Employees!A11="","",Employees!A11)</f>
        <v>E008</v>
      </c>
      <c r="D431" s="26" t="str">
        <f>IF(C431="","",Employees!B11)</f>
        <v>Tim</v>
      </c>
      <c r="E431" s="26" t="str">
        <f>IF(C431="","",Employees!C11)</f>
        <v>D</v>
      </c>
      <c r="F431" s="26">
        <f>IF(A431="","",MOD(A431-Settings!$B$6,4)+1)</f>
        <v>2</v>
      </c>
      <c r="G431" s="26" t="str">
        <f>IF(C431="","",INDEX(Rotation_Pattern!$B$4:$E$7,F431,MATCH(E431,{"A","B","C","D"},0)))</f>
        <v>Night</v>
      </c>
      <c r="H431" s="32">
        <f t="shared" si="19"/>
        <v>0.91666666666666663</v>
      </c>
      <c r="I431" s="32">
        <f>IF(OR(G431="Off",G431=""),"",H431+TIME(Settings!$B$8,0,0))</f>
        <v>1.25</v>
      </c>
      <c r="J431" s="26">
        <f>IF(OR(G431="Off",G431=""),0,Settings!$B$8)</f>
        <v>8</v>
      </c>
      <c r="K431" s="25" t="s">
        <v>111</v>
      </c>
      <c r="L431" s="26" t="str">
        <f>IF(A431="","",IF(COUNTIF(Public_Holidays!$A$4:$A$80,A431)&gt;0,"Y","N"))</f>
        <v>N</v>
      </c>
      <c r="M431" s="26" t="str">
        <f t="shared" si="20"/>
        <v>N</v>
      </c>
      <c r="N431" s="26" t="e">
        <f ca="1">IF(A431="","",_xludf.TEXTJOIN("; ",TRUE,IF(SUMIFS($J:$J,$C:$C,C431,$B:$B,B431)&gt;Settings!$B$9,"Weekly ordinary hrs &gt;45",""),IF(SUMIFS(Claims!$H:$H,Claims!$C:$C,C431,Claims!$B:$B,B431)&gt;Settings!$B$10,"Weekly OT &gt;10",""),IF(AND(G431&lt;&gt;"Off",COUNTIFS($C:$C,C431,$A:$A,A431-1,$G:$G,"Night")&gt;0),"Rest &lt;12h after night shift",""),IF(J431&gt;5,"Meal interval required","")))</f>
        <v>#NAME?</v>
      </c>
      <c r="O431" s="25" t="s">
        <v>112</v>
      </c>
      <c r="P431" s="25"/>
    </row>
    <row r="432" spans="1:16" x14ac:dyDescent="0.35">
      <c r="A432" s="31">
        <f>IF(21+1&lt;=Settings!$B$7,Settings!$B$6+21,"")</f>
        <v>46164</v>
      </c>
      <c r="B432" s="31">
        <f t="shared" si="18"/>
        <v>46160</v>
      </c>
      <c r="C432" s="26" t="str">
        <f>IF(Employees!A12="","",Employees!A12)</f>
        <v>E009</v>
      </c>
      <c r="D432" s="26" t="str">
        <f>IF(C432="","",Employees!B12)</f>
        <v>Frank</v>
      </c>
      <c r="E432" s="26" t="str">
        <f>IF(C432="","",Employees!C12)</f>
        <v>A</v>
      </c>
      <c r="F432" s="26">
        <f>IF(A432="","",MOD(A432-Settings!$B$6,4)+1)</f>
        <v>2</v>
      </c>
      <c r="G432" s="26" t="str">
        <f>IF(C432="","",INDEX(Rotation_Pattern!$B$4:$E$7,F432,MATCH(E432,{"A","B","C","D"},0)))</f>
        <v>Evening</v>
      </c>
      <c r="H432" s="32">
        <f t="shared" si="19"/>
        <v>0.58333333333333337</v>
      </c>
      <c r="I432" s="32">
        <f>IF(OR(G432="Off",G432=""),"",H432+TIME(Settings!$B$8,0,0))</f>
        <v>0.91666666666666674</v>
      </c>
      <c r="J432" s="26">
        <f>IF(OR(G432="Off",G432=""),0,Settings!$B$8)</f>
        <v>8</v>
      </c>
      <c r="K432" s="25" t="s">
        <v>111</v>
      </c>
      <c r="L432" s="26" t="str">
        <f>IF(A432="","",IF(COUNTIF(Public_Holidays!$A$4:$A$80,A432)&gt;0,"Y","N"))</f>
        <v>N</v>
      </c>
      <c r="M432" s="26" t="str">
        <f t="shared" si="20"/>
        <v>N</v>
      </c>
      <c r="N432" s="26" t="e">
        <f ca="1">IF(A432="","",_xludf.TEXTJOIN("; ",TRUE,IF(SUMIFS($J:$J,$C:$C,C432,$B:$B,B432)&gt;Settings!$B$9,"Weekly ordinary hrs &gt;45",""),IF(SUMIFS(Claims!$H:$H,Claims!$C:$C,C432,Claims!$B:$B,B432)&gt;Settings!$B$10,"Weekly OT &gt;10",""),IF(AND(G432&lt;&gt;"Off",COUNTIFS($C:$C,C432,$A:$A,A432-1,$G:$G,"Night")&gt;0),"Rest &lt;12h after night shift",""),IF(J432&gt;5,"Meal interval required","")))</f>
        <v>#NAME?</v>
      </c>
      <c r="O432" s="25" t="s">
        <v>112</v>
      </c>
      <c r="P432" s="25"/>
    </row>
    <row r="433" spans="1:16" x14ac:dyDescent="0.35">
      <c r="A433" s="31">
        <f>IF(21+1&lt;=Settings!$B$7,Settings!$B$6+21,"")</f>
        <v>46164</v>
      </c>
      <c r="B433" s="31">
        <f t="shared" si="18"/>
        <v>46160</v>
      </c>
      <c r="C433" s="26" t="str">
        <f>IF(Employees!A13="","",Employees!A13)</f>
        <v/>
      </c>
      <c r="D433" s="26" t="str">
        <f>IF(C433="","",Employees!B13)</f>
        <v/>
      </c>
      <c r="E433" s="26" t="str">
        <f>IF(C433="","",Employees!C13)</f>
        <v/>
      </c>
      <c r="F433" s="26">
        <f>IF(A433="","",MOD(A433-Settings!$B$6,4)+1)</f>
        <v>2</v>
      </c>
      <c r="G433" s="26" t="str">
        <f>IF(C433="","",INDEX(Rotation_Pattern!$B$4:$E$7,F433,MATCH(E433,{"A","B","C","D"},0)))</f>
        <v/>
      </c>
      <c r="H433" s="32" t="str">
        <f t="shared" si="19"/>
        <v/>
      </c>
      <c r="I433" s="32" t="str">
        <f>IF(OR(G433="Off",G433=""),"",H433+TIME(Settings!$B$8,0,0))</f>
        <v/>
      </c>
      <c r="J433" s="26">
        <f>IF(OR(G433="Off",G433=""),0,Settings!$B$8)</f>
        <v>0</v>
      </c>
      <c r="K433" s="25" t="s">
        <v>111</v>
      </c>
      <c r="L433" s="26" t="str">
        <f>IF(A433="","",IF(COUNTIF(Public_Holidays!$A$4:$A$80,A433)&gt;0,"Y","N"))</f>
        <v>N</v>
      </c>
      <c r="M433" s="26" t="str">
        <f t="shared" si="20"/>
        <v>N</v>
      </c>
      <c r="N433" s="26" t="e">
        <f ca="1">IF(A433="","",_xludf.TEXTJOIN("; ",TRUE,IF(SUMIFS($J:$J,$C:$C,C433,$B:$B,B433)&gt;Settings!$B$9,"Weekly ordinary hrs &gt;45",""),IF(SUMIFS(Claims!$H:$H,Claims!$C:$C,C433,Claims!$B:$B,B433)&gt;Settings!$B$10,"Weekly OT &gt;10",""),IF(AND(G433&lt;&gt;"Off",COUNTIFS($C:$C,C433,$A:$A,A433-1,$G:$G,"Night")&gt;0),"Rest &lt;12h after night shift",""),IF(J433&gt;5,"Meal interval required","")))</f>
        <v>#NAME?</v>
      </c>
      <c r="O433" s="25" t="s">
        <v>112</v>
      </c>
      <c r="P433" s="25"/>
    </row>
    <row r="434" spans="1:16" x14ac:dyDescent="0.35">
      <c r="A434" s="31">
        <f>IF(21+1&lt;=Settings!$B$7,Settings!$B$6+21,"")</f>
        <v>46164</v>
      </c>
      <c r="B434" s="31">
        <f t="shared" si="18"/>
        <v>46160</v>
      </c>
      <c r="C434" s="26" t="str">
        <f>IF(Employees!A14="","",Employees!A14)</f>
        <v/>
      </c>
      <c r="D434" s="26" t="str">
        <f>IF(C434="","",Employees!B14)</f>
        <v/>
      </c>
      <c r="E434" s="26" t="str">
        <f>IF(C434="","",Employees!C14)</f>
        <v/>
      </c>
      <c r="F434" s="26">
        <f>IF(A434="","",MOD(A434-Settings!$B$6,4)+1)</f>
        <v>2</v>
      </c>
      <c r="G434" s="26" t="str">
        <f>IF(C434="","",INDEX(Rotation_Pattern!$B$4:$E$7,F434,MATCH(E434,{"A","B","C","D"},0)))</f>
        <v/>
      </c>
      <c r="H434" s="32" t="str">
        <f t="shared" si="19"/>
        <v/>
      </c>
      <c r="I434" s="32" t="str">
        <f>IF(OR(G434="Off",G434=""),"",H434+TIME(Settings!$B$8,0,0))</f>
        <v/>
      </c>
      <c r="J434" s="26">
        <f>IF(OR(G434="Off",G434=""),0,Settings!$B$8)</f>
        <v>0</v>
      </c>
      <c r="K434" s="25" t="s">
        <v>111</v>
      </c>
      <c r="L434" s="26" t="str">
        <f>IF(A434="","",IF(COUNTIF(Public_Holidays!$A$4:$A$80,A434)&gt;0,"Y","N"))</f>
        <v>N</v>
      </c>
      <c r="M434" s="26" t="str">
        <f t="shared" si="20"/>
        <v>N</v>
      </c>
      <c r="N434" s="26" t="e">
        <f ca="1">IF(A434="","",_xludf.TEXTJOIN("; ",TRUE,IF(SUMIFS($J:$J,$C:$C,C434,$B:$B,B434)&gt;Settings!$B$9,"Weekly ordinary hrs &gt;45",""),IF(SUMIFS(Claims!$H:$H,Claims!$C:$C,C434,Claims!$B:$B,B434)&gt;Settings!$B$10,"Weekly OT &gt;10",""),IF(AND(G434&lt;&gt;"Off",COUNTIFS($C:$C,C434,$A:$A,A434-1,$G:$G,"Night")&gt;0),"Rest &lt;12h after night shift",""),IF(J434&gt;5,"Meal interval required","")))</f>
        <v>#NAME?</v>
      </c>
      <c r="O434" s="25" t="s">
        <v>112</v>
      </c>
      <c r="P434" s="25"/>
    </row>
    <row r="435" spans="1:16" x14ac:dyDescent="0.35">
      <c r="A435" s="31">
        <f>IF(21+1&lt;=Settings!$B$7,Settings!$B$6+21,"")</f>
        <v>46164</v>
      </c>
      <c r="B435" s="31">
        <f t="shared" si="18"/>
        <v>46160</v>
      </c>
      <c r="C435" s="26" t="str">
        <f>IF(Employees!A15="","",Employees!A15)</f>
        <v/>
      </c>
      <c r="D435" s="26" t="str">
        <f>IF(C435="","",Employees!B15)</f>
        <v/>
      </c>
      <c r="E435" s="26" t="str">
        <f>IF(C435="","",Employees!C15)</f>
        <v/>
      </c>
      <c r="F435" s="26">
        <f>IF(A435="","",MOD(A435-Settings!$B$6,4)+1)</f>
        <v>2</v>
      </c>
      <c r="G435" s="26" t="str">
        <f>IF(C435="","",INDEX(Rotation_Pattern!$B$4:$E$7,F435,MATCH(E435,{"A","B","C","D"},0)))</f>
        <v/>
      </c>
      <c r="H435" s="32" t="str">
        <f t="shared" si="19"/>
        <v/>
      </c>
      <c r="I435" s="32" t="str">
        <f>IF(OR(G435="Off",G435=""),"",H435+TIME(Settings!$B$8,0,0))</f>
        <v/>
      </c>
      <c r="J435" s="26">
        <f>IF(OR(G435="Off",G435=""),0,Settings!$B$8)</f>
        <v>0</v>
      </c>
      <c r="K435" s="25" t="s">
        <v>111</v>
      </c>
      <c r="L435" s="26" t="str">
        <f>IF(A435="","",IF(COUNTIF(Public_Holidays!$A$4:$A$80,A435)&gt;0,"Y","N"))</f>
        <v>N</v>
      </c>
      <c r="M435" s="26" t="str">
        <f t="shared" si="20"/>
        <v>N</v>
      </c>
      <c r="N435" s="26" t="e">
        <f ca="1">IF(A435="","",_xludf.TEXTJOIN("; ",TRUE,IF(SUMIFS($J:$J,$C:$C,C435,$B:$B,B435)&gt;Settings!$B$9,"Weekly ordinary hrs &gt;45",""),IF(SUMIFS(Claims!$H:$H,Claims!$C:$C,C435,Claims!$B:$B,B435)&gt;Settings!$B$10,"Weekly OT &gt;10",""),IF(AND(G435&lt;&gt;"Off",COUNTIFS($C:$C,C435,$A:$A,A435-1,$G:$G,"Night")&gt;0),"Rest &lt;12h after night shift",""),IF(J435&gt;5,"Meal interval required","")))</f>
        <v>#NAME?</v>
      </c>
      <c r="O435" s="25" t="s">
        <v>112</v>
      </c>
      <c r="P435" s="25"/>
    </row>
    <row r="436" spans="1:16" x14ac:dyDescent="0.35">
      <c r="A436" s="31">
        <f>IF(21+1&lt;=Settings!$B$7,Settings!$B$6+21,"")</f>
        <v>46164</v>
      </c>
      <c r="B436" s="31">
        <f t="shared" si="18"/>
        <v>46160</v>
      </c>
      <c r="C436" s="26" t="str">
        <f>IF(Employees!A16="","",Employees!A16)</f>
        <v/>
      </c>
      <c r="D436" s="26" t="str">
        <f>IF(C436="","",Employees!B16)</f>
        <v/>
      </c>
      <c r="E436" s="26" t="str">
        <f>IF(C436="","",Employees!C16)</f>
        <v/>
      </c>
      <c r="F436" s="26">
        <f>IF(A436="","",MOD(A436-Settings!$B$6,4)+1)</f>
        <v>2</v>
      </c>
      <c r="G436" s="26" t="str">
        <f>IF(C436="","",INDEX(Rotation_Pattern!$B$4:$E$7,F436,MATCH(E436,{"A","B","C","D"},0)))</f>
        <v/>
      </c>
      <c r="H436" s="32" t="str">
        <f t="shared" si="19"/>
        <v/>
      </c>
      <c r="I436" s="32" t="str">
        <f>IF(OR(G436="Off",G436=""),"",H436+TIME(Settings!$B$8,0,0))</f>
        <v/>
      </c>
      <c r="J436" s="26">
        <f>IF(OR(G436="Off",G436=""),0,Settings!$B$8)</f>
        <v>0</v>
      </c>
      <c r="K436" s="25" t="s">
        <v>111</v>
      </c>
      <c r="L436" s="26" t="str">
        <f>IF(A436="","",IF(COUNTIF(Public_Holidays!$A$4:$A$80,A436)&gt;0,"Y","N"))</f>
        <v>N</v>
      </c>
      <c r="M436" s="26" t="str">
        <f t="shared" si="20"/>
        <v>N</v>
      </c>
      <c r="N436" s="26" t="e">
        <f ca="1">IF(A436="","",_xludf.TEXTJOIN("; ",TRUE,IF(SUMIFS($J:$J,$C:$C,C436,$B:$B,B436)&gt;Settings!$B$9,"Weekly ordinary hrs &gt;45",""),IF(SUMIFS(Claims!$H:$H,Claims!$C:$C,C436,Claims!$B:$B,B436)&gt;Settings!$B$10,"Weekly OT &gt;10",""),IF(AND(G436&lt;&gt;"Off",COUNTIFS($C:$C,C436,$A:$A,A436-1,$G:$G,"Night")&gt;0),"Rest &lt;12h after night shift",""),IF(J436&gt;5,"Meal interval required","")))</f>
        <v>#NAME?</v>
      </c>
      <c r="O436" s="25" t="s">
        <v>112</v>
      </c>
      <c r="P436" s="25"/>
    </row>
    <row r="437" spans="1:16" x14ac:dyDescent="0.35">
      <c r="A437" s="31">
        <f>IF(21+1&lt;=Settings!$B$7,Settings!$B$6+21,"")</f>
        <v>46164</v>
      </c>
      <c r="B437" s="31">
        <f t="shared" si="18"/>
        <v>46160</v>
      </c>
      <c r="C437" s="26" t="str">
        <f>IF(Employees!A17="","",Employees!A17)</f>
        <v/>
      </c>
      <c r="D437" s="26" t="str">
        <f>IF(C437="","",Employees!B17)</f>
        <v/>
      </c>
      <c r="E437" s="26" t="str">
        <f>IF(C437="","",Employees!C17)</f>
        <v/>
      </c>
      <c r="F437" s="26">
        <f>IF(A437="","",MOD(A437-Settings!$B$6,4)+1)</f>
        <v>2</v>
      </c>
      <c r="G437" s="26" t="str">
        <f>IF(C437="","",INDEX(Rotation_Pattern!$B$4:$E$7,F437,MATCH(E437,{"A","B","C","D"},0)))</f>
        <v/>
      </c>
      <c r="H437" s="32" t="str">
        <f t="shared" si="19"/>
        <v/>
      </c>
      <c r="I437" s="32" t="str">
        <f>IF(OR(G437="Off",G437=""),"",H437+TIME(Settings!$B$8,0,0))</f>
        <v/>
      </c>
      <c r="J437" s="26">
        <f>IF(OR(G437="Off",G437=""),0,Settings!$B$8)</f>
        <v>0</v>
      </c>
      <c r="K437" s="25" t="s">
        <v>111</v>
      </c>
      <c r="L437" s="26" t="str">
        <f>IF(A437="","",IF(COUNTIF(Public_Holidays!$A$4:$A$80,A437)&gt;0,"Y","N"))</f>
        <v>N</v>
      </c>
      <c r="M437" s="26" t="str">
        <f t="shared" si="20"/>
        <v>N</v>
      </c>
      <c r="N437" s="26" t="e">
        <f ca="1">IF(A437="","",_xludf.TEXTJOIN("; ",TRUE,IF(SUMIFS($J:$J,$C:$C,C437,$B:$B,B437)&gt;Settings!$B$9,"Weekly ordinary hrs &gt;45",""),IF(SUMIFS(Claims!$H:$H,Claims!$C:$C,C437,Claims!$B:$B,B437)&gt;Settings!$B$10,"Weekly OT &gt;10",""),IF(AND(G437&lt;&gt;"Off",COUNTIFS($C:$C,C437,$A:$A,A437-1,$G:$G,"Night")&gt;0),"Rest &lt;12h after night shift",""),IF(J437&gt;5,"Meal interval required","")))</f>
        <v>#NAME?</v>
      </c>
      <c r="O437" s="25" t="s">
        <v>112</v>
      </c>
      <c r="P437" s="25"/>
    </row>
    <row r="438" spans="1:16" x14ac:dyDescent="0.35">
      <c r="A438" s="31">
        <f>IF(21+1&lt;=Settings!$B$7,Settings!$B$6+21,"")</f>
        <v>46164</v>
      </c>
      <c r="B438" s="31">
        <f t="shared" si="18"/>
        <v>46160</v>
      </c>
      <c r="C438" s="26" t="str">
        <f>IF(Employees!A18="","",Employees!A18)</f>
        <v/>
      </c>
      <c r="D438" s="26" t="str">
        <f>IF(C438="","",Employees!B18)</f>
        <v/>
      </c>
      <c r="E438" s="26" t="str">
        <f>IF(C438="","",Employees!C18)</f>
        <v/>
      </c>
      <c r="F438" s="26">
        <f>IF(A438="","",MOD(A438-Settings!$B$6,4)+1)</f>
        <v>2</v>
      </c>
      <c r="G438" s="26" t="str">
        <f>IF(C438="","",INDEX(Rotation_Pattern!$B$4:$E$7,F438,MATCH(E438,{"A","B","C","D"},0)))</f>
        <v/>
      </c>
      <c r="H438" s="32" t="str">
        <f t="shared" si="19"/>
        <v/>
      </c>
      <c r="I438" s="32" t="str">
        <f>IF(OR(G438="Off",G438=""),"",H438+TIME(Settings!$B$8,0,0))</f>
        <v/>
      </c>
      <c r="J438" s="26">
        <f>IF(OR(G438="Off",G438=""),0,Settings!$B$8)</f>
        <v>0</v>
      </c>
      <c r="K438" s="25" t="s">
        <v>111</v>
      </c>
      <c r="L438" s="26" t="str">
        <f>IF(A438="","",IF(COUNTIF(Public_Holidays!$A$4:$A$80,A438)&gt;0,"Y","N"))</f>
        <v>N</v>
      </c>
      <c r="M438" s="26" t="str">
        <f t="shared" si="20"/>
        <v>N</v>
      </c>
      <c r="N438" s="26" t="e">
        <f ca="1">IF(A438="","",_xludf.TEXTJOIN("; ",TRUE,IF(SUMIFS($J:$J,$C:$C,C438,$B:$B,B438)&gt;Settings!$B$9,"Weekly ordinary hrs &gt;45",""),IF(SUMIFS(Claims!$H:$H,Claims!$C:$C,C438,Claims!$B:$B,B438)&gt;Settings!$B$10,"Weekly OT &gt;10",""),IF(AND(G438&lt;&gt;"Off",COUNTIFS($C:$C,C438,$A:$A,A438-1,$G:$G,"Night")&gt;0),"Rest &lt;12h after night shift",""),IF(J438&gt;5,"Meal interval required","")))</f>
        <v>#NAME?</v>
      </c>
      <c r="O438" s="25" t="s">
        <v>112</v>
      </c>
      <c r="P438" s="25"/>
    </row>
    <row r="439" spans="1:16" x14ac:dyDescent="0.35">
      <c r="A439" s="31">
        <f>IF(21+1&lt;=Settings!$B$7,Settings!$B$6+21,"")</f>
        <v>46164</v>
      </c>
      <c r="B439" s="31">
        <f t="shared" si="18"/>
        <v>46160</v>
      </c>
      <c r="C439" s="26" t="str">
        <f>IF(Employees!A19="","",Employees!A19)</f>
        <v/>
      </c>
      <c r="D439" s="26" t="str">
        <f>IF(C439="","",Employees!B19)</f>
        <v/>
      </c>
      <c r="E439" s="26" t="str">
        <f>IF(C439="","",Employees!C19)</f>
        <v/>
      </c>
      <c r="F439" s="26">
        <f>IF(A439="","",MOD(A439-Settings!$B$6,4)+1)</f>
        <v>2</v>
      </c>
      <c r="G439" s="26" t="str">
        <f>IF(C439="","",INDEX(Rotation_Pattern!$B$4:$E$7,F439,MATCH(E439,{"A","B","C","D"},0)))</f>
        <v/>
      </c>
      <c r="H439" s="32" t="str">
        <f t="shared" si="19"/>
        <v/>
      </c>
      <c r="I439" s="32" t="str">
        <f>IF(OR(G439="Off",G439=""),"",H439+TIME(Settings!$B$8,0,0))</f>
        <v/>
      </c>
      <c r="J439" s="26">
        <f>IF(OR(G439="Off",G439=""),0,Settings!$B$8)</f>
        <v>0</v>
      </c>
      <c r="K439" s="25" t="s">
        <v>111</v>
      </c>
      <c r="L439" s="26" t="str">
        <f>IF(A439="","",IF(COUNTIF(Public_Holidays!$A$4:$A$80,A439)&gt;0,"Y","N"))</f>
        <v>N</v>
      </c>
      <c r="M439" s="26" t="str">
        <f t="shared" si="20"/>
        <v>N</v>
      </c>
      <c r="N439" s="26" t="e">
        <f ca="1">IF(A439="","",_xludf.TEXTJOIN("; ",TRUE,IF(SUMIFS($J:$J,$C:$C,C439,$B:$B,B439)&gt;Settings!$B$9,"Weekly ordinary hrs &gt;45",""),IF(SUMIFS(Claims!$H:$H,Claims!$C:$C,C439,Claims!$B:$B,B439)&gt;Settings!$B$10,"Weekly OT &gt;10",""),IF(AND(G439&lt;&gt;"Off",COUNTIFS($C:$C,C439,$A:$A,A439-1,$G:$G,"Night")&gt;0),"Rest &lt;12h after night shift",""),IF(J439&gt;5,"Meal interval required","")))</f>
        <v>#NAME?</v>
      </c>
      <c r="O439" s="25" t="s">
        <v>112</v>
      </c>
      <c r="P439" s="25"/>
    </row>
    <row r="440" spans="1:16" x14ac:dyDescent="0.35">
      <c r="A440" s="31">
        <f>IF(21+1&lt;=Settings!$B$7,Settings!$B$6+21,"")</f>
        <v>46164</v>
      </c>
      <c r="B440" s="31">
        <f t="shared" si="18"/>
        <v>46160</v>
      </c>
      <c r="C440" s="26" t="str">
        <f>IF(Employees!A20="","",Employees!A20)</f>
        <v/>
      </c>
      <c r="D440" s="26" t="str">
        <f>IF(C440="","",Employees!B20)</f>
        <v/>
      </c>
      <c r="E440" s="26" t="str">
        <f>IF(C440="","",Employees!C20)</f>
        <v/>
      </c>
      <c r="F440" s="26">
        <f>IF(A440="","",MOD(A440-Settings!$B$6,4)+1)</f>
        <v>2</v>
      </c>
      <c r="G440" s="26" t="str">
        <f>IF(C440="","",INDEX(Rotation_Pattern!$B$4:$E$7,F440,MATCH(E440,{"A","B","C","D"},0)))</f>
        <v/>
      </c>
      <c r="H440" s="32" t="str">
        <f t="shared" si="19"/>
        <v/>
      </c>
      <c r="I440" s="32" t="str">
        <f>IF(OR(G440="Off",G440=""),"",H440+TIME(Settings!$B$8,0,0))</f>
        <v/>
      </c>
      <c r="J440" s="26">
        <f>IF(OR(G440="Off",G440=""),0,Settings!$B$8)</f>
        <v>0</v>
      </c>
      <c r="K440" s="25" t="s">
        <v>111</v>
      </c>
      <c r="L440" s="26" t="str">
        <f>IF(A440="","",IF(COUNTIF(Public_Holidays!$A$4:$A$80,A440)&gt;0,"Y","N"))</f>
        <v>N</v>
      </c>
      <c r="M440" s="26" t="str">
        <f t="shared" si="20"/>
        <v>N</v>
      </c>
      <c r="N440" s="26" t="e">
        <f ca="1">IF(A440="","",_xludf.TEXTJOIN("; ",TRUE,IF(SUMIFS($J:$J,$C:$C,C440,$B:$B,B440)&gt;Settings!$B$9,"Weekly ordinary hrs &gt;45",""),IF(SUMIFS(Claims!$H:$H,Claims!$C:$C,C440,Claims!$B:$B,B440)&gt;Settings!$B$10,"Weekly OT &gt;10",""),IF(AND(G440&lt;&gt;"Off",COUNTIFS($C:$C,C440,$A:$A,A440-1,$G:$G,"Night")&gt;0),"Rest &lt;12h after night shift",""),IF(J440&gt;5,"Meal interval required","")))</f>
        <v>#NAME?</v>
      </c>
      <c r="O440" s="25" t="s">
        <v>112</v>
      </c>
      <c r="P440" s="25"/>
    </row>
    <row r="441" spans="1:16" x14ac:dyDescent="0.35">
      <c r="A441" s="31">
        <f>IF(21+1&lt;=Settings!$B$7,Settings!$B$6+21,"")</f>
        <v>46164</v>
      </c>
      <c r="B441" s="31">
        <f t="shared" si="18"/>
        <v>46160</v>
      </c>
      <c r="C441" s="26" t="str">
        <f>IF(Employees!A21="","",Employees!A21)</f>
        <v/>
      </c>
      <c r="D441" s="26" t="str">
        <f>IF(C441="","",Employees!B21)</f>
        <v/>
      </c>
      <c r="E441" s="26" t="str">
        <f>IF(C441="","",Employees!C21)</f>
        <v/>
      </c>
      <c r="F441" s="26">
        <f>IF(A441="","",MOD(A441-Settings!$B$6,4)+1)</f>
        <v>2</v>
      </c>
      <c r="G441" s="26" t="str">
        <f>IF(C441="","",INDEX(Rotation_Pattern!$B$4:$E$7,F441,MATCH(E441,{"A","B","C","D"},0)))</f>
        <v/>
      </c>
      <c r="H441" s="32" t="str">
        <f t="shared" si="19"/>
        <v/>
      </c>
      <c r="I441" s="32" t="str">
        <f>IF(OR(G441="Off",G441=""),"",H441+TIME(Settings!$B$8,0,0))</f>
        <v/>
      </c>
      <c r="J441" s="26">
        <f>IF(OR(G441="Off",G441=""),0,Settings!$B$8)</f>
        <v>0</v>
      </c>
      <c r="K441" s="25" t="s">
        <v>111</v>
      </c>
      <c r="L441" s="26" t="str">
        <f>IF(A441="","",IF(COUNTIF(Public_Holidays!$A$4:$A$80,A441)&gt;0,"Y","N"))</f>
        <v>N</v>
      </c>
      <c r="M441" s="26" t="str">
        <f t="shared" si="20"/>
        <v>N</v>
      </c>
      <c r="N441" s="26" t="e">
        <f ca="1">IF(A441="","",_xludf.TEXTJOIN("; ",TRUE,IF(SUMIFS($J:$J,$C:$C,C441,$B:$B,B441)&gt;Settings!$B$9,"Weekly ordinary hrs &gt;45",""),IF(SUMIFS(Claims!$H:$H,Claims!$C:$C,C441,Claims!$B:$B,B441)&gt;Settings!$B$10,"Weekly OT &gt;10",""),IF(AND(G441&lt;&gt;"Off",COUNTIFS($C:$C,C441,$A:$A,A441-1,$G:$G,"Night")&gt;0),"Rest &lt;12h after night shift",""),IF(J441&gt;5,"Meal interval required","")))</f>
        <v>#NAME?</v>
      </c>
      <c r="O441" s="25" t="s">
        <v>112</v>
      </c>
      <c r="P441" s="25"/>
    </row>
    <row r="442" spans="1:16" x14ac:dyDescent="0.35">
      <c r="A442" s="31">
        <f>IF(21+1&lt;=Settings!$B$7,Settings!$B$6+21,"")</f>
        <v>46164</v>
      </c>
      <c r="B442" s="31">
        <f t="shared" si="18"/>
        <v>46160</v>
      </c>
      <c r="C442" s="26" t="str">
        <f>IF(Employees!A22="","",Employees!A22)</f>
        <v/>
      </c>
      <c r="D442" s="26" t="str">
        <f>IF(C442="","",Employees!B22)</f>
        <v/>
      </c>
      <c r="E442" s="26" t="str">
        <f>IF(C442="","",Employees!C22)</f>
        <v/>
      </c>
      <c r="F442" s="26">
        <f>IF(A442="","",MOD(A442-Settings!$B$6,4)+1)</f>
        <v>2</v>
      </c>
      <c r="G442" s="26" t="str">
        <f>IF(C442="","",INDEX(Rotation_Pattern!$B$4:$E$7,F442,MATCH(E442,{"A","B","C","D"},0)))</f>
        <v/>
      </c>
      <c r="H442" s="32" t="str">
        <f t="shared" si="19"/>
        <v/>
      </c>
      <c r="I442" s="32" t="str">
        <f>IF(OR(G442="Off",G442=""),"",H442+TIME(Settings!$B$8,0,0))</f>
        <v/>
      </c>
      <c r="J442" s="26">
        <f>IF(OR(G442="Off",G442=""),0,Settings!$B$8)</f>
        <v>0</v>
      </c>
      <c r="K442" s="25" t="s">
        <v>111</v>
      </c>
      <c r="L442" s="26" t="str">
        <f>IF(A442="","",IF(COUNTIF(Public_Holidays!$A$4:$A$80,A442)&gt;0,"Y","N"))</f>
        <v>N</v>
      </c>
      <c r="M442" s="26" t="str">
        <f t="shared" si="20"/>
        <v>N</v>
      </c>
      <c r="N442" s="26" t="e">
        <f ca="1">IF(A442="","",_xludf.TEXTJOIN("; ",TRUE,IF(SUMIFS($J:$J,$C:$C,C442,$B:$B,B442)&gt;Settings!$B$9,"Weekly ordinary hrs &gt;45",""),IF(SUMIFS(Claims!$H:$H,Claims!$C:$C,C442,Claims!$B:$B,B442)&gt;Settings!$B$10,"Weekly OT &gt;10",""),IF(AND(G442&lt;&gt;"Off",COUNTIFS($C:$C,C442,$A:$A,A442-1,$G:$G,"Night")&gt;0),"Rest &lt;12h after night shift",""),IF(J442&gt;5,"Meal interval required","")))</f>
        <v>#NAME?</v>
      </c>
      <c r="O442" s="25" t="s">
        <v>112</v>
      </c>
      <c r="P442" s="25"/>
    </row>
    <row r="443" spans="1:16" x14ac:dyDescent="0.35">
      <c r="A443" s="31">
        <f>IF(21+1&lt;=Settings!$B$7,Settings!$B$6+21,"")</f>
        <v>46164</v>
      </c>
      <c r="B443" s="31">
        <f t="shared" si="18"/>
        <v>46160</v>
      </c>
      <c r="C443" s="26" t="str">
        <f>IF(Employees!A23="","",Employees!A23)</f>
        <v/>
      </c>
      <c r="D443" s="26" t="str">
        <f>IF(C443="","",Employees!B23)</f>
        <v/>
      </c>
      <c r="E443" s="26" t="str">
        <f>IF(C443="","",Employees!C23)</f>
        <v/>
      </c>
      <c r="F443" s="26">
        <f>IF(A443="","",MOD(A443-Settings!$B$6,4)+1)</f>
        <v>2</v>
      </c>
      <c r="G443" s="26" t="str">
        <f>IF(C443="","",INDEX(Rotation_Pattern!$B$4:$E$7,F443,MATCH(E443,{"A","B","C","D"},0)))</f>
        <v/>
      </c>
      <c r="H443" s="32" t="str">
        <f t="shared" si="19"/>
        <v/>
      </c>
      <c r="I443" s="32" t="str">
        <f>IF(OR(G443="Off",G443=""),"",H443+TIME(Settings!$B$8,0,0))</f>
        <v/>
      </c>
      <c r="J443" s="26">
        <f>IF(OR(G443="Off",G443=""),0,Settings!$B$8)</f>
        <v>0</v>
      </c>
      <c r="K443" s="25" t="s">
        <v>111</v>
      </c>
      <c r="L443" s="26" t="str">
        <f>IF(A443="","",IF(COUNTIF(Public_Holidays!$A$4:$A$80,A443)&gt;0,"Y","N"))</f>
        <v>N</v>
      </c>
      <c r="M443" s="26" t="str">
        <f t="shared" si="20"/>
        <v>N</v>
      </c>
      <c r="N443" s="26" t="e">
        <f ca="1">IF(A443="","",_xludf.TEXTJOIN("; ",TRUE,IF(SUMIFS($J:$J,$C:$C,C443,$B:$B,B443)&gt;Settings!$B$9,"Weekly ordinary hrs &gt;45",""),IF(SUMIFS(Claims!$H:$H,Claims!$C:$C,C443,Claims!$B:$B,B443)&gt;Settings!$B$10,"Weekly OT &gt;10",""),IF(AND(G443&lt;&gt;"Off",COUNTIFS($C:$C,C443,$A:$A,A443-1,$G:$G,"Night")&gt;0),"Rest &lt;12h after night shift",""),IF(J443&gt;5,"Meal interval required","")))</f>
        <v>#NAME?</v>
      </c>
      <c r="O443" s="25" t="s">
        <v>112</v>
      </c>
      <c r="P443" s="25"/>
    </row>
    <row r="444" spans="1:16" x14ac:dyDescent="0.35">
      <c r="A444" s="31">
        <f>IF(22+1&lt;=Settings!$B$7,Settings!$B$6+22,"")</f>
        <v>46165</v>
      </c>
      <c r="B444" s="31">
        <f t="shared" si="18"/>
        <v>46160</v>
      </c>
      <c r="C444" s="26" t="str">
        <f>IF(Employees!A4="","",Employees!A4)</f>
        <v>E001</v>
      </c>
      <c r="D444" s="26" t="str">
        <f>IF(C444="","",Employees!B4)</f>
        <v>Musiwa Khavalani</v>
      </c>
      <c r="E444" s="26">
        <f>IF(C444="","",Employees!C4)</f>
        <v>0</v>
      </c>
      <c r="F444" s="26">
        <f>IF(A444="","",MOD(A444-Settings!$B$6,4)+1)</f>
        <v>3</v>
      </c>
      <c r="G444" s="26" t="e">
        <f>IF(C444="","",INDEX(Rotation_Pattern!$B$4:$E$7,F444,MATCH(E444,{"A","B","C","D"},0)))</f>
        <v>#N/A</v>
      </c>
      <c r="H444" s="32" t="e">
        <f t="shared" si="19"/>
        <v>#N/A</v>
      </c>
      <c r="I444" s="32" t="e">
        <f>IF(OR(G444="Off",G444=""),"",H444+TIME(Settings!$B$8,0,0))</f>
        <v>#N/A</v>
      </c>
      <c r="J444" s="26" t="e">
        <f>IF(OR(G444="Off",G444=""),0,Settings!$B$8)</f>
        <v>#N/A</v>
      </c>
      <c r="K444" s="25" t="s">
        <v>111</v>
      </c>
      <c r="L444" s="26" t="str">
        <f>IF(A444="","",IF(COUNTIF(Public_Holidays!$A$4:$A$80,A444)&gt;0,"Y","N"))</f>
        <v>N</v>
      </c>
      <c r="M444" s="26" t="str">
        <f t="shared" si="20"/>
        <v>N</v>
      </c>
      <c r="N444" s="26" t="e">
        <f ca="1">IF(A444="","",_xludf.TEXTJOIN("; ",TRUE,IF(SUMIFS($J:$J,$C:$C,C444,$B:$B,B444)&gt;Settings!$B$9,"Weekly ordinary hrs &gt;45",""),IF(SUMIFS(Claims!$H:$H,Claims!$C:$C,C444,Claims!$B:$B,B444)&gt;Settings!$B$10,"Weekly OT &gt;10",""),IF(AND(G444&lt;&gt;"Off",COUNTIFS($C:$C,C444,$A:$A,A444-1,$G:$G,"Night")&gt;0),"Rest &lt;12h after night shift",""),IF(J444&gt;5,"Meal interval required","")))</f>
        <v>#NAME?</v>
      </c>
      <c r="O444" s="25" t="s">
        <v>112</v>
      </c>
      <c r="P444" s="25"/>
    </row>
    <row r="445" spans="1:16" x14ac:dyDescent="0.35">
      <c r="A445" s="31">
        <f>IF(22+1&lt;=Settings!$B$7,Settings!$B$6+22,"")</f>
        <v>46165</v>
      </c>
      <c r="B445" s="31">
        <f t="shared" si="18"/>
        <v>46160</v>
      </c>
      <c r="C445" s="26" t="str">
        <f>IF(Employees!A5="","",Employees!A5)</f>
        <v>E002</v>
      </c>
      <c r="D445" s="26" t="str">
        <f>IF(C445="","",Employees!B5)</f>
        <v>Mpho  Nembemhia</v>
      </c>
      <c r="E445" s="26" t="str">
        <f>IF(C445="","",Employees!C5)</f>
        <v>B</v>
      </c>
      <c r="F445" s="26">
        <f>IF(A445="","",MOD(A445-Settings!$B$6,4)+1)</f>
        <v>3</v>
      </c>
      <c r="G445" s="26" t="str">
        <f>IF(C445="","",INDEX(Rotation_Pattern!$B$4:$E$7,F445,MATCH(E445,{"A","B","C","D"},0)))</f>
        <v>Evening</v>
      </c>
      <c r="H445" s="32">
        <f t="shared" si="19"/>
        <v>0.58333333333333337</v>
      </c>
      <c r="I445" s="32">
        <f>IF(OR(G445="Off",G445=""),"",H445+TIME(Settings!$B$8,0,0))</f>
        <v>0.91666666666666674</v>
      </c>
      <c r="J445" s="26">
        <f>IF(OR(G445="Off",G445=""),0,Settings!$B$8)</f>
        <v>8</v>
      </c>
      <c r="K445" s="25" t="s">
        <v>111</v>
      </c>
      <c r="L445" s="26" t="str">
        <f>IF(A445="","",IF(COUNTIF(Public_Holidays!$A$4:$A$80,A445)&gt;0,"Y","N"))</f>
        <v>N</v>
      </c>
      <c r="M445" s="26" t="str">
        <f t="shared" si="20"/>
        <v>N</v>
      </c>
      <c r="N445" s="26" t="e">
        <f ca="1">IF(A445="","",_xludf.TEXTJOIN("; ",TRUE,IF(SUMIFS($J:$J,$C:$C,C445,$B:$B,B445)&gt;Settings!$B$9,"Weekly ordinary hrs &gt;45",""),IF(SUMIFS(Claims!$H:$H,Claims!$C:$C,C445,Claims!$B:$B,B445)&gt;Settings!$B$10,"Weekly OT &gt;10",""),IF(AND(G445&lt;&gt;"Off",COUNTIFS($C:$C,C445,$A:$A,A445-1,$G:$G,"Night")&gt;0),"Rest &lt;12h after night shift",""),IF(J445&gt;5,"Meal interval required","")))</f>
        <v>#NAME?</v>
      </c>
      <c r="O445" s="25" t="s">
        <v>112</v>
      </c>
      <c r="P445" s="25"/>
    </row>
    <row r="446" spans="1:16" x14ac:dyDescent="0.35">
      <c r="A446" s="31">
        <f>IF(22+1&lt;=Settings!$B$7,Settings!$B$6+22,"")</f>
        <v>46165</v>
      </c>
      <c r="B446" s="31">
        <f t="shared" si="18"/>
        <v>46160</v>
      </c>
      <c r="C446" s="26" t="str">
        <f>IF(Employees!A6="","",Employees!A6)</f>
        <v>E003</v>
      </c>
      <c r="D446" s="26" t="str">
        <f>IF(C446="","",Employees!B6)</f>
        <v>Dimpho Makhafola</v>
      </c>
      <c r="E446" s="26" t="str">
        <f>IF(C446="","",Employees!C6)</f>
        <v>C</v>
      </c>
      <c r="F446" s="26">
        <f>IF(A446="","",MOD(A446-Settings!$B$6,4)+1)</f>
        <v>3</v>
      </c>
      <c r="G446" s="26" t="str">
        <f>IF(C446="","",INDEX(Rotation_Pattern!$B$4:$E$7,F446,MATCH(E446,{"A","B","C","D"},0)))</f>
        <v>Day</v>
      </c>
      <c r="H446" s="32">
        <f t="shared" si="19"/>
        <v>0.25</v>
      </c>
      <c r="I446" s="32">
        <f>IF(OR(G446="Off",G446=""),"",H446+TIME(Settings!$B$8,0,0))</f>
        <v>0.58333333333333326</v>
      </c>
      <c r="J446" s="26">
        <f>IF(OR(G446="Off",G446=""),0,Settings!$B$8)</f>
        <v>8</v>
      </c>
      <c r="K446" s="25" t="s">
        <v>111</v>
      </c>
      <c r="L446" s="26" t="str">
        <f>IF(A446="","",IF(COUNTIF(Public_Holidays!$A$4:$A$80,A446)&gt;0,"Y","N"))</f>
        <v>N</v>
      </c>
      <c r="M446" s="26" t="str">
        <f t="shared" si="20"/>
        <v>N</v>
      </c>
      <c r="N446" s="26" t="e">
        <f ca="1">IF(A446="","",_xludf.TEXTJOIN("; ",TRUE,IF(SUMIFS($J:$J,$C:$C,C446,$B:$B,B446)&gt;Settings!$B$9,"Weekly ordinary hrs &gt;45",""),IF(SUMIFS(Claims!$H:$H,Claims!$C:$C,C446,Claims!$B:$B,B446)&gt;Settings!$B$10,"Weekly OT &gt;10",""),IF(AND(G446&lt;&gt;"Off",COUNTIFS($C:$C,C446,$A:$A,A446-1,$G:$G,"Night")&gt;0),"Rest &lt;12h after night shift",""),IF(J446&gt;5,"Meal interval required","")))</f>
        <v>#NAME?</v>
      </c>
      <c r="O446" s="25" t="s">
        <v>112</v>
      </c>
      <c r="P446" s="25"/>
    </row>
    <row r="447" spans="1:16" x14ac:dyDescent="0.35">
      <c r="A447" s="31">
        <f>IF(22+1&lt;=Settings!$B$7,Settings!$B$6+22,"")</f>
        <v>46165</v>
      </c>
      <c r="B447" s="31">
        <f t="shared" si="18"/>
        <v>46160</v>
      </c>
      <c r="C447" s="26" t="str">
        <f>IF(Employees!A7="","",Employees!A7)</f>
        <v>E004</v>
      </c>
      <c r="D447" s="26" t="str">
        <f>IF(C447="","",Employees!B7)</f>
        <v>Bashii Fall</v>
      </c>
      <c r="E447" s="26" t="str">
        <f>IF(C447="","",Employees!C7)</f>
        <v>D</v>
      </c>
      <c r="F447" s="26">
        <f>IF(A447="","",MOD(A447-Settings!$B$6,4)+1)</f>
        <v>3</v>
      </c>
      <c r="G447" s="26" t="str">
        <f>IF(C447="","",INDEX(Rotation_Pattern!$B$4:$E$7,F447,MATCH(E447,{"A","B","C","D"},0)))</f>
        <v>Off</v>
      </c>
      <c r="H447" s="32" t="str">
        <f t="shared" si="19"/>
        <v/>
      </c>
      <c r="I447" s="32" t="str">
        <f>IF(OR(G447="Off",G447=""),"",H447+TIME(Settings!$B$8,0,0))</f>
        <v/>
      </c>
      <c r="J447" s="26">
        <f>IF(OR(G447="Off",G447=""),0,Settings!$B$8)</f>
        <v>0</v>
      </c>
      <c r="K447" s="25" t="s">
        <v>111</v>
      </c>
      <c r="L447" s="26" t="str">
        <f>IF(A447="","",IF(COUNTIF(Public_Holidays!$A$4:$A$80,A447)&gt;0,"Y","N"))</f>
        <v>N</v>
      </c>
      <c r="M447" s="26" t="str">
        <f t="shared" si="20"/>
        <v>N</v>
      </c>
      <c r="N447" s="26" t="e">
        <f ca="1">IF(A447="","",_xludf.TEXTJOIN("; ",TRUE,IF(SUMIFS($J:$J,$C:$C,C447,$B:$B,B447)&gt;Settings!$B$9,"Weekly ordinary hrs &gt;45",""),IF(SUMIFS(Claims!$H:$H,Claims!$C:$C,C447,Claims!$B:$B,B447)&gt;Settings!$B$10,"Weekly OT &gt;10",""),IF(AND(G447&lt;&gt;"Off",COUNTIFS($C:$C,C447,$A:$A,A447-1,$G:$G,"Night")&gt;0),"Rest &lt;12h after night shift",""),IF(J447&gt;5,"Meal interval required","")))</f>
        <v>#NAME?</v>
      </c>
      <c r="O447" s="25" t="s">
        <v>112</v>
      </c>
      <c r="P447" s="25"/>
    </row>
    <row r="448" spans="1:16" x14ac:dyDescent="0.35">
      <c r="A448" s="31">
        <f>IF(22+1&lt;=Settings!$B$7,Settings!$B$6+22,"")</f>
        <v>46165</v>
      </c>
      <c r="B448" s="31">
        <f t="shared" si="18"/>
        <v>46160</v>
      </c>
      <c r="C448" s="26" t="str">
        <f>IF(Employees!A8="","",Employees!A8)</f>
        <v>E005</v>
      </c>
      <c r="D448" s="26" t="str">
        <f>IF(C448="","",Employees!B8)</f>
        <v>Lesego Aphane</v>
      </c>
      <c r="E448" s="26" t="str">
        <f>IF(C448="","",Employees!C8)</f>
        <v>A</v>
      </c>
      <c r="F448" s="26">
        <f>IF(A448="","",MOD(A448-Settings!$B$6,4)+1)</f>
        <v>3</v>
      </c>
      <c r="G448" s="26" t="str">
        <f>IF(C448="","",INDEX(Rotation_Pattern!$B$4:$E$7,F448,MATCH(E448,{"A","B","C","D"},0)))</f>
        <v>Night</v>
      </c>
      <c r="H448" s="32">
        <f t="shared" si="19"/>
        <v>0.91666666666666663</v>
      </c>
      <c r="I448" s="32">
        <f>IF(OR(G448="Off",G448=""),"",H448+TIME(Settings!$B$8,0,0))</f>
        <v>1.25</v>
      </c>
      <c r="J448" s="26">
        <f>IF(OR(G448="Off",G448=""),0,Settings!$B$8)</f>
        <v>8</v>
      </c>
      <c r="K448" s="25" t="s">
        <v>111</v>
      </c>
      <c r="L448" s="26" t="str">
        <f>IF(A448="","",IF(COUNTIF(Public_Holidays!$A$4:$A$80,A448)&gt;0,"Y","N"))</f>
        <v>N</v>
      </c>
      <c r="M448" s="26" t="str">
        <f t="shared" si="20"/>
        <v>N</v>
      </c>
      <c r="N448" s="26" t="e">
        <f ca="1">IF(A448="","",_xludf.TEXTJOIN("; ",TRUE,IF(SUMIFS($J:$J,$C:$C,C448,$B:$B,B448)&gt;Settings!$B$9,"Weekly ordinary hrs &gt;45",""),IF(SUMIFS(Claims!$H:$H,Claims!$C:$C,C448,Claims!$B:$B,B448)&gt;Settings!$B$10,"Weekly OT &gt;10",""),IF(AND(G448&lt;&gt;"Off",COUNTIFS($C:$C,C448,$A:$A,A448-1,$G:$G,"Night")&gt;0),"Rest &lt;12h after night shift",""),IF(J448&gt;5,"Meal interval required","")))</f>
        <v>#NAME?</v>
      </c>
      <c r="O448" s="25" t="s">
        <v>112</v>
      </c>
      <c r="P448" s="25"/>
    </row>
    <row r="449" spans="1:16" x14ac:dyDescent="0.35">
      <c r="A449" s="31">
        <f>IF(22+1&lt;=Settings!$B$7,Settings!$B$6+22,"")</f>
        <v>46165</v>
      </c>
      <c r="B449" s="31">
        <f t="shared" si="18"/>
        <v>46160</v>
      </c>
      <c r="C449" s="26" t="str">
        <f>IF(Employees!A9="","",Employees!A9)</f>
        <v>E006</v>
      </c>
      <c r="D449" s="26" t="str">
        <f>IF(C449="","",Employees!B9)</f>
        <v>Nhalnahla</v>
      </c>
      <c r="E449" s="26" t="str">
        <f>IF(C449="","",Employees!C9)</f>
        <v>B</v>
      </c>
      <c r="F449" s="26">
        <f>IF(A449="","",MOD(A449-Settings!$B$6,4)+1)</f>
        <v>3</v>
      </c>
      <c r="G449" s="26" t="str">
        <f>IF(C449="","",INDEX(Rotation_Pattern!$B$4:$E$7,F449,MATCH(E449,{"A","B","C","D"},0)))</f>
        <v>Evening</v>
      </c>
      <c r="H449" s="32">
        <f t="shared" si="19"/>
        <v>0.58333333333333337</v>
      </c>
      <c r="I449" s="32">
        <f>IF(OR(G449="Off",G449=""),"",H449+TIME(Settings!$B$8,0,0))</f>
        <v>0.91666666666666674</v>
      </c>
      <c r="J449" s="26">
        <f>IF(OR(G449="Off",G449=""),0,Settings!$B$8)</f>
        <v>8</v>
      </c>
      <c r="K449" s="25" t="s">
        <v>111</v>
      </c>
      <c r="L449" s="26" t="str">
        <f>IF(A449="","",IF(COUNTIF(Public_Holidays!$A$4:$A$80,A449)&gt;0,"Y","N"))</f>
        <v>N</v>
      </c>
      <c r="M449" s="26" t="str">
        <f t="shared" si="20"/>
        <v>N</v>
      </c>
      <c r="N449" s="26" t="e">
        <f ca="1">IF(A449="","",_xludf.TEXTJOIN("; ",TRUE,IF(SUMIFS($J:$J,$C:$C,C449,$B:$B,B449)&gt;Settings!$B$9,"Weekly ordinary hrs &gt;45",""),IF(SUMIFS(Claims!$H:$H,Claims!$C:$C,C449,Claims!$B:$B,B449)&gt;Settings!$B$10,"Weekly OT &gt;10",""),IF(AND(G449&lt;&gt;"Off",COUNTIFS($C:$C,C449,$A:$A,A449-1,$G:$G,"Night")&gt;0),"Rest &lt;12h after night shift",""),IF(J449&gt;5,"Meal interval required","")))</f>
        <v>#NAME?</v>
      </c>
      <c r="O449" s="25" t="s">
        <v>112</v>
      </c>
      <c r="P449" s="25"/>
    </row>
    <row r="450" spans="1:16" x14ac:dyDescent="0.35">
      <c r="A450" s="31">
        <f>IF(22+1&lt;=Settings!$B$7,Settings!$B$6+22,"")</f>
        <v>46165</v>
      </c>
      <c r="B450" s="31">
        <f t="shared" si="18"/>
        <v>46160</v>
      </c>
      <c r="C450" s="26" t="str">
        <f>IF(Employees!A10="","",Employees!A10)</f>
        <v>E007</v>
      </c>
      <c r="D450" s="26" t="str">
        <f>IF(C450="","",Employees!B10)</f>
        <v>Joe</v>
      </c>
      <c r="E450" s="26" t="str">
        <f>IF(C450="","",Employees!C10)</f>
        <v>C</v>
      </c>
      <c r="F450" s="26">
        <f>IF(A450="","",MOD(A450-Settings!$B$6,4)+1)</f>
        <v>3</v>
      </c>
      <c r="G450" s="26" t="str">
        <f>IF(C450="","",INDEX(Rotation_Pattern!$B$4:$E$7,F450,MATCH(E450,{"A","B","C","D"},0)))</f>
        <v>Day</v>
      </c>
      <c r="H450" s="32">
        <f t="shared" si="19"/>
        <v>0.25</v>
      </c>
      <c r="I450" s="32">
        <f>IF(OR(G450="Off",G450=""),"",H450+TIME(Settings!$B$8,0,0))</f>
        <v>0.58333333333333326</v>
      </c>
      <c r="J450" s="26">
        <f>IF(OR(G450="Off",G450=""),0,Settings!$B$8)</f>
        <v>8</v>
      </c>
      <c r="K450" s="25" t="s">
        <v>111</v>
      </c>
      <c r="L450" s="26" t="str">
        <f>IF(A450="","",IF(COUNTIF(Public_Holidays!$A$4:$A$80,A450)&gt;0,"Y","N"))</f>
        <v>N</v>
      </c>
      <c r="M450" s="26" t="str">
        <f t="shared" si="20"/>
        <v>N</v>
      </c>
      <c r="N450" s="26" t="e">
        <f ca="1">IF(A450="","",_xludf.TEXTJOIN("; ",TRUE,IF(SUMIFS($J:$J,$C:$C,C450,$B:$B,B450)&gt;Settings!$B$9,"Weekly ordinary hrs &gt;45",""),IF(SUMIFS(Claims!$H:$H,Claims!$C:$C,C450,Claims!$B:$B,B450)&gt;Settings!$B$10,"Weekly OT &gt;10",""),IF(AND(G450&lt;&gt;"Off",COUNTIFS($C:$C,C450,$A:$A,A450-1,$G:$G,"Night")&gt;0),"Rest &lt;12h after night shift",""),IF(J450&gt;5,"Meal interval required","")))</f>
        <v>#NAME?</v>
      </c>
      <c r="O450" s="25" t="s">
        <v>112</v>
      </c>
      <c r="P450" s="25"/>
    </row>
    <row r="451" spans="1:16" x14ac:dyDescent="0.35">
      <c r="A451" s="31">
        <f>IF(22+1&lt;=Settings!$B$7,Settings!$B$6+22,"")</f>
        <v>46165</v>
      </c>
      <c r="B451" s="31">
        <f t="shared" si="18"/>
        <v>46160</v>
      </c>
      <c r="C451" s="26" t="str">
        <f>IF(Employees!A11="","",Employees!A11)</f>
        <v>E008</v>
      </c>
      <c r="D451" s="26" t="str">
        <f>IF(C451="","",Employees!B11)</f>
        <v>Tim</v>
      </c>
      <c r="E451" s="26" t="str">
        <f>IF(C451="","",Employees!C11)</f>
        <v>D</v>
      </c>
      <c r="F451" s="26">
        <f>IF(A451="","",MOD(A451-Settings!$B$6,4)+1)</f>
        <v>3</v>
      </c>
      <c r="G451" s="26" t="str">
        <f>IF(C451="","",INDEX(Rotation_Pattern!$B$4:$E$7,F451,MATCH(E451,{"A","B","C","D"},0)))</f>
        <v>Off</v>
      </c>
      <c r="H451" s="32" t="str">
        <f t="shared" si="19"/>
        <v/>
      </c>
      <c r="I451" s="32" t="str">
        <f>IF(OR(G451="Off",G451=""),"",H451+TIME(Settings!$B$8,0,0))</f>
        <v/>
      </c>
      <c r="J451" s="26">
        <f>IF(OR(G451="Off",G451=""),0,Settings!$B$8)</f>
        <v>0</v>
      </c>
      <c r="K451" s="25" t="s">
        <v>111</v>
      </c>
      <c r="L451" s="26" t="str">
        <f>IF(A451="","",IF(COUNTIF(Public_Holidays!$A$4:$A$80,A451)&gt;0,"Y","N"))</f>
        <v>N</v>
      </c>
      <c r="M451" s="26" t="str">
        <f t="shared" si="20"/>
        <v>N</v>
      </c>
      <c r="N451" s="26" t="e">
        <f ca="1">IF(A451="","",_xludf.TEXTJOIN("; ",TRUE,IF(SUMIFS($J:$J,$C:$C,C451,$B:$B,B451)&gt;Settings!$B$9,"Weekly ordinary hrs &gt;45",""),IF(SUMIFS(Claims!$H:$H,Claims!$C:$C,C451,Claims!$B:$B,B451)&gt;Settings!$B$10,"Weekly OT &gt;10",""),IF(AND(G451&lt;&gt;"Off",COUNTIFS($C:$C,C451,$A:$A,A451-1,$G:$G,"Night")&gt;0),"Rest &lt;12h after night shift",""),IF(J451&gt;5,"Meal interval required","")))</f>
        <v>#NAME?</v>
      </c>
      <c r="O451" s="25" t="s">
        <v>112</v>
      </c>
      <c r="P451" s="25"/>
    </row>
    <row r="452" spans="1:16" x14ac:dyDescent="0.35">
      <c r="A452" s="31">
        <f>IF(22+1&lt;=Settings!$B$7,Settings!$B$6+22,"")</f>
        <v>46165</v>
      </c>
      <c r="B452" s="31">
        <f t="shared" ref="B452:B515" si="21">IF(A452="","",A452-WEEKDAY(A452,2)+1)</f>
        <v>46160</v>
      </c>
      <c r="C452" s="26" t="str">
        <f>IF(Employees!A12="","",Employees!A12)</f>
        <v>E009</v>
      </c>
      <c r="D452" s="26" t="str">
        <f>IF(C452="","",Employees!B12)</f>
        <v>Frank</v>
      </c>
      <c r="E452" s="26" t="str">
        <f>IF(C452="","",Employees!C12)</f>
        <v>A</v>
      </c>
      <c r="F452" s="26">
        <f>IF(A452="","",MOD(A452-Settings!$B$6,4)+1)</f>
        <v>3</v>
      </c>
      <c r="G452" s="26" t="str">
        <f>IF(C452="","",INDEX(Rotation_Pattern!$B$4:$E$7,F452,MATCH(E452,{"A","B","C","D"},0)))</f>
        <v>Night</v>
      </c>
      <c r="H452" s="32">
        <f t="shared" ref="H452:H515" si="22">IF(OR(G452="Off",G452=""),"",IF(G452="Day",TIME(6,0,0),IF(G452="Evening",TIME(14,0,0),TIME(22,0,0))))</f>
        <v>0.91666666666666663</v>
      </c>
      <c r="I452" s="32">
        <f>IF(OR(G452="Off",G452=""),"",H452+TIME(Settings!$B$8,0,0))</f>
        <v>1.25</v>
      </c>
      <c r="J452" s="26">
        <f>IF(OR(G452="Off",G452=""),0,Settings!$B$8)</f>
        <v>8</v>
      </c>
      <c r="K452" s="25" t="s">
        <v>111</v>
      </c>
      <c r="L452" s="26" t="str">
        <f>IF(A452="","",IF(COUNTIF(Public_Holidays!$A$4:$A$80,A452)&gt;0,"Y","N"))</f>
        <v>N</v>
      </c>
      <c r="M452" s="26" t="str">
        <f t="shared" ref="M452:M515" si="23">IF(A452="","",IF(WEEKDAY(A452,2)=7,"Y","N"))</f>
        <v>N</v>
      </c>
      <c r="N452" s="26" t="e">
        <f ca="1">IF(A452="","",_xludf.TEXTJOIN("; ",TRUE,IF(SUMIFS($J:$J,$C:$C,C452,$B:$B,B452)&gt;Settings!$B$9,"Weekly ordinary hrs &gt;45",""),IF(SUMIFS(Claims!$H:$H,Claims!$C:$C,C452,Claims!$B:$B,B452)&gt;Settings!$B$10,"Weekly OT &gt;10",""),IF(AND(G452&lt;&gt;"Off",COUNTIFS($C:$C,C452,$A:$A,A452-1,$G:$G,"Night")&gt;0),"Rest &lt;12h after night shift",""),IF(J452&gt;5,"Meal interval required","")))</f>
        <v>#NAME?</v>
      </c>
      <c r="O452" s="25" t="s">
        <v>112</v>
      </c>
      <c r="P452" s="25"/>
    </row>
    <row r="453" spans="1:16" x14ac:dyDescent="0.35">
      <c r="A453" s="31">
        <f>IF(22+1&lt;=Settings!$B$7,Settings!$B$6+22,"")</f>
        <v>46165</v>
      </c>
      <c r="B453" s="31">
        <f t="shared" si="21"/>
        <v>46160</v>
      </c>
      <c r="C453" s="26" t="str">
        <f>IF(Employees!A13="","",Employees!A13)</f>
        <v/>
      </c>
      <c r="D453" s="26" t="str">
        <f>IF(C453="","",Employees!B13)</f>
        <v/>
      </c>
      <c r="E453" s="26" t="str">
        <f>IF(C453="","",Employees!C13)</f>
        <v/>
      </c>
      <c r="F453" s="26">
        <f>IF(A453="","",MOD(A453-Settings!$B$6,4)+1)</f>
        <v>3</v>
      </c>
      <c r="G453" s="26" t="str">
        <f>IF(C453="","",INDEX(Rotation_Pattern!$B$4:$E$7,F453,MATCH(E453,{"A","B","C","D"},0)))</f>
        <v/>
      </c>
      <c r="H453" s="32" t="str">
        <f t="shared" si="22"/>
        <v/>
      </c>
      <c r="I453" s="32" t="str">
        <f>IF(OR(G453="Off",G453=""),"",H453+TIME(Settings!$B$8,0,0))</f>
        <v/>
      </c>
      <c r="J453" s="26">
        <f>IF(OR(G453="Off",G453=""),0,Settings!$B$8)</f>
        <v>0</v>
      </c>
      <c r="K453" s="25" t="s">
        <v>111</v>
      </c>
      <c r="L453" s="26" t="str">
        <f>IF(A453="","",IF(COUNTIF(Public_Holidays!$A$4:$A$80,A453)&gt;0,"Y","N"))</f>
        <v>N</v>
      </c>
      <c r="M453" s="26" t="str">
        <f t="shared" si="23"/>
        <v>N</v>
      </c>
      <c r="N453" s="26" t="e">
        <f ca="1">IF(A453="","",_xludf.TEXTJOIN("; ",TRUE,IF(SUMIFS($J:$J,$C:$C,C453,$B:$B,B453)&gt;Settings!$B$9,"Weekly ordinary hrs &gt;45",""),IF(SUMIFS(Claims!$H:$H,Claims!$C:$C,C453,Claims!$B:$B,B453)&gt;Settings!$B$10,"Weekly OT &gt;10",""),IF(AND(G453&lt;&gt;"Off",COUNTIFS($C:$C,C453,$A:$A,A453-1,$G:$G,"Night")&gt;0),"Rest &lt;12h after night shift",""),IF(J453&gt;5,"Meal interval required","")))</f>
        <v>#NAME?</v>
      </c>
      <c r="O453" s="25" t="s">
        <v>112</v>
      </c>
      <c r="P453" s="25"/>
    </row>
    <row r="454" spans="1:16" x14ac:dyDescent="0.35">
      <c r="A454" s="31">
        <f>IF(22+1&lt;=Settings!$B$7,Settings!$B$6+22,"")</f>
        <v>46165</v>
      </c>
      <c r="B454" s="31">
        <f t="shared" si="21"/>
        <v>46160</v>
      </c>
      <c r="C454" s="26" t="str">
        <f>IF(Employees!A14="","",Employees!A14)</f>
        <v/>
      </c>
      <c r="D454" s="26" t="str">
        <f>IF(C454="","",Employees!B14)</f>
        <v/>
      </c>
      <c r="E454" s="26" t="str">
        <f>IF(C454="","",Employees!C14)</f>
        <v/>
      </c>
      <c r="F454" s="26">
        <f>IF(A454="","",MOD(A454-Settings!$B$6,4)+1)</f>
        <v>3</v>
      </c>
      <c r="G454" s="26" t="str">
        <f>IF(C454="","",INDEX(Rotation_Pattern!$B$4:$E$7,F454,MATCH(E454,{"A","B","C","D"},0)))</f>
        <v/>
      </c>
      <c r="H454" s="32" t="str">
        <f t="shared" si="22"/>
        <v/>
      </c>
      <c r="I454" s="32" t="str">
        <f>IF(OR(G454="Off",G454=""),"",H454+TIME(Settings!$B$8,0,0))</f>
        <v/>
      </c>
      <c r="J454" s="26">
        <f>IF(OR(G454="Off",G454=""),0,Settings!$B$8)</f>
        <v>0</v>
      </c>
      <c r="K454" s="25" t="s">
        <v>111</v>
      </c>
      <c r="L454" s="26" t="str">
        <f>IF(A454="","",IF(COUNTIF(Public_Holidays!$A$4:$A$80,A454)&gt;0,"Y","N"))</f>
        <v>N</v>
      </c>
      <c r="M454" s="26" t="str">
        <f t="shared" si="23"/>
        <v>N</v>
      </c>
      <c r="N454" s="26" t="e">
        <f ca="1">IF(A454="","",_xludf.TEXTJOIN("; ",TRUE,IF(SUMIFS($J:$J,$C:$C,C454,$B:$B,B454)&gt;Settings!$B$9,"Weekly ordinary hrs &gt;45",""),IF(SUMIFS(Claims!$H:$H,Claims!$C:$C,C454,Claims!$B:$B,B454)&gt;Settings!$B$10,"Weekly OT &gt;10",""),IF(AND(G454&lt;&gt;"Off",COUNTIFS($C:$C,C454,$A:$A,A454-1,$G:$G,"Night")&gt;0),"Rest &lt;12h after night shift",""),IF(J454&gt;5,"Meal interval required","")))</f>
        <v>#NAME?</v>
      </c>
      <c r="O454" s="25" t="s">
        <v>112</v>
      </c>
      <c r="P454" s="25"/>
    </row>
    <row r="455" spans="1:16" x14ac:dyDescent="0.35">
      <c r="A455" s="31">
        <f>IF(22+1&lt;=Settings!$B$7,Settings!$B$6+22,"")</f>
        <v>46165</v>
      </c>
      <c r="B455" s="31">
        <f t="shared" si="21"/>
        <v>46160</v>
      </c>
      <c r="C455" s="26" t="str">
        <f>IF(Employees!A15="","",Employees!A15)</f>
        <v/>
      </c>
      <c r="D455" s="26" t="str">
        <f>IF(C455="","",Employees!B15)</f>
        <v/>
      </c>
      <c r="E455" s="26" t="str">
        <f>IF(C455="","",Employees!C15)</f>
        <v/>
      </c>
      <c r="F455" s="26">
        <f>IF(A455="","",MOD(A455-Settings!$B$6,4)+1)</f>
        <v>3</v>
      </c>
      <c r="G455" s="26" t="str">
        <f>IF(C455="","",INDEX(Rotation_Pattern!$B$4:$E$7,F455,MATCH(E455,{"A","B","C","D"},0)))</f>
        <v/>
      </c>
      <c r="H455" s="32" t="str">
        <f t="shared" si="22"/>
        <v/>
      </c>
      <c r="I455" s="32" t="str">
        <f>IF(OR(G455="Off",G455=""),"",H455+TIME(Settings!$B$8,0,0))</f>
        <v/>
      </c>
      <c r="J455" s="26">
        <f>IF(OR(G455="Off",G455=""),0,Settings!$B$8)</f>
        <v>0</v>
      </c>
      <c r="K455" s="25" t="s">
        <v>111</v>
      </c>
      <c r="L455" s="26" t="str">
        <f>IF(A455="","",IF(COUNTIF(Public_Holidays!$A$4:$A$80,A455)&gt;0,"Y","N"))</f>
        <v>N</v>
      </c>
      <c r="M455" s="26" t="str">
        <f t="shared" si="23"/>
        <v>N</v>
      </c>
      <c r="N455" s="26" t="e">
        <f ca="1">IF(A455="","",_xludf.TEXTJOIN("; ",TRUE,IF(SUMIFS($J:$J,$C:$C,C455,$B:$B,B455)&gt;Settings!$B$9,"Weekly ordinary hrs &gt;45",""),IF(SUMIFS(Claims!$H:$H,Claims!$C:$C,C455,Claims!$B:$B,B455)&gt;Settings!$B$10,"Weekly OT &gt;10",""),IF(AND(G455&lt;&gt;"Off",COUNTIFS($C:$C,C455,$A:$A,A455-1,$G:$G,"Night")&gt;0),"Rest &lt;12h after night shift",""),IF(J455&gt;5,"Meal interval required","")))</f>
        <v>#NAME?</v>
      </c>
      <c r="O455" s="25" t="s">
        <v>112</v>
      </c>
      <c r="P455" s="25"/>
    </row>
    <row r="456" spans="1:16" x14ac:dyDescent="0.35">
      <c r="A456" s="31">
        <f>IF(22+1&lt;=Settings!$B$7,Settings!$B$6+22,"")</f>
        <v>46165</v>
      </c>
      <c r="B456" s="31">
        <f t="shared" si="21"/>
        <v>46160</v>
      </c>
      <c r="C456" s="26" t="str">
        <f>IF(Employees!A16="","",Employees!A16)</f>
        <v/>
      </c>
      <c r="D456" s="26" t="str">
        <f>IF(C456="","",Employees!B16)</f>
        <v/>
      </c>
      <c r="E456" s="26" t="str">
        <f>IF(C456="","",Employees!C16)</f>
        <v/>
      </c>
      <c r="F456" s="26">
        <f>IF(A456="","",MOD(A456-Settings!$B$6,4)+1)</f>
        <v>3</v>
      </c>
      <c r="G456" s="26" t="str">
        <f>IF(C456="","",INDEX(Rotation_Pattern!$B$4:$E$7,F456,MATCH(E456,{"A","B","C","D"},0)))</f>
        <v/>
      </c>
      <c r="H456" s="32" t="str">
        <f t="shared" si="22"/>
        <v/>
      </c>
      <c r="I456" s="32" t="str">
        <f>IF(OR(G456="Off",G456=""),"",H456+TIME(Settings!$B$8,0,0))</f>
        <v/>
      </c>
      <c r="J456" s="26">
        <f>IF(OR(G456="Off",G456=""),0,Settings!$B$8)</f>
        <v>0</v>
      </c>
      <c r="K456" s="25" t="s">
        <v>111</v>
      </c>
      <c r="L456" s="26" t="str">
        <f>IF(A456="","",IF(COUNTIF(Public_Holidays!$A$4:$A$80,A456)&gt;0,"Y","N"))</f>
        <v>N</v>
      </c>
      <c r="M456" s="26" t="str">
        <f t="shared" si="23"/>
        <v>N</v>
      </c>
      <c r="N456" s="26" t="e">
        <f ca="1">IF(A456="","",_xludf.TEXTJOIN("; ",TRUE,IF(SUMIFS($J:$J,$C:$C,C456,$B:$B,B456)&gt;Settings!$B$9,"Weekly ordinary hrs &gt;45",""),IF(SUMIFS(Claims!$H:$H,Claims!$C:$C,C456,Claims!$B:$B,B456)&gt;Settings!$B$10,"Weekly OT &gt;10",""),IF(AND(G456&lt;&gt;"Off",COUNTIFS($C:$C,C456,$A:$A,A456-1,$G:$G,"Night")&gt;0),"Rest &lt;12h after night shift",""),IF(J456&gt;5,"Meal interval required","")))</f>
        <v>#NAME?</v>
      </c>
      <c r="O456" s="25" t="s">
        <v>112</v>
      </c>
      <c r="P456" s="25"/>
    </row>
    <row r="457" spans="1:16" x14ac:dyDescent="0.35">
      <c r="A457" s="31">
        <f>IF(22+1&lt;=Settings!$B$7,Settings!$B$6+22,"")</f>
        <v>46165</v>
      </c>
      <c r="B457" s="31">
        <f t="shared" si="21"/>
        <v>46160</v>
      </c>
      <c r="C457" s="26" t="str">
        <f>IF(Employees!A17="","",Employees!A17)</f>
        <v/>
      </c>
      <c r="D457" s="26" t="str">
        <f>IF(C457="","",Employees!B17)</f>
        <v/>
      </c>
      <c r="E457" s="26" t="str">
        <f>IF(C457="","",Employees!C17)</f>
        <v/>
      </c>
      <c r="F457" s="26">
        <f>IF(A457="","",MOD(A457-Settings!$B$6,4)+1)</f>
        <v>3</v>
      </c>
      <c r="G457" s="26" t="str">
        <f>IF(C457="","",INDEX(Rotation_Pattern!$B$4:$E$7,F457,MATCH(E457,{"A","B","C","D"},0)))</f>
        <v/>
      </c>
      <c r="H457" s="32" t="str">
        <f t="shared" si="22"/>
        <v/>
      </c>
      <c r="I457" s="32" t="str">
        <f>IF(OR(G457="Off",G457=""),"",H457+TIME(Settings!$B$8,0,0))</f>
        <v/>
      </c>
      <c r="J457" s="26">
        <f>IF(OR(G457="Off",G457=""),0,Settings!$B$8)</f>
        <v>0</v>
      </c>
      <c r="K457" s="25" t="s">
        <v>111</v>
      </c>
      <c r="L457" s="26" t="str">
        <f>IF(A457="","",IF(COUNTIF(Public_Holidays!$A$4:$A$80,A457)&gt;0,"Y","N"))</f>
        <v>N</v>
      </c>
      <c r="M457" s="26" t="str">
        <f t="shared" si="23"/>
        <v>N</v>
      </c>
      <c r="N457" s="26" t="e">
        <f ca="1">IF(A457="","",_xludf.TEXTJOIN("; ",TRUE,IF(SUMIFS($J:$J,$C:$C,C457,$B:$B,B457)&gt;Settings!$B$9,"Weekly ordinary hrs &gt;45",""),IF(SUMIFS(Claims!$H:$H,Claims!$C:$C,C457,Claims!$B:$B,B457)&gt;Settings!$B$10,"Weekly OT &gt;10",""),IF(AND(G457&lt;&gt;"Off",COUNTIFS($C:$C,C457,$A:$A,A457-1,$G:$G,"Night")&gt;0),"Rest &lt;12h after night shift",""),IF(J457&gt;5,"Meal interval required","")))</f>
        <v>#NAME?</v>
      </c>
      <c r="O457" s="25" t="s">
        <v>112</v>
      </c>
      <c r="P457" s="25"/>
    </row>
    <row r="458" spans="1:16" x14ac:dyDescent="0.35">
      <c r="A458" s="31">
        <f>IF(22+1&lt;=Settings!$B$7,Settings!$B$6+22,"")</f>
        <v>46165</v>
      </c>
      <c r="B458" s="31">
        <f t="shared" si="21"/>
        <v>46160</v>
      </c>
      <c r="C458" s="26" t="str">
        <f>IF(Employees!A18="","",Employees!A18)</f>
        <v/>
      </c>
      <c r="D458" s="26" t="str">
        <f>IF(C458="","",Employees!B18)</f>
        <v/>
      </c>
      <c r="E458" s="26" t="str">
        <f>IF(C458="","",Employees!C18)</f>
        <v/>
      </c>
      <c r="F458" s="26">
        <f>IF(A458="","",MOD(A458-Settings!$B$6,4)+1)</f>
        <v>3</v>
      </c>
      <c r="G458" s="26" t="str">
        <f>IF(C458="","",INDEX(Rotation_Pattern!$B$4:$E$7,F458,MATCH(E458,{"A","B","C","D"},0)))</f>
        <v/>
      </c>
      <c r="H458" s="32" t="str">
        <f t="shared" si="22"/>
        <v/>
      </c>
      <c r="I458" s="32" t="str">
        <f>IF(OR(G458="Off",G458=""),"",H458+TIME(Settings!$B$8,0,0))</f>
        <v/>
      </c>
      <c r="J458" s="26">
        <f>IF(OR(G458="Off",G458=""),0,Settings!$B$8)</f>
        <v>0</v>
      </c>
      <c r="K458" s="25" t="s">
        <v>111</v>
      </c>
      <c r="L458" s="26" t="str">
        <f>IF(A458="","",IF(COUNTIF(Public_Holidays!$A$4:$A$80,A458)&gt;0,"Y","N"))</f>
        <v>N</v>
      </c>
      <c r="M458" s="26" t="str">
        <f t="shared" si="23"/>
        <v>N</v>
      </c>
      <c r="N458" s="26" t="e">
        <f ca="1">IF(A458="","",_xludf.TEXTJOIN("; ",TRUE,IF(SUMIFS($J:$J,$C:$C,C458,$B:$B,B458)&gt;Settings!$B$9,"Weekly ordinary hrs &gt;45",""),IF(SUMIFS(Claims!$H:$H,Claims!$C:$C,C458,Claims!$B:$B,B458)&gt;Settings!$B$10,"Weekly OT &gt;10",""),IF(AND(G458&lt;&gt;"Off",COUNTIFS($C:$C,C458,$A:$A,A458-1,$G:$G,"Night")&gt;0),"Rest &lt;12h after night shift",""),IF(J458&gt;5,"Meal interval required","")))</f>
        <v>#NAME?</v>
      </c>
      <c r="O458" s="25" t="s">
        <v>112</v>
      </c>
      <c r="P458" s="25"/>
    </row>
    <row r="459" spans="1:16" x14ac:dyDescent="0.35">
      <c r="A459" s="31">
        <f>IF(22+1&lt;=Settings!$B$7,Settings!$B$6+22,"")</f>
        <v>46165</v>
      </c>
      <c r="B459" s="31">
        <f t="shared" si="21"/>
        <v>46160</v>
      </c>
      <c r="C459" s="26" t="str">
        <f>IF(Employees!A19="","",Employees!A19)</f>
        <v/>
      </c>
      <c r="D459" s="26" t="str">
        <f>IF(C459="","",Employees!B19)</f>
        <v/>
      </c>
      <c r="E459" s="26" t="str">
        <f>IF(C459="","",Employees!C19)</f>
        <v/>
      </c>
      <c r="F459" s="26">
        <f>IF(A459="","",MOD(A459-Settings!$B$6,4)+1)</f>
        <v>3</v>
      </c>
      <c r="G459" s="26" t="str">
        <f>IF(C459="","",INDEX(Rotation_Pattern!$B$4:$E$7,F459,MATCH(E459,{"A","B","C","D"},0)))</f>
        <v/>
      </c>
      <c r="H459" s="32" t="str">
        <f t="shared" si="22"/>
        <v/>
      </c>
      <c r="I459" s="32" t="str">
        <f>IF(OR(G459="Off",G459=""),"",H459+TIME(Settings!$B$8,0,0))</f>
        <v/>
      </c>
      <c r="J459" s="26">
        <f>IF(OR(G459="Off",G459=""),0,Settings!$B$8)</f>
        <v>0</v>
      </c>
      <c r="K459" s="25" t="s">
        <v>111</v>
      </c>
      <c r="L459" s="26" t="str">
        <f>IF(A459="","",IF(COUNTIF(Public_Holidays!$A$4:$A$80,A459)&gt;0,"Y","N"))</f>
        <v>N</v>
      </c>
      <c r="M459" s="26" t="str">
        <f t="shared" si="23"/>
        <v>N</v>
      </c>
      <c r="N459" s="26" t="e">
        <f ca="1">IF(A459="","",_xludf.TEXTJOIN("; ",TRUE,IF(SUMIFS($J:$J,$C:$C,C459,$B:$B,B459)&gt;Settings!$B$9,"Weekly ordinary hrs &gt;45",""),IF(SUMIFS(Claims!$H:$H,Claims!$C:$C,C459,Claims!$B:$B,B459)&gt;Settings!$B$10,"Weekly OT &gt;10",""),IF(AND(G459&lt;&gt;"Off",COUNTIFS($C:$C,C459,$A:$A,A459-1,$G:$G,"Night")&gt;0),"Rest &lt;12h after night shift",""),IF(J459&gt;5,"Meal interval required","")))</f>
        <v>#NAME?</v>
      </c>
      <c r="O459" s="25" t="s">
        <v>112</v>
      </c>
      <c r="P459" s="25"/>
    </row>
    <row r="460" spans="1:16" x14ac:dyDescent="0.35">
      <c r="A460" s="31">
        <f>IF(22+1&lt;=Settings!$B$7,Settings!$B$6+22,"")</f>
        <v>46165</v>
      </c>
      <c r="B460" s="31">
        <f t="shared" si="21"/>
        <v>46160</v>
      </c>
      <c r="C460" s="26" t="str">
        <f>IF(Employees!A20="","",Employees!A20)</f>
        <v/>
      </c>
      <c r="D460" s="26" t="str">
        <f>IF(C460="","",Employees!B20)</f>
        <v/>
      </c>
      <c r="E460" s="26" t="str">
        <f>IF(C460="","",Employees!C20)</f>
        <v/>
      </c>
      <c r="F460" s="26">
        <f>IF(A460="","",MOD(A460-Settings!$B$6,4)+1)</f>
        <v>3</v>
      </c>
      <c r="G460" s="26" t="str">
        <f>IF(C460="","",INDEX(Rotation_Pattern!$B$4:$E$7,F460,MATCH(E460,{"A","B","C","D"},0)))</f>
        <v/>
      </c>
      <c r="H460" s="32" t="str">
        <f t="shared" si="22"/>
        <v/>
      </c>
      <c r="I460" s="32" t="str">
        <f>IF(OR(G460="Off",G460=""),"",H460+TIME(Settings!$B$8,0,0))</f>
        <v/>
      </c>
      <c r="J460" s="26">
        <f>IF(OR(G460="Off",G460=""),0,Settings!$B$8)</f>
        <v>0</v>
      </c>
      <c r="K460" s="25" t="s">
        <v>111</v>
      </c>
      <c r="L460" s="26" t="str">
        <f>IF(A460="","",IF(COUNTIF(Public_Holidays!$A$4:$A$80,A460)&gt;0,"Y","N"))</f>
        <v>N</v>
      </c>
      <c r="M460" s="26" t="str">
        <f t="shared" si="23"/>
        <v>N</v>
      </c>
      <c r="N460" s="26" t="e">
        <f ca="1">IF(A460="","",_xludf.TEXTJOIN("; ",TRUE,IF(SUMIFS($J:$J,$C:$C,C460,$B:$B,B460)&gt;Settings!$B$9,"Weekly ordinary hrs &gt;45",""),IF(SUMIFS(Claims!$H:$H,Claims!$C:$C,C460,Claims!$B:$B,B460)&gt;Settings!$B$10,"Weekly OT &gt;10",""),IF(AND(G460&lt;&gt;"Off",COUNTIFS($C:$C,C460,$A:$A,A460-1,$G:$G,"Night")&gt;0),"Rest &lt;12h after night shift",""),IF(J460&gt;5,"Meal interval required","")))</f>
        <v>#NAME?</v>
      </c>
      <c r="O460" s="25" t="s">
        <v>112</v>
      </c>
      <c r="P460" s="25"/>
    </row>
    <row r="461" spans="1:16" x14ac:dyDescent="0.35">
      <c r="A461" s="31">
        <f>IF(22+1&lt;=Settings!$B$7,Settings!$B$6+22,"")</f>
        <v>46165</v>
      </c>
      <c r="B461" s="31">
        <f t="shared" si="21"/>
        <v>46160</v>
      </c>
      <c r="C461" s="26" t="str">
        <f>IF(Employees!A21="","",Employees!A21)</f>
        <v/>
      </c>
      <c r="D461" s="26" t="str">
        <f>IF(C461="","",Employees!B21)</f>
        <v/>
      </c>
      <c r="E461" s="26" t="str">
        <f>IF(C461="","",Employees!C21)</f>
        <v/>
      </c>
      <c r="F461" s="26">
        <f>IF(A461="","",MOD(A461-Settings!$B$6,4)+1)</f>
        <v>3</v>
      </c>
      <c r="G461" s="26" t="str">
        <f>IF(C461="","",INDEX(Rotation_Pattern!$B$4:$E$7,F461,MATCH(E461,{"A","B","C","D"},0)))</f>
        <v/>
      </c>
      <c r="H461" s="32" t="str">
        <f t="shared" si="22"/>
        <v/>
      </c>
      <c r="I461" s="32" t="str">
        <f>IF(OR(G461="Off",G461=""),"",H461+TIME(Settings!$B$8,0,0))</f>
        <v/>
      </c>
      <c r="J461" s="26">
        <f>IF(OR(G461="Off",G461=""),0,Settings!$B$8)</f>
        <v>0</v>
      </c>
      <c r="K461" s="25" t="s">
        <v>111</v>
      </c>
      <c r="L461" s="26" t="str">
        <f>IF(A461="","",IF(COUNTIF(Public_Holidays!$A$4:$A$80,A461)&gt;0,"Y","N"))</f>
        <v>N</v>
      </c>
      <c r="M461" s="26" t="str">
        <f t="shared" si="23"/>
        <v>N</v>
      </c>
      <c r="N461" s="26" t="e">
        <f ca="1">IF(A461="","",_xludf.TEXTJOIN("; ",TRUE,IF(SUMIFS($J:$J,$C:$C,C461,$B:$B,B461)&gt;Settings!$B$9,"Weekly ordinary hrs &gt;45",""),IF(SUMIFS(Claims!$H:$H,Claims!$C:$C,C461,Claims!$B:$B,B461)&gt;Settings!$B$10,"Weekly OT &gt;10",""),IF(AND(G461&lt;&gt;"Off",COUNTIFS($C:$C,C461,$A:$A,A461-1,$G:$G,"Night")&gt;0),"Rest &lt;12h after night shift",""),IF(J461&gt;5,"Meal interval required","")))</f>
        <v>#NAME?</v>
      </c>
      <c r="O461" s="25" t="s">
        <v>112</v>
      </c>
      <c r="P461" s="25"/>
    </row>
    <row r="462" spans="1:16" x14ac:dyDescent="0.35">
      <c r="A462" s="31">
        <f>IF(22+1&lt;=Settings!$B$7,Settings!$B$6+22,"")</f>
        <v>46165</v>
      </c>
      <c r="B462" s="31">
        <f t="shared" si="21"/>
        <v>46160</v>
      </c>
      <c r="C462" s="26" t="str">
        <f>IF(Employees!A22="","",Employees!A22)</f>
        <v/>
      </c>
      <c r="D462" s="26" t="str">
        <f>IF(C462="","",Employees!B22)</f>
        <v/>
      </c>
      <c r="E462" s="26" t="str">
        <f>IF(C462="","",Employees!C22)</f>
        <v/>
      </c>
      <c r="F462" s="26">
        <f>IF(A462="","",MOD(A462-Settings!$B$6,4)+1)</f>
        <v>3</v>
      </c>
      <c r="G462" s="26" t="str">
        <f>IF(C462="","",INDEX(Rotation_Pattern!$B$4:$E$7,F462,MATCH(E462,{"A","B","C","D"},0)))</f>
        <v/>
      </c>
      <c r="H462" s="32" t="str">
        <f t="shared" si="22"/>
        <v/>
      </c>
      <c r="I462" s="32" t="str">
        <f>IF(OR(G462="Off",G462=""),"",H462+TIME(Settings!$B$8,0,0))</f>
        <v/>
      </c>
      <c r="J462" s="26">
        <f>IF(OR(G462="Off",G462=""),0,Settings!$B$8)</f>
        <v>0</v>
      </c>
      <c r="K462" s="25" t="s">
        <v>111</v>
      </c>
      <c r="L462" s="26" t="str">
        <f>IF(A462="","",IF(COUNTIF(Public_Holidays!$A$4:$A$80,A462)&gt;0,"Y","N"))</f>
        <v>N</v>
      </c>
      <c r="M462" s="26" t="str">
        <f t="shared" si="23"/>
        <v>N</v>
      </c>
      <c r="N462" s="26" t="e">
        <f ca="1">IF(A462="","",_xludf.TEXTJOIN("; ",TRUE,IF(SUMIFS($J:$J,$C:$C,C462,$B:$B,B462)&gt;Settings!$B$9,"Weekly ordinary hrs &gt;45",""),IF(SUMIFS(Claims!$H:$H,Claims!$C:$C,C462,Claims!$B:$B,B462)&gt;Settings!$B$10,"Weekly OT &gt;10",""),IF(AND(G462&lt;&gt;"Off",COUNTIFS($C:$C,C462,$A:$A,A462-1,$G:$G,"Night")&gt;0),"Rest &lt;12h after night shift",""),IF(J462&gt;5,"Meal interval required","")))</f>
        <v>#NAME?</v>
      </c>
      <c r="O462" s="25" t="s">
        <v>112</v>
      </c>
      <c r="P462" s="25"/>
    </row>
    <row r="463" spans="1:16" x14ac:dyDescent="0.35">
      <c r="A463" s="31">
        <f>IF(22+1&lt;=Settings!$B$7,Settings!$B$6+22,"")</f>
        <v>46165</v>
      </c>
      <c r="B463" s="31">
        <f t="shared" si="21"/>
        <v>46160</v>
      </c>
      <c r="C463" s="26" t="str">
        <f>IF(Employees!A23="","",Employees!A23)</f>
        <v/>
      </c>
      <c r="D463" s="26" t="str">
        <f>IF(C463="","",Employees!B23)</f>
        <v/>
      </c>
      <c r="E463" s="26" t="str">
        <f>IF(C463="","",Employees!C23)</f>
        <v/>
      </c>
      <c r="F463" s="26">
        <f>IF(A463="","",MOD(A463-Settings!$B$6,4)+1)</f>
        <v>3</v>
      </c>
      <c r="G463" s="26" t="str">
        <f>IF(C463="","",INDEX(Rotation_Pattern!$B$4:$E$7,F463,MATCH(E463,{"A","B","C","D"},0)))</f>
        <v/>
      </c>
      <c r="H463" s="32" t="str">
        <f t="shared" si="22"/>
        <v/>
      </c>
      <c r="I463" s="32" t="str">
        <f>IF(OR(G463="Off",G463=""),"",H463+TIME(Settings!$B$8,0,0))</f>
        <v/>
      </c>
      <c r="J463" s="26">
        <f>IF(OR(G463="Off",G463=""),0,Settings!$B$8)</f>
        <v>0</v>
      </c>
      <c r="K463" s="25" t="s">
        <v>111</v>
      </c>
      <c r="L463" s="26" t="str">
        <f>IF(A463="","",IF(COUNTIF(Public_Holidays!$A$4:$A$80,A463)&gt;0,"Y","N"))</f>
        <v>N</v>
      </c>
      <c r="M463" s="26" t="str">
        <f t="shared" si="23"/>
        <v>N</v>
      </c>
      <c r="N463" s="26" t="e">
        <f ca="1">IF(A463="","",_xludf.TEXTJOIN("; ",TRUE,IF(SUMIFS($J:$J,$C:$C,C463,$B:$B,B463)&gt;Settings!$B$9,"Weekly ordinary hrs &gt;45",""),IF(SUMIFS(Claims!$H:$H,Claims!$C:$C,C463,Claims!$B:$B,B463)&gt;Settings!$B$10,"Weekly OT &gt;10",""),IF(AND(G463&lt;&gt;"Off",COUNTIFS($C:$C,C463,$A:$A,A463-1,$G:$G,"Night")&gt;0),"Rest &lt;12h after night shift",""),IF(J463&gt;5,"Meal interval required","")))</f>
        <v>#NAME?</v>
      </c>
      <c r="O463" s="25" t="s">
        <v>112</v>
      </c>
      <c r="P463" s="25"/>
    </row>
    <row r="464" spans="1:16" x14ac:dyDescent="0.35">
      <c r="A464" s="31">
        <f>IF(23+1&lt;=Settings!$B$7,Settings!$B$6+23,"")</f>
        <v>46166</v>
      </c>
      <c r="B464" s="31">
        <f t="shared" si="21"/>
        <v>46160</v>
      </c>
      <c r="C464" s="26" t="str">
        <f>IF(Employees!A4="","",Employees!A4)</f>
        <v>E001</v>
      </c>
      <c r="D464" s="26" t="str">
        <f>IF(C464="","",Employees!B4)</f>
        <v>Musiwa Khavalani</v>
      </c>
      <c r="E464" s="26">
        <f>IF(C464="","",Employees!C4)</f>
        <v>0</v>
      </c>
      <c r="F464" s="26">
        <f>IF(A464="","",MOD(A464-Settings!$B$6,4)+1)</f>
        <v>4</v>
      </c>
      <c r="G464" s="26" t="e">
        <f>IF(C464="","",INDEX(Rotation_Pattern!$B$4:$E$7,F464,MATCH(E464,{"A","B","C","D"},0)))</f>
        <v>#N/A</v>
      </c>
      <c r="H464" s="32" t="e">
        <f t="shared" si="22"/>
        <v>#N/A</v>
      </c>
      <c r="I464" s="32" t="e">
        <f>IF(OR(G464="Off",G464=""),"",H464+TIME(Settings!$B$8,0,0))</f>
        <v>#N/A</v>
      </c>
      <c r="J464" s="26" t="e">
        <f>IF(OR(G464="Off",G464=""),0,Settings!$B$8)</f>
        <v>#N/A</v>
      </c>
      <c r="K464" s="25" t="s">
        <v>111</v>
      </c>
      <c r="L464" s="26" t="str">
        <f>IF(A464="","",IF(COUNTIF(Public_Holidays!$A$4:$A$80,A464)&gt;0,"Y","N"))</f>
        <v>N</v>
      </c>
      <c r="M464" s="26" t="str">
        <f t="shared" si="23"/>
        <v>Y</v>
      </c>
      <c r="N464" s="26" t="e">
        <f ca="1">IF(A464="","",_xludf.TEXTJOIN("; ",TRUE,IF(SUMIFS($J:$J,$C:$C,C464,$B:$B,B464)&gt;Settings!$B$9,"Weekly ordinary hrs &gt;45",""),IF(SUMIFS(Claims!$H:$H,Claims!$C:$C,C464,Claims!$B:$B,B464)&gt;Settings!$B$10,"Weekly OT &gt;10",""),IF(AND(G464&lt;&gt;"Off",COUNTIFS($C:$C,C464,$A:$A,A464-1,$G:$G,"Night")&gt;0),"Rest &lt;12h after night shift",""),IF(J464&gt;5,"Meal interval required","")))</f>
        <v>#NAME?</v>
      </c>
      <c r="O464" s="25" t="s">
        <v>112</v>
      </c>
      <c r="P464" s="25"/>
    </row>
    <row r="465" spans="1:16" x14ac:dyDescent="0.35">
      <c r="A465" s="31">
        <f>IF(23+1&lt;=Settings!$B$7,Settings!$B$6+23,"")</f>
        <v>46166</v>
      </c>
      <c r="B465" s="31">
        <f t="shared" si="21"/>
        <v>46160</v>
      </c>
      <c r="C465" s="26" t="str">
        <f>IF(Employees!A5="","",Employees!A5)</f>
        <v>E002</v>
      </c>
      <c r="D465" s="26" t="str">
        <f>IF(C465="","",Employees!B5)</f>
        <v>Mpho  Nembemhia</v>
      </c>
      <c r="E465" s="26" t="str">
        <f>IF(C465="","",Employees!C5)</f>
        <v>B</v>
      </c>
      <c r="F465" s="26">
        <f>IF(A465="","",MOD(A465-Settings!$B$6,4)+1)</f>
        <v>4</v>
      </c>
      <c r="G465" s="26" t="str">
        <f>IF(C465="","",INDEX(Rotation_Pattern!$B$4:$E$7,F465,MATCH(E465,{"A","B","C","D"},0)))</f>
        <v>Night</v>
      </c>
      <c r="H465" s="32">
        <f t="shared" si="22"/>
        <v>0.91666666666666663</v>
      </c>
      <c r="I465" s="32">
        <f>IF(OR(G465="Off",G465=""),"",H465+TIME(Settings!$B$8,0,0))</f>
        <v>1.25</v>
      </c>
      <c r="J465" s="26">
        <f>IF(OR(G465="Off",G465=""),0,Settings!$B$8)</f>
        <v>8</v>
      </c>
      <c r="K465" s="25" t="s">
        <v>111</v>
      </c>
      <c r="L465" s="26" t="str">
        <f>IF(A465="","",IF(COUNTIF(Public_Holidays!$A$4:$A$80,A465)&gt;0,"Y","N"))</f>
        <v>N</v>
      </c>
      <c r="M465" s="26" t="str">
        <f t="shared" si="23"/>
        <v>Y</v>
      </c>
      <c r="N465" s="26" t="e">
        <f ca="1">IF(A465="","",_xludf.TEXTJOIN("; ",TRUE,IF(SUMIFS($J:$J,$C:$C,C465,$B:$B,B465)&gt;Settings!$B$9,"Weekly ordinary hrs &gt;45",""),IF(SUMIFS(Claims!$H:$H,Claims!$C:$C,C465,Claims!$B:$B,B465)&gt;Settings!$B$10,"Weekly OT &gt;10",""),IF(AND(G465&lt;&gt;"Off",COUNTIFS($C:$C,C465,$A:$A,A465-1,$G:$G,"Night")&gt;0),"Rest &lt;12h after night shift",""),IF(J465&gt;5,"Meal interval required","")))</f>
        <v>#NAME?</v>
      </c>
      <c r="O465" s="25" t="s">
        <v>112</v>
      </c>
      <c r="P465" s="25"/>
    </row>
    <row r="466" spans="1:16" x14ac:dyDescent="0.35">
      <c r="A466" s="31">
        <f>IF(23+1&lt;=Settings!$B$7,Settings!$B$6+23,"")</f>
        <v>46166</v>
      </c>
      <c r="B466" s="31">
        <f t="shared" si="21"/>
        <v>46160</v>
      </c>
      <c r="C466" s="26" t="str">
        <f>IF(Employees!A6="","",Employees!A6)</f>
        <v>E003</v>
      </c>
      <c r="D466" s="26" t="str">
        <f>IF(C466="","",Employees!B6)</f>
        <v>Dimpho Makhafola</v>
      </c>
      <c r="E466" s="26" t="str">
        <f>IF(C466="","",Employees!C6)</f>
        <v>C</v>
      </c>
      <c r="F466" s="26">
        <f>IF(A466="","",MOD(A466-Settings!$B$6,4)+1)</f>
        <v>4</v>
      </c>
      <c r="G466" s="26" t="str">
        <f>IF(C466="","",INDEX(Rotation_Pattern!$B$4:$E$7,F466,MATCH(E466,{"A","B","C","D"},0)))</f>
        <v>Evening</v>
      </c>
      <c r="H466" s="32">
        <f t="shared" si="22"/>
        <v>0.58333333333333337</v>
      </c>
      <c r="I466" s="32">
        <f>IF(OR(G466="Off",G466=""),"",H466+TIME(Settings!$B$8,0,0))</f>
        <v>0.91666666666666674</v>
      </c>
      <c r="J466" s="26">
        <f>IF(OR(G466="Off",G466=""),0,Settings!$B$8)</f>
        <v>8</v>
      </c>
      <c r="K466" s="25" t="s">
        <v>111</v>
      </c>
      <c r="L466" s="26" t="str">
        <f>IF(A466="","",IF(COUNTIF(Public_Holidays!$A$4:$A$80,A466)&gt;0,"Y","N"))</f>
        <v>N</v>
      </c>
      <c r="M466" s="26" t="str">
        <f t="shared" si="23"/>
        <v>Y</v>
      </c>
      <c r="N466" s="26" t="e">
        <f ca="1">IF(A466="","",_xludf.TEXTJOIN("; ",TRUE,IF(SUMIFS($J:$J,$C:$C,C466,$B:$B,B466)&gt;Settings!$B$9,"Weekly ordinary hrs &gt;45",""),IF(SUMIFS(Claims!$H:$H,Claims!$C:$C,C466,Claims!$B:$B,B466)&gt;Settings!$B$10,"Weekly OT &gt;10",""),IF(AND(G466&lt;&gt;"Off",COUNTIFS($C:$C,C466,$A:$A,A466-1,$G:$G,"Night")&gt;0),"Rest &lt;12h after night shift",""),IF(J466&gt;5,"Meal interval required","")))</f>
        <v>#NAME?</v>
      </c>
      <c r="O466" s="25" t="s">
        <v>112</v>
      </c>
      <c r="P466" s="25"/>
    </row>
    <row r="467" spans="1:16" x14ac:dyDescent="0.35">
      <c r="A467" s="31">
        <f>IF(23+1&lt;=Settings!$B$7,Settings!$B$6+23,"")</f>
        <v>46166</v>
      </c>
      <c r="B467" s="31">
        <f t="shared" si="21"/>
        <v>46160</v>
      </c>
      <c r="C467" s="26" t="str">
        <f>IF(Employees!A7="","",Employees!A7)</f>
        <v>E004</v>
      </c>
      <c r="D467" s="26" t="str">
        <f>IF(C467="","",Employees!B7)</f>
        <v>Bashii Fall</v>
      </c>
      <c r="E467" s="26" t="str">
        <f>IF(C467="","",Employees!C7)</f>
        <v>D</v>
      </c>
      <c r="F467" s="26">
        <f>IF(A467="","",MOD(A467-Settings!$B$6,4)+1)</f>
        <v>4</v>
      </c>
      <c r="G467" s="26" t="str">
        <f>IF(C467="","",INDEX(Rotation_Pattern!$B$4:$E$7,F467,MATCH(E467,{"A","B","C","D"},0)))</f>
        <v>Day</v>
      </c>
      <c r="H467" s="32">
        <f t="shared" si="22"/>
        <v>0.25</v>
      </c>
      <c r="I467" s="32">
        <f>IF(OR(G467="Off",G467=""),"",H467+TIME(Settings!$B$8,0,0))</f>
        <v>0.58333333333333326</v>
      </c>
      <c r="J467" s="26">
        <f>IF(OR(G467="Off",G467=""),0,Settings!$B$8)</f>
        <v>8</v>
      </c>
      <c r="K467" s="25" t="s">
        <v>111</v>
      </c>
      <c r="L467" s="26" t="str">
        <f>IF(A467="","",IF(COUNTIF(Public_Holidays!$A$4:$A$80,A467)&gt;0,"Y","N"))</f>
        <v>N</v>
      </c>
      <c r="M467" s="26" t="str">
        <f t="shared" si="23"/>
        <v>Y</v>
      </c>
      <c r="N467" s="26" t="e">
        <f ca="1">IF(A467="","",_xludf.TEXTJOIN("; ",TRUE,IF(SUMIFS($J:$J,$C:$C,C467,$B:$B,B467)&gt;Settings!$B$9,"Weekly ordinary hrs &gt;45",""),IF(SUMIFS(Claims!$H:$H,Claims!$C:$C,C467,Claims!$B:$B,B467)&gt;Settings!$B$10,"Weekly OT &gt;10",""),IF(AND(G467&lt;&gt;"Off",COUNTIFS($C:$C,C467,$A:$A,A467-1,$G:$G,"Night")&gt;0),"Rest &lt;12h after night shift",""),IF(J467&gt;5,"Meal interval required","")))</f>
        <v>#NAME?</v>
      </c>
      <c r="O467" s="25" t="s">
        <v>112</v>
      </c>
      <c r="P467" s="25"/>
    </row>
    <row r="468" spans="1:16" x14ac:dyDescent="0.35">
      <c r="A468" s="31">
        <f>IF(23+1&lt;=Settings!$B$7,Settings!$B$6+23,"")</f>
        <v>46166</v>
      </c>
      <c r="B468" s="31">
        <f t="shared" si="21"/>
        <v>46160</v>
      </c>
      <c r="C468" s="26" t="str">
        <f>IF(Employees!A8="","",Employees!A8)</f>
        <v>E005</v>
      </c>
      <c r="D468" s="26" t="str">
        <f>IF(C468="","",Employees!B8)</f>
        <v>Lesego Aphane</v>
      </c>
      <c r="E468" s="26" t="str">
        <f>IF(C468="","",Employees!C8)</f>
        <v>A</v>
      </c>
      <c r="F468" s="26">
        <f>IF(A468="","",MOD(A468-Settings!$B$6,4)+1)</f>
        <v>4</v>
      </c>
      <c r="G468" s="26" t="str">
        <f>IF(C468="","",INDEX(Rotation_Pattern!$B$4:$E$7,F468,MATCH(E468,{"A","B","C","D"},0)))</f>
        <v>Off</v>
      </c>
      <c r="H468" s="32" t="str">
        <f t="shared" si="22"/>
        <v/>
      </c>
      <c r="I468" s="32" t="str">
        <f>IF(OR(G468="Off",G468=""),"",H468+TIME(Settings!$B$8,0,0))</f>
        <v/>
      </c>
      <c r="J468" s="26">
        <f>IF(OR(G468="Off",G468=""),0,Settings!$B$8)</f>
        <v>0</v>
      </c>
      <c r="K468" s="25" t="s">
        <v>111</v>
      </c>
      <c r="L468" s="26" t="str">
        <f>IF(A468="","",IF(COUNTIF(Public_Holidays!$A$4:$A$80,A468)&gt;0,"Y","N"))</f>
        <v>N</v>
      </c>
      <c r="M468" s="26" t="str">
        <f t="shared" si="23"/>
        <v>Y</v>
      </c>
      <c r="N468" s="26" t="e">
        <f ca="1">IF(A468="","",_xludf.TEXTJOIN("; ",TRUE,IF(SUMIFS($J:$J,$C:$C,C468,$B:$B,B468)&gt;Settings!$B$9,"Weekly ordinary hrs &gt;45",""),IF(SUMIFS(Claims!$H:$H,Claims!$C:$C,C468,Claims!$B:$B,B468)&gt;Settings!$B$10,"Weekly OT &gt;10",""),IF(AND(G468&lt;&gt;"Off",COUNTIFS($C:$C,C468,$A:$A,A468-1,$G:$G,"Night")&gt;0),"Rest &lt;12h after night shift",""),IF(J468&gt;5,"Meal interval required","")))</f>
        <v>#NAME?</v>
      </c>
      <c r="O468" s="25" t="s">
        <v>112</v>
      </c>
      <c r="P468" s="25"/>
    </row>
    <row r="469" spans="1:16" x14ac:dyDescent="0.35">
      <c r="A469" s="31">
        <f>IF(23+1&lt;=Settings!$B$7,Settings!$B$6+23,"")</f>
        <v>46166</v>
      </c>
      <c r="B469" s="31">
        <f t="shared" si="21"/>
        <v>46160</v>
      </c>
      <c r="C469" s="26" t="str">
        <f>IF(Employees!A9="","",Employees!A9)</f>
        <v>E006</v>
      </c>
      <c r="D469" s="26" t="str">
        <f>IF(C469="","",Employees!B9)</f>
        <v>Nhalnahla</v>
      </c>
      <c r="E469" s="26" t="str">
        <f>IF(C469="","",Employees!C9)</f>
        <v>B</v>
      </c>
      <c r="F469" s="26">
        <f>IF(A469="","",MOD(A469-Settings!$B$6,4)+1)</f>
        <v>4</v>
      </c>
      <c r="G469" s="26" t="str">
        <f>IF(C469="","",INDEX(Rotation_Pattern!$B$4:$E$7,F469,MATCH(E469,{"A","B","C","D"},0)))</f>
        <v>Night</v>
      </c>
      <c r="H469" s="32">
        <f t="shared" si="22"/>
        <v>0.91666666666666663</v>
      </c>
      <c r="I469" s="32">
        <f>IF(OR(G469="Off",G469=""),"",H469+TIME(Settings!$B$8,0,0))</f>
        <v>1.25</v>
      </c>
      <c r="J469" s="26">
        <f>IF(OR(G469="Off",G469=""),0,Settings!$B$8)</f>
        <v>8</v>
      </c>
      <c r="K469" s="25" t="s">
        <v>111</v>
      </c>
      <c r="L469" s="26" t="str">
        <f>IF(A469="","",IF(COUNTIF(Public_Holidays!$A$4:$A$80,A469)&gt;0,"Y","N"))</f>
        <v>N</v>
      </c>
      <c r="M469" s="26" t="str">
        <f t="shared" si="23"/>
        <v>Y</v>
      </c>
      <c r="N469" s="26" t="e">
        <f ca="1">IF(A469="","",_xludf.TEXTJOIN("; ",TRUE,IF(SUMIFS($J:$J,$C:$C,C469,$B:$B,B469)&gt;Settings!$B$9,"Weekly ordinary hrs &gt;45",""),IF(SUMIFS(Claims!$H:$H,Claims!$C:$C,C469,Claims!$B:$B,B469)&gt;Settings!$B$10,"Weekly OT &gt;10",""),IF(AND(G469&lt;&gt;"Off",COUNTIFS($C:$C,C469,$A:$A,A469-1,$G:$G,"Night")&gt;0),"Rest &lt;12h after night shift",""),IF(J469&gt;5,"Meal interval required","")))</f>
        <v>#NAME?</v>
      </c>
      <c r="O469" s="25" t="s">
        <v>112</v>
      </c>
      <c r="P469" s="25"/>
    </row>
    <row r="470" spans="1:16" x14ac:dyDescent="0.35">
      <c r="A470" s="31">
        <f>IF(23+1&lt;=Settings!$B$7,Settings!$B$6+23,"")</f>
        <v>46166</v>
      </c>
      <c r="B470" s="31">
        <f t="shared" si="21"/>
        <v>46160</v>
      </c>
      <c r="C470" s="26" t="str">
        <f>IF(Employees!A10="","",Employees!A10)</f>
        <v>E007</v>
      </c>
      <c r="D470" s="26" t="str">
        <f>IF(C470="","",Employees!B10)</f>
        <v>Joe</v>
      </c>
      <c r="E470" s="26" t="str">
        <f>IF(C470="","",Employees!C10)</f>
        <v>C</v>
      </c>
      <c r="F470" s="26">
        <f>IF(A470="","",MOD(A470-Settings!$B$6,4)+1)</f>
        <v>4</v>
      </c>
      <c r="G470" s="26" t="str">
        <f>IF(C470="","",INDEX(Rotation_Pattern!$B$4:$E$7,F470,MATCH(E470,{"A","B","C","D"},0)))</f>
        <v>Evening</v>
      </c>
      <c r="H470" s="32">
        <f t="shared" si="22"/>
        <v>0.58333333333333337</v>
      </c>
      <c r="I470" s="32">
        <f>IF(OR(G470="Off",G470=""),"",H470+TIME(Settings!$B$8,0,0))</f>
        <v>0.91666666666666674</v>
      </c>
      <c r="J470" s="26">
        <f>IF(OR(G470="Off",G470=""),0,Settings!$B$8)</f>
        <v>8</v>
      </c>
      <c r="K470" s="25" t="s">
        <v>111</v>
      </c>
      <c r="L470" s="26" t="str">
        <f>IF(A470="","",IF(COUNTIF(Public_Holidays!$A$4:$A$80,A470)&gt;0,"Y","N"))</f>
        <v>N</v>
      </c>
      <c r="M470" s="26" t="str">
        <f t="shared" si="23"/>
        <v>Y</v>
      </c>
      <c r="N470" s="26" t="e">
        <f ca="1">IF(A470="","",_xludf.TEXTJOIN("; ",TRUE,IF(SUMIFS($J:$J,$C:$C,C470,$B:$B,B470)&gt;Settings!$B$9,"Weekly ordinary hrs &gt;45",""),IF(SUMIFS(Claims!$H:$H,Claims!$C:$C,C470,Claims!$B:$B,B470)&gt;Settings!$B$10,"Weekly OT &gt;10",""),IF(AND(G470&lt;&gt;"Off",COUNTIFS($C:$C,C470,$A:$A,A470-1,$G:$G,"Night")&gt;0),"Rest &lt;12h after night shift",""),IF(J470&gt;5,"Meal interval required","")))</f>
        <v>#NAME?</v>
      </c>
      <c r="O470" s="25" t="s">
        <v>112</v>
      </c>
      <c r="P470" s="25"/>
    </row>
    <row r="471" spans="1:16" x14ac:dyDescent="0.35">
      <c r="A471" s="31">
        <f>IF(23+1&lt;=Settings!$B$7,Settings!$B$6+23,"")</f>
        <v>46166</v>
      </c>
      <c r="B471" s="31">
        <f t="shared" si="21"/>
        <v>46160</v>
      </c>
      <c r="C471" s="26" t="str">
        <f>IF(Employees!A11="","",Employees!A11)</f>
        <v>E008</v>
      </c>
      <c r="D471" s="26" t="str">
        <f>IF(C471="","",Employees!B11)</f>
        <v>Tim</v>
      </c>
      <c r="E471" s="26" t="str">
        <f>IF(C471="","",Employees!C11)</f>
        <v>D</v>
      </c>
      <c r="F471" s="26">
        <f>IF(A471="","",MOD(A471-Settings!$B$6,4)+1)</f>
        <v>4</v>
      </c>
      <c r="G471" s="26" t="str">
        <f>IF(C471="","",INDEX(Rotation_Pattern!$B$4:$E$7,F471,MATCH(E471,{"A","B","C","D"},0)))</f>
        <v>Day</v>
      </c>
      <c r="H471" s="32">
        <f t="shared" si="22"/>
        <v>0.25</v>
      </c>
      <c r="I471" s="32">
        <f>IF(OR(G471="Off",G471=""),"",H471+TIME(Settings!$B$8,0,0))</f>
        <v>0.58333333333333326</v>
      </c>
      <c r="J471" s="26">
        <f>IF(OR(G471="Off",G471=""),0,Settings!$B$8)</f>
        <v>8</v>
      </c>
      <c r="K471" s="25" t="s">
        <v>111</v>
      </c>
      <c r="L471" s="26" t="str">
        <f>IF(A471="","",IF(COUNTIF(Public_Holidays!$A$4:$A$80,A471)&gt;0,"Y","N"))</f>
        <v>N</v>
      </c>
      <c r="M471" s="26" t="str">
        <f t="shared" si="23"/>
        <v>Y</v>
      </c>
      <c r="N471" s="26" t="e">
        <f ca="1">IF(A471="","",_xludf.TEXTJOIN("; ",TRUE,IF(SUMIFS($J:$J,$C:$C,C471,$B:$B,B471)&gt;Settings!$B$9,"Weekly ordinary hrs &gt;45",""),IF(SUMIFS(Claims!$H:$H,Claims!$C:$C,C471,Claims!$B:$B,B471)&gt;Settings!$B$10,"Weekly OT &gt;10",""),IF(AND(G471&lt;&gt;"Off",COUNTIFS($C:$C,C471,$A:$A,A471-1,$G:$G,"Night")&gt;0),"Rest &lt;12h after night shift",""),IF(J471&gt;5,"Meal interval required","")))</f>
        <v>#NAME?</v>
      </c>
      <c r="O471" s="25" t="s">
        <v>112</v>
      </c>
      <c r="P471" s="25"/>
    </row>
    <row r="472" spans="1:16" x14ac:dyDescent="0.35">
      <c r="A472" s="31">
        <f>IF(23+1&lt;=Settings!$B$7,Settings!$B$6+23,"")</f>
        <v>46166</v>
      </c>
      <c r="B472" s="31">
        <f t="shared" si="21"/>
        <v>46160</v>
      </c>
      <c r="C472" s="26" t="str">
        <f>IF(Employees!A12="","",Employees!A12)</f>
        <v>E009</v>
      </c>
      <c r="D472" s="26" t="str">
        <f>IF(C472="","",Employees!B12)</f>
        <v>Frank</v>
      </c>
      <c r="E472" s="26" t="str">
        <f>IF(C472="","",Employees!C12)</f>
        <v>A</v>
      </c>
      <c r="F472" s="26">
        <f>IF(A472="","",MOD(A472-Settings!$B$6,4)+1)</f>
        <v>4</v>
      </c>
      <c r="G472" s="26" t="str">
        <f>IF(C472="","",INDEX(Rotation_Pattern!$B$4:$E$7,F472,MATCH(E472,{"A","B","C","D"},0)))</f>
        <v>Off</v>
      </c>
      <c r="H472" s="32" t="str">
        <f t="shared" si="22"/>
        <v/>
      </c>
      <c r="I472" s="32" t="str">
        <f>IF(OR(G472="Off",G472=""),"",H472+TIME(Settings!$B$8,0,0))</f>
        <v/>
      </c>
      <c r="J472" s="26">
        <f>IF(OR(G472="Off",G472=""),0,Settings!$B$8)</f>
        <v>0</v>
      </c>
      <c r="K472" s="25" t="s">
        <v>111</v>
      </c>
      <c r="L472" s="26" t="str">
        <f>IF(A472="","",IF(COUNTIF(Public_Holidays!$A$4:$A$80,A472)&gt;0,"Y","N"))</f>
        <v>N</v>
      </c>
      <c r="M472" s="26" t="str">
        <f t="shared" si="23"/>
        <v>Y</v>
      </c>
      <c r="N472" s="26" t="e">
        <f ca="1">IF(A472="","",_xludf.TEXTJOIN("; ",TRUE,IF(SUMIFS($J:$J,$C:$C,C472,$B:$B,B472)&gt;Settings!$B$9,"Weekly ordinary hrs &gt;45",""),IF(SUMIFS(Claims!$H:$H,Claims!$C:$C,C472,Claims!$B:$B,B472)&gt;Settings!$B$10,"Weekly OT &gt;10",""),IF(AND(G472&lt;&gt;"Off",COUNTIFS($C:$C,C472,$A:$A,A472-1,$G:$G,"Night")&gt;0),"Rest &lt;12h after night shift",""),IF(J472&gt;5,"Meal interval required","")))</f>
        <v>#NAME?</v>
      </c>
      <c r="O472" s="25" t="s">
        <v>112</v>
      </c>
      <c r="P472" s="25"/>
    </row>
    <row r="473" spans="1:16" x14ac:dyDescent="0.35">
      <c r="A473" s="31">
        <f>IF(23+1&lt;=Settings!$B$7,Settings!$B$6+23,"")</f>
        <v>46166</v>
      </c>
      <c r="B473" s="31">
        <f t="shared" si="21"/>
        <v>46160</v>
      </c>
      <c r="C473" s="26" t="str">
        <f>IF(Employees!A13="","",Employees!A13)</f>
        <v/>
      </c>
      <c r="D473" s="26" t="str">
        <f>IF(C473="","",Employees!B13)</f>
        <v/>
      </c>
      <c r="E473" s="26" t="str">
        <f>IF(C473="","",Employees!C13)</f>
        <v/>
      </c>
      <c r="F473" s="26">
        <f>IF(A473="","",MOD(A473-Settings!$B$6,4)+1)</f>
        <v>4</v>
      </c>
      <c r="G473" s="26" t="str">
        <f>IF(C473="","",INDEX(Rotation_Pattern!$B$4:$E$7,F473,MATCH(E473,{"A","B","C","D"},0)))</f>
        <v/>
      </c>
      <c r="H473" s="32" t="str">
        <f t="shared" si="22"/>
        <v/>
      </c>
      <c r="I473" s="32" t="str">
        <f>IF(OR(G473="Off",G473=""),"",H473+TIME(Settings!$B$8,0,0))</f>
        <v/>
      </c>
      <c r="J473" s="26">
        <f>IF(OR(G473="Off",G473=""),0,Settings!$B$8)</f>
        <v>0</v>
      </c>
      <c r="K473" s="25" t="s">
        <v>111</v>
      </c>
      <c r="L473" s="26" t="str">
        <f>IF(A473="","",IF(COUNTIF(Public_Holidays!$A$4:$A$80,A473)&gt;0,"Y","N"))</f>
        <v>N</v>
      </c>
      <c r="M473" s="26" t="str">
        <f t="shared" si="23"/>
        <v>Y</v>
      </c>
      <c r="N473" s="26" t="e">
        <f ca="1">IF(A473="","",_xludf.TEXTJOIN("; ",TRUE,IF(SUMIFS($J:$J,$C:$C,C473,$B:$B,B473)&gt;Settings!$B$9,"Weekly ordinary hrs &gt;45",""),IF(SUMIFS(Claims!$H:$H,Claims!$C:$C,C473,Claims!$B:$B,B473)&gt;Settings!$B$10,"Weekly OT &gt;10",""),IF(AND(G473&lt;&gt;"Off",COUNTIFS($C:$C,C473,$A:$A,A473-1,$G:$G,"Night")&gt;0),"Rest &lt;12h after night shift",""),IF(J473&gt;5,"Meal interval required","")))</f>
        <v>#NAME?</v>
      </c>
      <c r="O473" s="25" t="s">
        <v>112</v>
      </c>
      <c r="P473" s="25"/>
    </row>
    <row r="474" spans="1:16" x14ac:dyDescent="0.35">
      <c r="A474" s="31">
        <f>IF(23+1&lt;=Settings!$B$7,Settings!$B$6+23,"")</f>
        <v>46166</v>
      </c>
      <c r="B474" s="31">
        <f t="shared" si="21"/>
        <v>46160</v>
      </c>
      <c r="C474" s="26" t="str">
        <f>IF(Employees!A14="","",Employees!A14)</f>
        <v/>
      </c>
      <c r="D474" s="26" t="str">
        <f>IF(C474="","",Employees!B14)</f>
        <v/>
      </c>
      <c r="E474" s="26" t="str">
        <f>IF(C474="","",Employees!C14)</f>
        <v/>
      </c>
      <c r="F474" s="26">
        <f>IF(A474="","",MOD(A474-Settings!$B$6,4)+1)</f>
        <v>4</v>
      </c>
      <c r="G474" s="26" t="str">
        <f>IF(C474="","",INDEX(Rotation_Pattern!$B$4:$E$7,F474,MATCH(E474,{"A","B","C","D"},0)))</f>
        <v/>
      </c>
      <c r="H474" s="32" t="str">
        <f t="shared" si="22"/>
        <v/>
      </c>
      <c r="I474" s="32" t="str">
        <f>IF(OR(G474="Off",G474=""),"",H474+TIME(Settings!$B$8,0,0))</f>
        <v/>
      </c>
      <c r="J474" s="26">
        <f>IF(OR(G474="Off",G474=""),0,Settings!$B$8)</f>
        <v>0</v>
      </c>
      <c r="K474" s="25" t="s">
        <v>111</v>
      </c>
      <c r="L474" s="26" t="str">
        <f>IF(A474="","",IF(COUNTIF(Public_Holidays!$A$4:$A$80,A474)&gt;0,"Y","N"))</f>
        <v>N</v>
      </c>
      <c r="M474" s="26" t="str">
        <f t="shared" si="23"/>
        <v>Y</v>
      </c>
      <c r="N474" s="26" t="e">
        <f ca="1">IF(A474="","",_xludf.TEXTJOIN("; ",TRUE,IF(SUMIFS($J:$J,$C:$C,C474,$B:$B,B474)&gt;Settings!$B$9,"Weekly ordinary hrs &gt;45",""),IF(SUMIFS(Claims!$H:$H,Claims!$C:$C,C474,Claims!$B:$B,B474)&gt;Settings!$B$10,"Weekly OT &gt;10",""),IF(AND(G474&lt;&gt;"Off",COUNTIFS($C:$C,C474,$A:$A,A474-1,$G:$G,"Night")&gt;0),"Rest &lt;12h after night shift",""),IF(J474&gt;5,"Meal interval required","")))</f>
        <v>#NAME?</v>
      </c>
      <c r="O474" s="25" t="s">
        <v>112</v>
      </c>
      <c r="P474" s="25"/>
    </row>
    <row r="475" spans="1:16" x14ac:dyDescent="0.35">
      <c r="A475" s="31">
        <f>IF(23+1&lt;=Settings!$B$7,Settings!$B$6+23,"")</f>
        <v>46166</v>
      </c>
      <c r="B475" s="31">
        <f t="shared" si="21"/>
        <v>46160</v>
      </c>
      <c r="C475" s="26" t="str">
        <f>IF(Employees!A15="","",Employees!A15)</f>
        <v/>
      </c>
      <c r="D475" s="26" t="str">
        <f>IF(C475="","",Employees!B15)</f>
        <v/>
      </c>
      <c r="E475" s="26" t="str">
        <f>IF(C475="","",Employees!C15)</f>
        <v/>
      </c>
      <c r="F475" s="26">
        <f>IF(A475="","",MOD(A475-Settings!$B$6,4)+1)</f>
        <v>4</v>
      </c>
      <c r="G475" s="26" t="str">
        <f>IF(C475="","",INDEX(Rotation_Pattern!$B$4:$E$7,F475,MATCH(E475,{"A","B","C","D"},0)))</f>
        <v/>
      </c>
      <c r="H475" s="32" t="str">
        <f t="shared" si="22"/>
        <v/>
      </c>
      <c r="I475" s="32" t="str">
        <f>IF(OR(G475="Off",G475=""),"",H475+TIME(Settings!$B$8,0,0))</f>
        <v/>
      </c>
      <c r="J475" s="26">
        <f>IF(OR(G475="Off",G475=""),0,Settings!$B$8)</f>
        <v>0</v>
      </c>
      <c r="K475" s="25" t="s">
        <v>111</v>
      </c>
      <c r="L475" s="26" t="str">
        <f>IF(A475="","",IF(COUNTIF(Public_Holidays!$A$4:$A$80,A475)&gt;0,"Y","N"))</f>
        <v>N</v>
      </c>
      <c r="M475" s="26" t="str">
        <f t="shared" si="23"/>
        <v>Y</v>
      </c>
      <c r="N475" s="26" t="e">
        <f ca="1">IF(A475="","",_xludf.TEXTJOIN("; ",TRUE,IF(SUMIFS($J:$J,$C:$C,C475,$B:$B,B475)&gt;Settings!$B$9,"Weekly ordinary hrs &gt;45",""),IF(SUMIFS(Claims!$H:$H,Claims!$C:$C,C475,Claims!$B:$B,B475)&gt;Settings!$B$10,"Weekly OT &gt;10",""),IF(AND(G475&lt;&gt;"Off",COUNTIFS($C:$C,C475,$A:$A,A475-1,$G:$G,"Night")&gt;0),"Rest &lt;12h after night shift",""),IF(J475&gt;5,"Meal interval required","")))</f>
        <v>#NAME?</v>
      </c>
      <c r="O475" s="25" t="s">
        <v>112</v>
      </c>
      <c r="P475" s="25"/>
    </row>
    <row r="476" spans="1:16" x14ac:dyDescent="0.35">
      <c r="A476" s="31">
        <f>IF(23+1&lt;=Settings!$B$7,Settings!$B$6+23,"")</f>
        <v>46166</v>
      </c>
      <c r="B476" s="31">
        <f t="shared" si="21"/>
        <v>46160</v>
      </c>
      <c r="C476" s="26" t="str">
        <f>IF(Employees!A16="","",Employees!A16)</f>
        <v/>
      </c>
      <c r="D476" s="26" t="str">
        <f>IF(C476="","",Employees!B16)</f>
        <v/>
      </c>
      <c r="E476" s="26" t="str">
        <f>IF(C476="","",Employees!C16)</f>
        <v/>
      </c>
      <c r="F476" s="26">
        <f>IF(A476="","",MOD(A476-Settings!$B$6,4)+1)</f>
        <v>4</v>
      </c>
      <c r="G476" s="26" t="str">
        <f>IF(C476="","",INDEX(Rotation_Pattern!$B$4:$E$7,F476,MATCH(E476,{"A","B","C","D"},0)))</f>
        <v/>
      </c>
      <c r="H476" s="32" t="str">
        <f t="shared" si="22"/>
        <v/>
      </c>
      <c r="I476" s="32" t="str">
        <f>IF(OR(G476="Off",G476=""),"",H476+TIME(Settings!$B$8,0,0))</f>
        <v/>
      </c>
      <c r="J476" s="26">
        <f>IF(OR(G476="Off",G476=""),0,Settings!$B$8)</f>
        <v>0</v>
      </c>
      <c r="K476" s="25" t="s">
        <v>111</v>
      </c>
      <c r="L476" s="26" t="str">
        <f>IF(A476="","",IF(COUNTIF(Public_Holidays!$A$4:$A$80,A476)&gt;0,"Y","N"))</f>
        <v>N</v>
      </c>
      <c r="M476" s="26" t="str">
        <f t="shared" si="23"/>
        <v>Y</v>
      </c>
      <c r="N476" s="26" t="e">
        <f ca="1">IF(A476="","",_xludf.TEXTJOIN("; ",TRUE,IF(SUMIFS($J:$J,$C:$C,C476,$B:$B,B476)&gt;Settings!$B$9,"Weekly ordinary hrs &gt;45",""),IF(SUMIFS(Claims!$H:$H,Claims!$C:$C,C476,Claims!$B:$B,B476)&gt;Settings!$B$10,"Weekly OT &gt;10",""),IF(AND(G476&lt;&gt;"Off",COUNTIFS($C:$C,C476,$A:$A,A476-1,$G:$G,"Night")&gt;0),"Rest &lt;12h after night shift",""),IF(J476&gt;5,"Meal interval required","")))</f>
        <v>#NAME?</v>
      </c>
      <c r="O476" s="25" t="s">
        <v>112</v>
      </c>
      <c r="P476" s="25"/>
    </row>
    <row r="477" spans="1:16" x14ac:dyDescent="0.35">
      <c r="A477" s="31">
        <f>IF(23+1&lt;=Settings!$B$7,Settings!$B$6+23,"")</f>
        <v>46166</v>
      </c>
      <c r="B477" s="31">
        <f t="shared" si="21"/>
        <v>46160</v>
      </c>
      <c r="C477" s="26" t="str">
        <f>IF(Employees!A17="","",Employees!A17)</f>
        <v/>
      </c>
      <c r="D477" s="26" t="str">
        <f>IF(C477="","",Employees!B17)</f>
        <v/>
      </c>
      <c r="E477" s="26" t="str">
        <f>IF(C477="","",Employees!C17)</f>
        <v/>
      </c>
      <c r="F477" s="26">
        <f>IF(A477="","",MOD(A477-Settings!$B$6,4)+1)</f>
        <v>4</v>
      </c>
      <c r="G477" s="26" t="str">
        <f>IF(C477="","",INDEX(Rotation_Pattern!$B$4:$E$7,F477,MATCH(E477,{"A","B","C","D"},0)))</f>
        <v/>
      </c>
      <c r="H477" s="32" t="str">
        <f t="shared" si="22"/>
        <v/>
      </c>
      <c r="I477" s="32" t="str">
        <f>IF(OR(G477="Off",G477=""),"",H477+TIME(Settings!$B$8,0,0))</f>
        <v/>
      </c>
      <c r="J477" s="26">
        <f>IF(OR(G477="Off",G477=""),0,Settings!$B$8)</f>
        <v>0</v>
      </c>
      <c r="K477" s="25" t="s">
        <v>111</v>
      </c>
      <c r="L477" s="26" t="str">
        <f>IF(A477="","",IF(COUNTIF(Public_Holidays!$A$4:$A$80,A477)&gt;0,"Y","N"))</f>
        <v>N</v>
      </c>
      <c r="M477" s="26" t="str">
        <f t="shared" si="23"/>
        <v>Y</v>
      </c>
      <c r="N477" s="26" t="e">
        <f ca="1">IF(A477="","",_xludf.TEXTJOIN("; ",TRUE,IF(SUMIFS($J:$J,$C:$C,C477,$B:$B,B477)&gt;Settings!$B$9,"Weekly ordinary hrs &gt;45",""),IF(SUMIFS(Claims!$H:$H,Claims!$C:$C,C477,Claims!$B:$B,B477)&gt;Settings!$B$10,"Weekly OT &gt;10",""),IF(AND(G477&lt;&gt;"Off",COUNTIFS($C:$C,C477,$A:$A,A477-1,$G:$G,"Night")&gt;0),"Rest &lt;12h after night shift",""),IF(J477&gt;5,"Meal interval required","")))</f>
        <v>#NAME?</v>
      </c>
      <c r="O477" s="25" t="s">
        <v>112</v>
      </c>
      <c r="P477" s="25"/>
    </row>
    <row r="478" spans="1:16" x14ac:dyDescent="0.35">
      <c r="A478" s="31">
        <f>IF(23+1&lt;=Settings!$B$7,Settings!$B$6+23,"")</f>
        <v>46166</v>
      </c>
      <c r="B478" s="31">
        <f t="shared" si="21"/>
        <v>46160</v>
      </c>
      <c r="C478" s="26" t="str">
        <f>IF(Employees!A18="","",Employees!A18)</f>
        <v/>
      </c>
      <c r="D478" s="26" t="str">
        <f>IF(C478="","",Employees!B18)</f>
        <v/>
      </c>
      <c r="E478" s="26" t="str">
        <f>IF(C478="","",Employees!C18)</f>
        <v/>
      </c>
      <c r="F478" s="26">
        <f>IF(A478="","",MOD(A478-Settings!$B$6,4)+1)</f>
        <v>4</v>
      </c>
      <c r="G478" s="26" t="str">
        <f>IF(C478="","",INDEX(Rotation_Pattern!$B$4:$E$7,F478,MATCH(E478,{"A","B","C","D"},0)))</f>
        <v/>
      </c>
      <c r="H478" s="32" t="str">
        <f t="shared" si="22"/>
        <v/>
      </c>
      <c r="I478" s="32" t="str">
        <f>IF(OR(G478="Off",G478=""),"",H478+TIME(Settings!$B$8,0,0))</f>
        <v/>
      </c>
      <c r="J478" s="26">
        <f>IF(OR(G478="Off",G478=""),0,Settings!$B$8)</f>
        <v>0</v>
      </c>
      <c r="K478" s="25" t="s">
        <v>111</v>
      </c>
      <c r="L478" s="26" t="str">
        <f>IF(A478="","",IF(COUNTIF(Public_Holidays!$A$4:$A$80,A478)&gt;0,"Y","N"))</f>
        <v>N</v>
      </c>
      <c r="M478" s="26" t="str">
        <f t="shared" si="23"/>
        <v>Y</v>
      </c>
      <c r="N478" s="26" t="e">
        <f ca="1">IF(A478="","",_xludf.TEXTJOIN("; ",TRUE,IF(SUMIFS($J:$J,$C:$C,C478,$B:$B,B478)&gt;Settings!$B$9,"Weekly ordinary hrs &gt;45",""),IF(SUMIFS(Claims!$H:$H,Claims!$C:$C,C478,Claims!$B:$B,B478)&gt;Settings!$B$10,"Weekly OT &gt;10",""),IF(AND(G478&lt;&gt;"Off",COUNTIFS($C:$C,C478,$A:$A,A478-1,$G:$G,"Night")&gt;0),"Rest &lt;12h after night shift",""),IF(J478&gt;5,"Meal interval required","")))</f>
        <v>#NAME?</v>
      </c>
      <c r="O478" s="25" t="s">
        <v>112</v>
      </c>
      <c r="P478" s="25"/>
    </row>
    <row r="479" spans="1:16" x14ac:dyDescent="0.35">
      <c r="A479" s="31">
        <f>IF(23+1&lt;=Settings!$B$7,Settings!$B$6+23,"")</f>
        <v>46166</v>
      </c>
      <c r="B479" s="31">
        <f t="shared" si="21"/>
        <v>46160</v>
      </c>
      <c r="C479" s="26" t="str">
        <f>IF(Employees!A19="","",Employees!A19)</f>
        <v/>
      </c>
      <c r="D479" s="26" t="str">
        <f>IF(C479="","",Employees!B19)</f>
        <v/>
      </c>
      <c r="E479" s="26" t="str">
        <f>IF(C479="","",Employees!C19)</f>
        <v/>
      </c>
      <c r="F479" s="26">
        <f>IF(A479="","",MOD(A479-Settings!$B$6,4)+1)</f>
        <v>4</v>
      </c>
      <c r="G479" s="26" t="str">
        <f>IF(C479="","",INDEX(Rotation_Pattern!$B$4:$E$7,F479,MATCH(E479,{"A","B","C","D"},0)))</f>
        <v/>
      </c>
      <c r="H479" s="32" t="str">
        <f t="shared" si="22"/>
        <v/>
      </c>
      <c r="I479" s="32" t="str">
        <f>IF(OR(G479="Off",G479=""),"",H479+TIME(Settings!$B$8,0,0))</f>
        <v/>
      </c>
      <c r="J479" s="26">
        <f>IF(OR(G479="Off",G479=""),0,Settings!$B$8)</f>
        <v>0</v>
      </c>
      <c r="K479" s="25" t="s">
        <v>111</v>
      </c>
      <c r="L479" s="26" t="str">
        <f>IF(A479="","",IF(COUNTIF(Public_Holidays!$A$4:$A$80,A479)&gt;0,"Y","N"))</f>
        <v>N</v>
      </c>
      <c r="M479" s="26" t="str">
        <f t="shared" si="23"/>
        <v>Y</v>
      </c>
      <c r="N479" s="26" t="e">
        <f ca="1">IF(A479="","",_xludf.TEXTJOIN("; ",TRUE,IF(SUMIFS($J:$J,$C:$C,C479,$B:$B,B479)&gt;Settings!$B$9,"Weekly ordinary hrs &gt;45",""),IF(SUMIFS(Claims!$H:$H,Claims!$C:$C,C479,Claims!$B:$B,B479)&gt;Settings!$B$10,"Weekly OT &gt;10",""),IF(AND(G479&lt;&gt;"Off",COUNTIFS($C:$C,C479,$A:$A,A479-1,$G:$G,"Night")&gt;0),"Rest &lt;12h after night shift",""),IF(J479&gt;5,"Meal interval required","")))</f>
        <v>#NAME?</v>
      </c>
      <c r="O479" s="25" t="s">
        <v>112</v>
      </c>
      <c r="P479" s="25"/>
    </row>
    <row r="480" spans="1:16" x14ac:dyDescent="0.35">
      <c r="A480" s="31">
        <f>IF(23+1&lt;=Settings!$B$7,Settings!$B$6+23,"")</f>
        <v>46166</v>
      </c>
      <c r="B480" s="31">
        <f t="shared" si="21"/>
        <v>46160</v>
      </c>
      <c r="C480" s="26" t="str">
        <f>IF(Employees!A20="","",Employees!A20)</f>
        <v/>
      </c>
      <c r="D480" s="26" t="str">
        <f>IF(C480="","",Employees!B20)</f>
        <v/>
      </c>
      <c r="E480" s="26" t="str">
        <f>IF(C480="","",Employees!C20)</f>
        <v/>
      </c>
      <c r="F480" s="26">
        <f>IF(A480="","",MOD(A480-Settings!$B$6,4)+1)</f>
        <v>4</v>
      </c>
      <c r="G480" s="26" t="str">
        <f>IF(C480="","",INDEX(Rotation_Pattern!$B$4:$E$7,F480,MATCH(E480,{"A","B","C","D"},0)))</f>
        <v/>
      </c>
      <c r="H480" s="32" t="str">
        <f t="shared" si="22"/>
        <v/>
      </c>
      <c r="I480" s="32" t="str">
        <f>IF(OR(G480="Off",G480=""),"",H480+TIME(Settings!$B$8,0,0))</f>
        <v/>
      </c>
      <c r="J480" s="26">
        <f>IF(OR(G480="Off",G480=""),0,Settings!$B$8)</f>
        <v>0</v>
      </c>
      <c r="K480" s="25" t="s">
        <v>111</v>
      </c>
      <c r="L480" s="26" t="str">
        <f>IF(A480="","",IF(COUNTIF(Public_Holidays!$A$4:$A$80,A480)&gt;0,"Y","N"))</f>
        <v>N</v>
      </c>
      <c r="M480" s="26" t="str">
        <f t="shared" si="23"/>
        <v>Y</v>
      </c>
      <c r="N480" s="26" t="e">
        <f ca="1">IF(A480="","",_xludf.TEXTJOIN("; ",TRUE,IF(SUMIFS($J:$J,$C:$C,C480,$B:$B,B480)&gt;Settings!$B$9,"Weekly ordinary hrs &gt;45",""),IF(SUMIFS(Claims!$H:$H,Claims!$C:$C,C480,Claims!$B:$B,B480)&gt;Settings!$B$10,"Weekly OT &gt;10",""),IF(AND(G480&lt;&gt;"Off",COUNTIFS($C:$C,C480,$A:$A,A480-1,$G:$G,"Night")&gt;0),"Rest &lt;12h after night shift",""),IF(J480&gt;5,"Meal interval required","")))</f>
        <v>#NAME?</v>
      </c>
      <c r="O480" s="25" t="s">
        <v>112</v>
      </c>
      <c r="P480" s="25"/>
    </row>
    <row r="481" spans="1:16" x14ac:dyDescent="0.35">
      <c r="A481" s="31">
        <f>IF(23+1&lt;=Settings!$B$7,Settings!$B$6+23,"")</f>
        <v>46166</v>
      </c>
      <c r="B481" s="31">
        <f t="shared" si="21"/>
        <v>46160</v>
      </c>
      <c r="C481" s="26" t="str">
        <f>IF(Employees!A21="","",Employees!A21)</f>
        <v/>
      </c>
      <c r="D481" s="26" t="str">
        <f>IF(C481="","",Employees!B21)</f>
        <v/>
      </c>
      <c r="E481" s="26" t="str">
        <f>IF(C481="","",Employees!C21)</f>
        <v/>
      </c>
      <c r="F481" s="26">
        <f>IF(A481="","",MOD(A481-Settings!$B$6,4)+1)</f>
        <v>4</v>
      </c>
      <c r="G481" s="26" t="str">
        <f>IF(C481="","",INDEX(Rotation_Pattern!$B$4:$E$7,F481,MATCH(E481,{"A","B","C","D"},0)))</f>
        <v/>
      </c>
      <c r="H481" s="32" t="str">
        <f t="shared" si="22"/>
        <v/>
      </c>
      <c r="I481" s="32" t="str">
        <f>IF(OR(G481="Off",G481=""),"",H481+TIME(Settings!$B$8,0,0))</f>
        <v/>
      </c>
      <c r="J481" s="26">
        <f>IF(OR(G481="Off",G481=""),0,Settings!$B$8)</f>
        <v>0</v>
      </c>
      <c r="K481" s="25" t="s">
        <v>111</v>
      </c>
      <c r="L481" s="26" t="str">
        <f>IF(A481="","",IF(COUNTIF(Public_Holidays!$A$4:$A$80,A481)&gt;0,"Y","N"))</f>
        <v>N</v>
      </c>
      <c r="M481" s="26" t="str">
        <f t="shared" si="23"/>
        <v>Y</v>
      </c>
      <c r="N481" s="26" t="e">
        <f ca="1">IF(A481="","",_xludf.TEXTJOIN("; ",TRUE,IF(SUMIFS($J:$J,$C:$C,C481,$B:$B,B481)&gt;Settings!$B$9,"Weekly ordinary hrs &gt;45",""),IF(SUMIFS(Claims!$H:$H,Claims!$C:$C,C481,Claims!$B:$B,B481)&gt;Settings!$B$10,"Weekly OT &gt;10",""),IF(AND(G481&lt;&gt;"Off",COUNTIFS($C:$C,C481,$A:$A,A481-1,$G:$G,"Night")&gt;0),"Rest &lt;12h after night shift",""),IF(J481&gt;5,"Meal interval required","")))</f>
        <v>#NAME?</v>
      </c>
      <c r="O481" s="25" t="s">
        <v>112</v>
      </c>
      <c r="P481" s="25"/>
    </row>
    <row r="482" spans="1:16" x14ac:dyDescent="0.35">
      <c r="A482" s="31">
        <f>IF(23+1&lt;=Settings!$B$7,Settings!$B$6+23,"")</f>
        <v>46166</v>
      </c>
      <c r="B482" s="31">
        <f t="shared" si="21"/>
        <v>46160</v>
      </c>
      <c r="C482" s="26" t="str">
        <f>IF(Employees!A22="","",Employees!A22)</f>
        <v/>
      </c>
      <c r="D482" s="26" t="str">
        <f>IF(C482="","",Employees!B22)</f>
        <v/>
      </c>
      <c r="E482" s="26" t="str">
        <f>IF(C482="","",Employees!C22)</f>
        <v/>
      </c>
      <c r="F482" s="26">
        <f>IF(A482="","",MOD(A482-Settings!$B$6,4)+1)</f>
        <v>4</v>
      </c>
      <c r="G482" s="26" t="str">
        <f>IF(C482="","",INDEX(Rotation_Pattern!$B$4:$E$7,F482,MATCH(E482,{"A","B","C","D"},0)))</f>
        <v/>
      </c>
      <c r="H482" s="32" t="str">
        <f t="shared" si="22"/>
        <v/>
      </c>
      <c r="I482" s="32" t="str">
        <f>IF(OR(G482="Off",G482=""),"",H482+TIME(Settings!$B$8,0,0))</f>
        <v/>
      </c>
      <c r="J482" s="26">
        <f>IF(OR(G482="Off",G482=""),0,Settings!$B$8)</f>
        <v>0</v>
      </c>
      <c r="K482" s="25" t="s">
        <v>111</v>
      </c>
      <c r="L482" s="26" t="str">
        <f>IF(A482="","",IF(COUNTIF(Public_Holidays!$A$4:$A$80,A482)&gt;0,"Y","N"))</f>
        <v>N</v>
      </c>
      <c r="M482" s="26" t="str">
        <f t="shared" si="23"/>
        <v>Y</v>
      </c>
      <c r="N482" s="26" t="e">
        <f ca="1">IF(A482="","",_xludf.TEXTJOIN("; ",TRUE,IF(SUMIFS($J:$J,$C:$C,C482,$B:$B,B482)&gt;Settings!$B$9,"Weekly ordinary hrs &gt;45",""),IF(SUMIFS(Claims!$H:$H,Claims!$C:$C,C482,Claims!$B:$B,B482)&gt;Settings!$B$10,"Weekly OT &gt;10",""),IF(AND(G482&lt;&gt;"Off",COUNTIFS($C:$C,C482,$A:$A,A482-1,$G:$G,"Night")&gt;0),"Rest &lt;12h after night shift",""),IF(J482&gt;5,"Meal interval required","")))</f>
        <v>#NAME?</v>
      </c>
      <c r="O482" s="25" t="s">
        <v>112</v>
      </c>
      <c r="P482" s="25"/>
    </row>
    <row r="483" spans="1:16" x14ac:dyDescent="0.35">
      <c r="A483" s="31">
        <f>IF(23+1&lt;=Settings!$B$7,Settings!$B$6+23,"")</f>
        <v>46166</v>
      </c>
      <c r="B483" s="31">
        <f t="shared" si="21"/>
        <v>46160</v>
      </c>
      <c r="C483" s="26" t="str">
        <f>IF(Employees!A23="","",Employees!A23)</f>
        <v/>
      </c>
      <c r="D483" s="26" t="str">
        <f>IF(C483="","",Employees!B23)</f>
        <v/>
      </c>
      <c r="E483" s="26" t="str">
        <f>IF(C483="","",Employees!C23)</f>
        <v/>
      </c>
      <c r="F483" s="26">
        <f>IF(A483="","",MOD(A483-Settings!$B$6,4)+1)</f>
        <v>4</v>
      </c>
      <c r="G483" s="26" t="str">
        <f>IF(C483="","",INDEX(Rotation_Pattern!$B$4:$E$7,F483,MATCH(E483,{"A","B","C","D"},0)))</f>
        <v/>
      </c>
      <c r="H483" s="32" t="str">
        <f t="shared" si="22"/>
        <v/>
      </c>
      <c r="I483" s="32" t="str">
        <f>IF(OR(G483="Off",G483=""),"",H483+TIME(Settings!$B$8,0,0))</f>
        <v/>
      </c>
      <c r="J483" s="26">
        <f>IF(OR(G483="Off",G483=""),0,Settings!$B$8)</f>
        <v>0</v>
      </c>
      <c r="K483" s="25" t="s">
        <v>111</v>
      </c>
      <c r="L483" s="26" t="str">
        <f>IF(A483="","",IF(COUNTIF(Public_Holidays!$A$4:$A$80,A483)&gt;0,"Y","N"))</f>
        <v>N</v>
      </c>
      <c r="M483" s="26" t="str">
        <f t="shared" si="23"/>
        <v>Y</v>
      </c>
      <c r="N483" s="26" t="e">
        <f ca="1">IF(A483="","",_xludf.TEXTJOIN("; ",TRUE,IF(SUMIFS($J:$J,$C:$C,C483,$B:$B,B483)&gt;Settings!$B$9,"Weekly ordinary hrs &gt;45",""),IF(SUMIFS(Claims!$H:$H,Claims!$C:$C,C483,Claims!$B:$B,B483)&gt;Settings!$B$10,"Weekly OT &gt;10",""),IF(AND(G483&lt;&gt;"Off",COUNTIFS($C:$C,C483,$A:$A,A483-1,$G:$G,"Night")&gt;0),"Rest &lt;12h after night shift",""),IF(J483&gt;5,"Meal interval required","")))</f>
        <v>#NAME?</v>
      </c>
      <c r="O483" s="25" t="s">
        <v>112</v>
      </c>
      <c r="P483" s="25"/>
    </row>
    <row r="484" spans="1:16" x14ac:dyDescent="0.35">
      <c r="A484" s="31">
        <f>IF(24+1&lt;=Settings!$B$7,Settings!$B$6+24,"")</f>
        <v>46167</v>
      </c>
      <c r="B484" s="31">
        <f t="shared" si="21"/>
        <v>46167</v>
      </c>
      <c r="C484" s="26" t="str">
        <f>IF(Employees!A4="","",Employees!A4)</f>
        <v>E001</v>
      </c>
      <c r="D484" s="26" t="str">
        <f>IF(C484="","",Employees!B4)</f>
        <v>Musiwa Khavalani</v>
      </c>
      <c r="E484" s="26">
        <f>IF(C484="","",Employees!C4)</f>
        <v>0</v>
      </c>
      <c r="F484" s="26">
        <f>IF(A484="","",MOD(A484-Settings!$B$6,4)+1)</f>
        <v>1</v>
      </c>
      <c r="G484" s="26" t="e">
        <f>IF(C484="","",INDEX(Rotation_Pattern!$B$4:$E$7,F484,MATCH(E484,{"A","B","C","D"},0)))</f>
        <v>#N/A</v>
      </c>
      <c r="H484" s="32" t="e">
        <f t="shared" si="22"/>
        <v>#N/A</v>
      </c>
      <c r="I484" s="32" t="e">
        <f>IF(OR(G484="Off",G484=""),"",H484+TIME(Settings!$B$8,0,0))</f>
        <v>#N/A</v>
      </c>
      <c r="J484" s="26" t="e">
        <f>IF(OR(G484="Off",G484=""),0,Settings!$B$8)</f>
        <v>#N/A</v>
      </c>
      <c r="K484" s="25" t="s">
        <v>111</v>
      </c>
      <c r="L484" s="26" t="str">
        <f>IF(A484="","",IF(COUNTIF(Public_Holidays!$A$4:$A$80,A484)&gt;0,"Y","N"))</f>
        <v>N</v>
      </c>
      <c r="M484" s="26" t="str">
        <f t="shared" si="23"/>
        <v>N</v>
      </c>
      <c r="N484" s="26" t="e">
        <f ca="1">IF(A484="","",_xludf.TEXTJOIN("; ",TRUE,IF(SUMIFS($J:$J,$C:$C,C484,$B:$B,B484)&gt;Settings!$B$9,"Weekly ordinary hrs &gt;45",""),IF(SUMIFS(Claims!$H:$H,Claims!$C:$C,C484,Claims!$B:$B,B484)&gt;Settings!$B$10,"Weekly OT &gt;10",""),IF(AND(G484&lt;&gt;"Off",COUNTIFS($C:$C,C484,$A:$A,A484-1,$G:$G,"Night")&gt;0),"Rest &lt;12h after night shift",""),IF(J484&gt;5,"Meal interval required","")))</f>
        <v>#NAME?</v>
      </c>
      <c r="O484" s="25" t="s">
        <v>112</v>
      </c>
      <c r="P484" s="25"/>
    </row>
    <row r="485" spans="1:16" x14ac:dyDescent="0.35">
      <c r="A485" s="31">
        <f>IF(24+1&lt;=Settings!$B$7,Settings!$B$6+24,"")</f>
        <v>46167</v>
      </c>
      <c r="B485" s="31">
        <f t="shared" si="21"/>
        <v>46167</v>
      </c>
      <c r="C485" s="26" t="str">
        <f>IF(Employees!A5="","",Employees!A5)</f>
        <v>E002</v>
      </c>
      <c r="D485" s="26" t="str">
        <f>IF(C485="","",Employees!B5)</f>
        <v>Mpho  Nembemhia</v>
      </c>
      <c r="E485" s="26" t="str">
        <f>IF(C485="","",Employees!C5)</f>
        <v>B</v>
      </c>
      <c r="F485" s="26">
        <f>IF(A485="","",MOD(A485-Settings!$B$6,4)+1)</f>
        <v>1</v>
      </c>
      <c r="G485" s="26" t="str">
        <f>IF(C485="","",INDEX(Rotation_Pattern!$B$4:$E$7,F485,MATCH(E485,{"A","B","C","D"},0)))</f>
        <v>Off</v>
      </c>
      <c r="H485" s="32" t="str">
        <f t="shared" si="22"/>
        <v/>
      </c>
      <c r="I485" s="32" t="str">
        <f>IF(OR(G485="Off",G485=""),"",H485+TIME(Settings!$B$8,0,0))</f>
        <v/>
      </c>
      <c r="J485" s="26">
        <f>IF(OR(G485="Off",G485=""),0,Settings!$B$8)</f>
        <v>0</v>
      </c>
      <c r="K485" s="25" t="s">
        <v>111</v>
      </c>
      <c r="L485" s="26" t="str">
        <f>IF(A485="","",IF(COUNTIF(Public_Holidays!$A$4:$A$80,A485)&gt;0,"Y","N"))</f>
        <v>N</v>
      </c>
      <c r="M485" s="26" t="str">
        <f t="shared" si="23"/>
        <v>N</v>
      </c>
      <c r="N485" s="26" t="e">
        <f ca="1">IF(A485="","",_xludf.TEXTJOIN("; ",TRUE,IF(SUMIFS($J:$J,$C:$C,C485,$B:$B,B485)&gt;Settings!$B$9,"Weekly ordinary hrs &gt;45",""),IF(SUMIFS(Claims!$H:$H,Claims!$C:$C,C485,Claims!$B:$B,B485)&gt;Settings!$B$10,"Weekly OT &gt;10",""),IF(AND(G485&lt;&gt;"Off",COUNTIFS($C:$C,C485,$A:$A,A485-1,$G:$G,"Night")&gt;0),"Rest &lt;12h after night shift",""),IF(J485&gt;5,"Meal interval required","")))</f>
        <v>#NAME?</v>
      </c>
      <c r="O485" s="25" t="s">
        <v>112</v>
      </c>
      <c r="P485" s="25"/>
    </row>
    <row r="486" spans="1:16" x14ac:dyDescent="0.35">
      <c r="A486" s="31">
        <f>IF(24+1&lt;=Settings!$B$7,Settings!$B$6+24,"")</f>
        <v>46167</v>
      </c>
      <c r="B486" s="31">
        <f t="shared" si="21"/>
        <v>46167</v>
      </c>
      <c r="C486" s="26" t="str">
        <f>IF(Employees!A6="","",Employees!A6)</f>
        <v>E003</v>
      </c>
      <c r="D486" s="26" t="str">
        <f>IF(C486="","",Employees!B6)</f>
        <v>Dimpho Makhafola</v>
      </c>
      <c r="E486" s="26" t="str">
        <f>IF(C486="","",Employees!C6)</f>
        <v>C</v>
      </c>
      <c r="F486" s="26">
        <f>IF(A486="","",MOD(A486-Settings!$B$6,4)+1)</f>
        <v>1</v>
      </c>
      <c r="G486" s="26" t="str">
        <f>IF(C486="","",INDEX(Rotation_Pattern!$B$4:$E$7,F486,MATCH(E486,{"A","B","C","D"},0)))</f>
        <v>Evening</v>
      </c>
      <c r="H486" s="32">
        <f t="shared" si="22"/>
        <v>0.58333333333333337</v>
      </c>
      <c r="I486" s="32">
        <f>IF(OR(G486="Off",G486=""),"",H486+TIME(Settings!$B$8,0,0))</f>
        <v>0.91666666666666674</v>
      </c>
      <c r="J486" s="26">
        <f>IF(OR(G486="Off",G486=""),0,Settings!$B$8)</f>
        <v>8</v>
      </c>
      <c r="K486" s="25" t="s">
        <v>111</v>
      </c>
      <c r="L486" s="26" t="str">
        <f>IF(A486="","",IF(COUNTIF(Public_Holidays!$A$4:$A$80,A486)&gt;0,"Y","N"))</f>
        <v>N</v>
      </c>
      <c r="M486" s="26" t="str">
        <f t="shared" si="23"/>
        <v>N</v>
      </c>
      <c r="N486" s="26" t="e">
        <f ca="1">IF(A486="","",_xludf.TEXTJOIN("; ",TRUE,IF(SUMIFS($J:$J,$C:$C,C486,$B:$B,B486)&gt;Settings!$B$9,"Weekly ordinary hrs &gt;45",""),IF(SUMIFS(Claims!$H:$H,Claims!$C:$C,C486,Claims!$B:$B,B486)&gt;Settings!$B$10,"Weekly OT &gt;10",""),IF(AND(G486&lt;&gt;"Off",COUNTIFS($C:$C,C486,$A:$A,A486-1,$G:$G,"Night")&gt;0),"Rest &lt;12h after night shift",""),IF(J486&gt;5,"Meal interval required","")))</f>
        <v>#NAME?</v>
      </c>
      <c r="O486" s="25" t="s">
        <v>112</v>
      </c>
      <c r="P486" s="25"/>
    </row>
    <row r="487" spans="1:16" x14ac:dyDescent="0.35">
      <c r="A487" s="31">
        <f>IF(24+1&lt;=Settings!$B$7,Settings!$B$6+24,"")</f>
        <v>46167</v>
      </c>
      <c r="B487" s="31">
        <f t="shared" si="21"/>
        <v>46167</v>
      </c>
      <c r="C487" s="26" t="str">
        <f>IF(Employees!A7="","",Employees!A7)</f>
        <v>E004</v>
      </c>
      <c r="D487" s="26" t="str">
        <f>IF(C487="","",Employees!B7)</f>
        <v>Bashii Fall</v>
      </c>
      <c r="E487" s="26" t="str">
        <f>IF(C487="","",Employees!C7)</f>
        <v>D</v>
      </c>
      <c r="F487" s="26">
        <f>IF(A487="","",MOD(A487-Settings!$B$6,4)+1)</f>
        <v>1</v>
      </c>
      <c r="G487" s="26" t="str">
        <f>IF(C487="","",INDEX(Rotation_Pattern!$B$4:$E$7,F487,MATCH(E487,{"A","B","C","D"},0)))</f>
        <v>Night</v>
      </c>
      <c r="H487" s="32">
        <f t="shared" si="22"/>
        <v>0.91666666666666663</v>
      </c>
      <c r="I487" s="32">
        <f>IF(OR(G487="Off",G487=""),"",H487+TIME(Settings!$B$8,0,0))</f>
        <v>1.25</v>
      </c>
      <c r="J487" s="26">
        <f>IF(OR(G487="Off",G487=""),0,Settings!$B$8)</f>
        <v>8</v>
      </c>
      <c r="K487" s="25" t="s">
        <v>111</v>
      </c>
      <c r="L487" s="26" t="str">
        <f>IF(A487="","",IF(COUNTIF(Public_Holidays!$A$4:$A$80,A487)&gt;0,"Y","N"))</f>
        <v>N</v>
      </c>
      <c r="M487" s="26" t="str">
        <f t="shared" si="23"/>
        <v>N</v>
      </c>
      <c r="N487" s="26" t="e">
        <f ca="1">IF(A487="","",_xludf.TEXTJOIN("; ",TRUE,IF(SUMIFS($J:$J,$C:$C,C487,$B:$B,B487)&gt;Settings!$B$9,"Weekly ordinary hrs &gt;45",""),IF(SUMIFS(Claims!$H:$H,Claims!$C:$C,C487,Claims!$B:$B,B487)&gt;Settings!$B$10,"Weekly OT &gt;10",""),IF(AND(G487&lt;&gt;"Off",COUNTIFS($C:$C,C487,$A:$A,A487-1,$G:$G,"Night")&gt;0),"Rest &lt;12h after night shift",""),IF(J487&gt;5,"Meal interval required","")))</f>
        <v>#NAME?</v>
      </c>
      <c r="O487" s="25" t="s">
        <v>112</v>
      </c>
      <c r="P487" s="25"/>
    </row>
    <row r="488" spans="1:16" x14ac:dyDescent="0.35">
      <c r="A488" s="31">
        <f>IF(24+1&lt;=Settings!$B$7,Settings!$B$6+24,"")</f>
        <v>46167</v>
      </c>
      <c r="B488" s="31">
        <f t="shared" si="21"/>
        <v>46167</v>
      </c>
      <c r="C488" s="26" t="str">
        <f>IF(Employees!A8="","",Employees!A8)</f>
        <v>E005</v>
      </c>
      <c r="D488" s="26" t="str">
        <f>IF(C488="","",Employees!B8)</f>
        <v>Lesego Aphane</v>
      </c>
      <c r="E488" s="26" t="str">
        <f>IF(C488="","",Employees!C8)</f>
        <v>A</v>
      </c>
      <c r="F488" s="26">
        <f>IF(A488="","",MOD(A488-Settings!$B$6,4)+1)</f>
        <v>1</v>
      </c>
      <c r="G488" s="26" t="str">
        <f>IF(C488="","",INDEX(Rotation_Pattern!$B$4:$E$7,F488,MATCH(E488,{"A","B","C","D"},0)))</f>
        <v>Day</v>
      </c>
      <c r="H488" s="32">
        <f t="shared" si="22"/>
        <v>0.25</v>
      </c>
      <c r="I488" s="32">
        <f>IF(OR(G488="Off",G488=""),"",H488+TIME(Settings!$B$8,0,0))</f>
        <v>0.58333333333333326</v>
      </c>
      <c r="J488" s="26">
        <f>IF(OR(G488="Off",G488=""),0,Settings!$B$8)</f>
        <v>8</v>
      </c>
      <c r="K488" s="25" t="s">
        <v>111</v>
      </c>
      <c r="L488" s="26" t="str">
        <f>IF(A488="","",IF(COUNTIF(Public_Holidays!$A$4:$A$80,A488)&gt;0,"Y","N"))</f>
        <v>N</v>
      </c>
      <c r="M488" s="26" t="str">
        <f t="shared" si="23"/>
        <v>N</v>
      </c>
      <c r="N488" s="26" t="e">
        <f ca="1">IF(A488="","",_xludf.TEXTJOIN("; ",TRUE,IF(SUMIFS($J:$J,$C:$C,C488,$B:$B,B488)&gt;Settings!$B$9,"Weekly ordinary hrs &gt;45",""),IF(SUMIFS(Claims!$H:$H,Claims!$C:$C,C488,Claims!$B:$B,B488)&gt;Settings!$B$10,"Weekly OT &gt;10",""),IF(AND(G488&lt;&gt;"Off",COUNTIFS($C:$C,C488,$A:$A,A488-1,$G:$G,"Night")&gt;0),"Rest &lt;12h after night shift",""),IF(J488&gt;5,"Meal interval required","")))</f>
        <v>#NAME?</v>
      </c>
      <c r="O488" s="25" t="s">
        <v>112</v>
      </c>
      <c r="P488" s="25"/>
    </row>
    <row r="489" spans="1:16" x14ac:dyDescent="0.35">
      <c r="A489" s="31">
        <f>IF(24+1&lt;=Settings!$B$7,Settings!$B$6+24,"")</f>
        <v>46167</v>
      </c>
      <c r="B489" s="31">
        <f t="shared" si="21"/>
        <v>46167</v>
      </c>
      <c r="C489" s="26" t="str">
        <f>IF(Employees!A9="","",Employees!A9)</f>
        <v>E006</v>
      </c>
      <c r="D489" s="26" t="str">
        <f>IF(C489="","",Employees!B9)</f>
        <v>Nhalnahla</v>
      </c>
      <c r="E489" s="26" t="str">
        <f>IF(C489="","",Employees!C9)</f>
        <v>B</v>
      </c>
      <c r="F489" s="26">
        <f>IF(A489="","",MOD(A489-Settings!$B$6,4)+1)</f>
        <v>1</v>
      </c>
      <c r="G489" s="26" t="str">
        <f>IF(C489="","",INDEX(Rotation_Pattern!$B$4:$E$7,F489,MATCH(E489,{"A","B","C","D"},0)))</f>
        <v>Off</v>
      </c>
      <c r="H489" s="32" t="str">
        <f t="shared" si="22"/>
        <v/>
      </c>
      <c r="I489" s="32" t="str">
        <f>IF(OR(G489="Off",G489=""),"",H489+TIME(Settings!$B$8,0,0))</f>
        <v/>
      </c>
      <c r="J489" s="26">
        <f>IF(OR(G489="Off",G489=""),0,Settings!$B$8)</f>
        <v>0</v>
      </c>
      <c r="K489" s="25" t="s">
        <v>111</v>
      </c>
      <c r="L489" s="26" t="str">
        <f>IF(A489="","",IF(COUNTIF(Public_Holidays!$A$4:$A$80,A489)&gt;0,"Y","N"))</f>
        <v>N</v>
      </c>
      <c r="M489" s="26" t="str">
        <f t="shared" si="23"/>
        <v>N</v>
      </c>
      <c r="N489" s="26" t="e">
        <f ca="1">IF(A489="","",_xludf.TEXTJOIN("; ",TRUE,IF(SUMIFS($J:$J,$C:$C,C489,$B:$B,B489)&gt;Settings!$B$9,"Weekly ordinary hrs &gt;45",""),IF(SUMIFS(Claims!$H:$H,Claims!$C:$C,C489,Claims!$B:$B,B489)&gt;Settings!$B$10,"Weekly OT &gt;10",""),IF(AND(G489&lt;&gt;"Off",COUNTIFS($C:$C,C489,$A:$A,A489-1,$G:$G,"Night")&gt;0),"Rest &lt;12h after night shift",""),IF(J489&gt;5,"Meal interval required","")))</f>
        <v>#NAME?</v>
      </c>
      <c r="O489" s="25" t="s">
        <v>112</v>
      </c>
      <c r="P489" s="25"/>
    </row>
    <row r="490" spans="1:16" x14ac:dyDescent="0.35">
      <c r="A490" s="31">
        <f>IF(24+1&lt;=Settings!$B$7,Settings!$B$6+24,"")</f>
        <v>46167</v>
      </c>
      <c r="B490" s="31">
        <f t="shared" si="21"/>
        <v>46167</v>
      </c>
      <c r="C490" s="26" t="str">
        <f>IF(Employees!A10="","",Employees!A10)</f>
        <v>E007</v>
      </c>
      <c r="D490" s="26" t="str">
        <f>IF(C490="","",Employees!B10)</f>
        <v>Joe</v>
      </c>
      <c r="E490" s="26" t="str">
        <f>IF(C490="","",Employees!C10)</f>
        <v>C</v>
      </c>
      <c r="F490" s="26">
        <f>IF(A490="","",MOD(A490-Settings!$B$6,4)+1)</f>
        <v>1</v>
      </c>
      <c r="G490" s="26" t="str">
        <f>IF(C490="","",INDEX(Rotation_Pattern!$B$4:$E$7,F490,MATCH(E490,{"A","B","C","D"},0)))</f>
        <v>Evening</v>
      </c>
      <c r="H490" s="32">
        <f t="shared" si="22"/>
        <v>0.58333333333333337</v>
      </c>
      <c r="I490" s="32">
        <f>IF(OR(G490="Off",G490=""),"",H490+TIME(Settings!$B$8,0,0))</f>
        <v>0.91666666666666674</v>
      </c>
      <c r="J490" s="26">
        <f>IF(OR(G490="Off",G490=""),0,Settings!$B$8)</f>
        <v>8</v>
      </c>
      <c r="K490" s="25" t="s">
        <v>111</v>
      </c>
      <c r="L490" s="26" t="str">
        <f>IF(A490="","",IF(COUNTIF(Public_Holidays!$A$4:$A$80,A490)&gt;0,"Y","N"))</f>
        <v>N</v>
      </c>
      <c r="M490" s="26" t="str">
        <f t="shared" si="23"/>
        <v>N</v>
      </c>
      <c r="N490" s="26" t="e">
        <f ca="1">IF(A490="","",_xludf.TEXTJOIN("; ",TRUE,IF(SUMIFS($J:$J,$C:$C,C490,$B:$B,B490)&gt;Settings!$B$9,"Weekly ordinary hrs &gt;45",""),IF(SUMIFS(Claims!$H:$H,Claims!$C:$C,C490,Claims!$B:$B,B490)&gt;Settings!$B$10,"Weekly OT &gt;10",""),IF(AND(G490&lt;&gt;"Off",COUNTIFS($C:$C,C490,$A:$A,A490-1,$G:$G,"Night")&gt;0),"Rest &lt;12h after night shift",""),IF(J490&gt;5,"Meal interval required","")))</f>
        <v>#NAME?</v>
      </c>
      <c r="O490" s="25" t="s">
        <v>112</v>
      </c>
      <c r="P490" s="25"/>
    </row>
    <row r="491" spans="1:16" x14ac:dyDescent="0.35">
      <c r="A491" s="31">
        <f>IF(24+1&lt;=Settings!$B$7,Settings!$B$6+24,"")</f>
        <v>46167</v>
      </c>
      <c r="B491" s="31">
        <f t="shared" si="21"/>
        <v>46167</v>
      </c>
      <c r="C491" s="26" t="str">
        <f>IF(Employees!A11="","",Employees!A11)</f>
        <v>E008</v>
      </c>
      <c r="D491" s="26" t="str">
        <f>IF(C491="","",Employees!B11)</f>
        <v>Tim</v>
      </c>
      <c r="E491" s="26" t="str">
        <f>IF(C491="","",Employees!C11)</f>
        <v>D</v>
      </c>
      <c r="F491" s="26">
        <f>IF(A491="","",MOD(A491-Settings!$B$6,4)+1)</f>
        <v>1</v>
      </c>
      <c r="G491" s="26" t="str">
        <f>IF(C491="","",INDEX(Rotation_Pattern!$B$4:$E$7,F491,MATCH(E491,{"A","B","C","D"},0)))</f>
        <v>Night</v>
      </c>
      <c r="H491" s="32">
        <f t="shared" si="22"/>
        <v>0.91666666666666663</v>
      </c>
      <c r="I491" s="32">
        <f>IF(OR(G491="Off",G491=""),"",H491+TIME(Settings!$B$8,0,0))</f>
        <v>1.25</v>
      </c>
      <c r="J491" s="26">
        <f>IF(OR(G491="Off",G491=""),0,Settings!$B$8)</f>
        <v>8</v>
      </c>
      <c r="K491" s="25" t="s">
        <v>111</v>
      </c>
      <c r="L491" s="26" t="str">
        <f>IF(A491="","",IF(COUNTIF(Public_Holidays!$A$4:$A$80,A491)&gt;0,"Y","N"))</f>
        <v>N</v>
      </c>
      <c r="M491" s="26" t="str">
        <f t="shared" si="23"/>
        <v>N</v>
      </c>
      <c r="N491" s="26" t="e">
        <f ca="1">IF(A491="","",_xludf.TEXTJOIN("; ",TRUE,IF(SUMIFS($J:$J,$C:$C,C491,$B:$B,B491)&gt;Settings!$B$9,"Weekly ordinary hrs &gt;45",""),IF(SUMIFS(Claims!$H:$H,Claims!$C:$C,C491,Claims!$B:$B,B491)&gt;Settings!$B$10,"Weekly OT &gt;10",""),IF(AND(G491&lt;&gt;"Off",COUNTIFS($C:$C,C491,$A:$A,A491-1,$G:$G,"Night")&gt;0),"Rest &lt;12h after night shift",""),IF(J491&gt;5,"Meal interval required","")))</f>
        <v>#NAME?</v>
      </c>
      <c r="O491" s="25" t="s">
        <v>112</v>
      </c>
      <c r="P491" s="25"/>
    </row>
    <row r="492" spans="1:16" x14ac:dyDescent="0.35">
      <c r="A492" s="31">
        <f>IF(24+1&lt;=Settings!$B$7,Settings!$B$6+24,"")</f>
        <v>46167</v>
      </c>
      <c r="B492" s="31">
        <f t="shared" si="21"/>
        <v>46167</v>
      </c>
      <c r="C492" s="26" t="str">
        <f>IF(Employees!A12="","",Employees!A12)</f>
        <v>E009</v>
      </c>
      <c r="D492" s="26" t="str">
        <f>IF(C492="","",Employees!B12)</f>
        <v>Frank</v>
      </c>
      <c r="E492" s="26" t="str">
        <f>IF(C492="","",Employees!C12)</f>
        <v>A</v>
      </c>
      <c r="F492" s="26">
        <f>IF(A492="","",MOD(A492-Settings!$B$6,4)+1)</f>
        <v>1</v>
      </c>
      <c r="G492" s="26" t="str">
        <f>IF(C492="","",INDEX(Rotation_Pattern!$B$4:$E$7,F492,MATCH(E492,{"A","B","C","D"},0)))</f>
        <v>Day</v>
      </c>
      <c r="H492" s="32">
        <f t="shared" si="22"/>
        <v>0.25</v>
      </c>
      <c r="I492" s="32">
        <f>IF(OR(G492="Off",G492=""),"",H492+TIME(Settings!$B$8,0,0))</f>
        <v>0.58333333333333326</v>
      </c>
      <c r="J492" s="26">
        <f>IF(OR(G492="Off",G492=""),0,Settings!$B$8)</f>
        <v>8</v>
      </c>
      <c r="K492" s="25" t="s">
        <v>111</v>
      </c>
      <c r="L492" s="26" t="str">
        <f>IF(A492="","",IF(COUNTIF(Public_Holidays!$A$4:$A$80,A492)&gt;0,"Y","N"))</f>
        <v>N</v>
      </c>
      <c r="M492" s="26" t="str">
        <f t="shared" si="23"/>
        <v>N</v>
      </c>
      <c r="N492" s="26" t="e">
        <f ca="1">IF(A492="","",_xludf.TEXTJOIN("; ",TRUE,IF(SUMIFS($J:$J,$C:$C,C492,$B:$B,B492)&gt;Settings!$B$9,"Weekly ordinary hrs &gt;45",""),IF(SUMIFS(Claims!$H:$H,Claims!$C:$C,C492,Claims!$B:$B,B492)&gt;Settings!$B$10,"Weekly OT &gt;10",""),IF(AND(G492&lt;&gt;"Off",COUNTIFS($C:$C,C492,$A:$A,A492-1,$G:$G,"Night")&gt;0),"Rest &lt;12h after night shift",""),IF(J492&gt;5,"Meal interval required","")))</f>
        <v>#NAME?</v>
      </c>
      <c r="O492" s="25" t="s">
        <v>112</v>
      </c>
      <c r="P492" s="25"/>
    </row>
    <row r="493" spans="1:16" x14ac:dyDescent="0.35">
      <c r="A493" s="31">
        <f>IF(24+1&lt;=Settings!$B$7,Settings!$B$6+24,"")</f>
        <v>46167</v>
      </c>
      <c r="B493" s="31">
        <f t="shared" si="21"/>
        <v>46167</v>
      </c>
      <c r="C493" s="26" t="str">
        <f>IF(Employees!A13="","",Employees!A13)</f>
        <v/>
      </c>
      <c r="D493" s="26" t="str">
        <f>IF(C493="","",Employees!B13)</f>
        <v/>
      </c>
      <c r="E493" s="26" t="str">
        <f>IF(C493="","",Employees!C13)</f>
        <v/>
      </c>
      <c r="F493" s="26">
        <f>IF(A493="","",MOD(A493-Settings!$B$6,4)+1)</f>
        <v>1</v>
      </c>
      <c r="G493" s="26" t="str">
        <f>IF(C493="","",INDEX(Rotation_Pattern!$B$4:$E$7,F493,MATCH(E493,{"A","B","C","D"},0)))</f>
        <v/>
      </c>
      <c r="H493" s="32" t="str">
        <f t="shared" si="22"/>
        <v/>
      </c>
      <c r="I493" s="32" t="str">
        <f>IF(OR(G493="Off",G493=""),"",H493+TIME(Settings!$B$8,0,0))</f>
        <v/>
      </c>
      <c r="J493" s="26">
        <f>IF(OR(G493="Off",G493=""),0,Settings!$B$8)</f>
        <v>0</v>
      </c>
      <c r="K493" s="25" t="s">
        <v>111</v>
      </c>
      <c r="L493" s="26" t="str">
        <f>IF(A493="","",IF(COUNTIF(Public_Holidays!$A$4:$A$80,A493)&gt;0,"Y","N"))</f>
        <v>N</v>
      </c>
      <c r="M493" s="26" t="str">
        <f t="shared" si="23"/>
        <v>N</v>
      </c>
      <c r="N493" s="26" t="e">
        <f ca="1">IF(A493="","",_xludf.TEXTJOIN("; ",TRUE,IF(SUMIFS($J:$J,$C:$C,C493,$B:$B,B493)&gt;Settings!$B$9,"Weekly ordinary hrs &gt;45",""),IF(SUMIFS(Claims!$H:$H,Claims!$C:$C,C493,Claims!$B:$B,B493)&gt;Settings!$B$10,"Weekly OT &gt;10",""),IF(AND(G493&lt;&gt;"Off",COUNTIFS($C:$C,C493,$A:$A,A493-1,$G:$G,"Night")&gt;0),"Rest &lt;12h after night shift",""),IF(J493&gt;5,"Meal interval required","")))</f>
        <v>#NAME?</v>
      </c>
      <c r="O493" s="25" t="s">
        <v>112</v>
      </c>
      <c r="P493" s="25"/>
    </row>
    <row r="494" spans="1:16" x14ac:dyDescent="0.35">
      <c r="A494" s="31">
        <f>IF(24+1&lt;=Settings!$B$7,Settings!$B$6+24,"")</f>
        <v>46167</v>
      </c>
      <c r="B494" s="31">
        <f t="shared" si="21"/>
        <v>46167</v>
      </c>
      <c r="C494" s="26" t="str">
        <f>IF(Employees!A14="","",Employees!A14)</f>
        <v/>
      </c>
      <c r="D494" s="26" t="str">
        <f>IF(C494="","",Employees!B14)</f>
        <v/>
      </c>
      <c r="E494" s="26" t="str">
        <f>IF(C494="","",Employees!C14)</f>
        <v/>
      </c>
      <c r="F494" s="26">
        <f>IF(A494="","",MOD(A494-Settings!$B$6,4)+1)</f>
        <v>1</v>
      </c>
      <c r="G494" s="26" t="str">
        <f>IF(C494="","",INDEX(Rotation_Pattern!$B$4:$E$7,F494,MATCH(E494,{"A","B","C","D"},0)))</f>
        <v/>
      </c>
      <c r="H494" s="32" t="str">
        <f t="shared" si="22"/>
        <v/>
      </c>
      <c r="I494" s="32" t="str">
        <f>IF(OR(G494="Off",G494=""),"",H494+TIME(Settings!$B$8,0,0))</f>
        <v/>
      </c>
      <c r="J494" s="26">
        <f>IF(OR(G494="Off",G494=""),0,Settings!$B$8)</f>
        <v>0</v>
      </c>
      <c r="K494" s="25" t="s">
        <v>111</v>
      </c>
      <c r="L494" s="26" t="str">
        <f>IF(A494="","",IF(COUNTIF(Public_Holidays!$A$4:$A$80,A494)&gt;0,"Y","N"))</f>
        <v>N</v>
      </c>
      <c r="M494" s="26" t="str">
        <f t="shared" si="23"/>
        <v>N</v>
      </c>
      <c r="N494" s="26" t="e">
        <f ca="1">IF(A494="","",_xludf.TEXTJOIN("; ",TRUE,IF(SUMIFS($J:$J,$C:$C,C494,$B:$B,B494)&gt;Settings!$B$9,"Weekly ordinary hrs &gt;45",""),IF(SUMIFS(Claims!$H:$H,Claims!$C:$C,C494,Claims!$B:$B,B494)&gt;Settings!$B$10,"Weekly OT &gt;10",""),IF(AND(G494&lt;&gt;"Off",COUNTIFS($C:$C,C494,$A:$A,A494-1,$G:$G,"Night")&gt;0),"Rest &lt;12h after night shift",""),IF(J494&gt;5,"Meal interval required","")))</f>
        <v>#NAME?</v>
      </c>
      <c r="O494" s="25" t="s">
        <v>112</v>
      </c>
      <c r="P494" s="25"/>
    </row>
    <row r="495" spans="1:16" x14ac:dyDescent="0.35">
      <c r="A495" s="31">
        <f>IF(24+1&lt;=Settings!$B$7,Settings!$B$6+24,"")</f>
        <v>46167</v>
      </c>
      <c r="B495" s="31">
        <f t="shared" si="21"/>
        <v>46167</v>
      </c>
      <c r="C495" s="26" t="str">
        <f>IF(Employees!A15="","",Employees!A15)</f>
        <v/>
      </c>
      <c r="D495" s="26" t="str">
        <f>IF(C495="","",Employees!B15)</f>
        <v/>
      </c>
      <c r="E495" s="26" t="str">
        <f>IF(C495="","",Employees!C15)</f>
        <v/>
      </c>
      <c r="F495" s="26">
        <f>IF(A495="","",MOD(A495-Settings!$B$6,4)+1)</f>
        <v>1</v>
      </c>
      <c r="G495" s="26" t="str">
        <f>IF(C495="","",INDEX(Rotation_Pattern!$B$4:$E$7,F495,MATCH(E495,{"A","B","C","D"},0)))</f>
        <v/>
      </c>
      <c r="H495" s="32" t="str">
        <f t="shared" si="22"/>
        <v/>
      </c>
      <c r="I495" s="32" t="str">
        <f>IF(OR(G495="Off",G495=""),"",H495+TIME(Settings!$B$8,0,0))</f>
        <v/>
      </c>
      <c r="J495" s="26">
        <f>IF(OR(G495="Off",G495=""),0,Settings!$B$8)</f>
        <v>0</v>
      </c>
      <c r="K495" s="25" t="s">
        <v>111</v>
      </c>
      <c r="L495" s="26" t="str">
        <f>IF(A495="","",IF(COUNTIF(Public_Holidays!$A$4:$A$80,A495)&gt;0,"Y","N"))</f>
        <v>N</v>
      </c>
      <c r="M495" s="26" t="str">
        <f t="shared" si="23"/>
        <v>N</v>
      </c>
      <c r="N495" s="26" t="e">
        <f ca="1">IF(A495="","",_xludf.TEXTJOIN("; ",TRUE,IF(SUMIFS($J:$J,$C:$C,C495,$B:$B,B495)&gt;Settings!$B$9,"Weekly ordinary hrs &gt;45",""),IF(SUMIFS(Claims!$H:$H,Claims!$C:$C,C495,Claims!$B:$B,B495)&gt;Settings!$B$10,"Weekly OT &gt;10",""),IF(AND(G495&lt;&gt;"Off",COUNTIFS($C:$C,C495,$A:$A,A495-1,$G:$G,"Night")&gt;0),"Rest &lt;12h after night shift",""),IF(J495&gt;5,"Meal interval required","")))</f>
        <v>#NAME?</v>
      </c>
      <c r="O495" s="25" t="s">
        <v>112</v>
      </c>
      <c r="P495" s="25"/>
    </row>
    <row r="496" spans="1:16" x14ac:dyDescent="0.35">
      <c r="A496" s="31">
        <f>IF(24+1&lt;=Settings!$B$7,Settings!$B$6+24,"")</f>
        <v>46167</v>
      </c>
      <c r="B496" s="31">
        <f t="shared" si="21"/>
        <v>46167</v>
      </c>
      <c r="C496" s="26" t="str">
        <f>IF(Employees!A16="","",Employees!A16)</f>
        <v/>
      </c>
      <c r="D496" s="26" t="str">
        <f>IF(C496="","",Employees!B16)</f>
        <v/>
      </c>
      <c r="E496" s="26" t="str">
        <f>IF(C496="","",Employees!C16)</f>
        <v/>
      </c>
      <c r="F496" s="26">
        <f>IF(A496="","",MOD(A496-Settings!$B$6,4)+1)</f>
        <v>1</v>
      </c>
      <c r="G496" s="26" t="str">
        <f>IF(C496="","",INDEX(Rotation_Pattern!$B$4:$E$7,F496,MATCH(E496,{"A","B","C","D"},0)))</f>
        <v/>
      </c>
      <c r="H496" s="32" t="str">
        <f t="shared" si="22"/>
        <v/>
      </c>
      <c r="I496" s="32" t="str">
        <f>IF(OR(G496="Off",G496=""),"",H496+TIME(Settings!$B$8,0,0))</f>
        <v/>
      </c>
      <c r="J496" s="26">
        <f>IF(OR(G496="Off",G496=""),0,Settings!$B$8)</f>
        <v>0</v>
      </c>
      <c r="K496" s="25" t="s">
        <v>111</v>
      </c>
      <c r="L496" s="26" t="str">
        <f>IF(A496="","",IF(COUNTIF(Public_Holidays!$A$4:$A$80,A496)&gt;0,"Y","N"))</f>
        <v>N</v>
      </c>
      <c r="M496" s="26" t="str">
        <f t="shared" si="23"/>
        <v>N</v>
      </c>
      <c r="N496" s="26" t="e">
        <f ca="1">IF(A496="","",_xludf.TEXTJOIN("; ",TRUE,IF(SUMIFS($J:$J,$C:$C,C496,$B:$B,B496)&gt;Settings!$B$9,"Weekly ordinary hrs &gt;45",""),IF(SUMIFS(Claims!$H:$H,Claims!$C:$C,C496,Claims!$B:$B,B496)&gt;Settings!$B$10,"Weekly OT &gt;10",""),IF(AND(G496&lt;&gt;"Off",COUNTIFS($C:$C,C496,$A:$A,A496-1,$G:$G,"Night")&gt;0),"Rest &lt;12h after night shift",""),IF(J496&gt;5,"Meal interval required","")))</f>
        <v>#NAME?</v>
      </c>
      <c r="O496" s="25" t="s">
        <v>112</v>
      </c>
      <c r="P496" s="25"/>
    </row>
    <row r="497" spans="1:16" x14ac:dyDescent="0.35">
      <c r="A497" s="31">
        <f>IF(24+1&lt;=Settings!$B$7,Settings!$B$6+24,"")</f>
        <v>46167</v>
      </c>
      <c r="B497" s="31">
        <f t="shared" si="21"/>
        <v>46167</v>
      </c>
      <c r="C497" s="26" t="str">
        <f>IF(Employees!A17="","",Employees!A17)</f>
        <v/>
      </c>
      <c r="D497" s="26" t="str">
        <f>IF(C497="","",Employees!B17)</f>
        <v/>
      </c>
      <c r="E497" s="26" t="str">
        <f>IF(C497="","",Employees!C17)</f>
        <v/>
      </c>
      <c r="F497" s="26">
        <f>IF(A497="","",MOD(A497-Settings!$B$6,4)+1)</f>
        <v>1</v>
      </c>
      <c r="G497" s="26" t="str">
        <f>IF(C497="","",INDEX(Rotation_Pattern!$B$4:$E$7,F497,MATCH(E497,{"A","B","C","D"},0)))</f>
        <v/>
      </c>
      <c r="H497" s="32" t="str">
        <f t="shared" si="22"/>
        <v/>
      </c>
      <c r="I497" s="32" t="str">
        <f>IF(OR(G497="Off",G497=""),"",H497+TIME(Settings!$B$8,0,0))</f>
        <v/>
      </c>
      <c r="J497" s="26">
        <f>IF(OR(G497="Off",G497=""),0,Settings!$B$8)</f>
        <v>0</v>
      </c>
      <c r="K497" s="25" t="s">
        <v>111</v>
      </c>
      <c r="L497" s="26" t="str">
        <f>IF(A497="","",IF(COUNTIF(Public_Holidays!$A$4:$A$80,A497)&gt;0,"Y","N"))</f>
        <v>N</v>
      </c>
      <c r="M497" s="26" t="str">
        <f t="shared" si="23"/>
        <v>N</v>
      </c>
      <c r="N497" s="26" t="e">
        <f ca="1">IF(A497="","",_xludf.TEXTJOIN("; ",TRUE,IF(SUMIFS($J:$J,$C:$C,C497,$B:$B,B497)&gt;Settings!$B$9,"Weekly ordinary hrs &gt;45",""),IF(SUMIFS(Claims!$H:$H,Claims!$C:$C,C497,Claims!$B:$B,B497)&gt;Settings!$B$10,"Weekly OT &gt;10",""),IF(AND(G497&lt;&gt;"Off",COUNTIFS($C:$C,C497,$A:$A,A497-1,$G:$G,"Night")&gt;0),"Rest &lt;12h after night shift",""),IF(J497&gt;5,"Meal interval required","")))</f>
        <v>#NAME?</v>
      </c>
      <c r="O497" s="25" t="s">
        <v>112</v>
      </c>
      <c r="P497" s="25"/>
    </row>
    <row r="498" spans="1:16" x14ac:dyDescent="0.35">
      <c r="A498" s="31">
        <f>IF(24+1&lt;=Settings!$B$7,Settings!$B$6+24,"")</f>
        <v>46167</v>
      </c>
      <c r="B498" s="31">
        <f t="shared" si="21"/>
        <v>46167</v>
      </c>
      <c r="C498" s="26" t="str">
        <f>IF(Employees!A18="","",Employees!A18)</f>
        <v/>
      </c>
      <c r="D498" s="26" t="str">
        <f>IF(C498="","",Employees!B18)</f>
        <v/>
      </c>
      <c r="E498" s="26" t="str">
        <f>IF(C498="","",Employees!C18)</f>
        <v/>
      </c>
      <c r="F498" s="26">
        <f>IF(A498="","",MOD(A498-Settings!$B$6,4)+1)</f>
        <v>1</v>
      </c>
      <c r="G498" s="26" t="str">
        <f>IF(C498="","",INDEX(Rotation_Pattern!$B$4:$E$7,F498,MATCH(E498,{"A","B","C","D"},0)))</f>
        <v/>
      </c>
      <c r="H498" s="32" t="str">
        <f t="shared" si="22"/>
        <v/>
      </c>
      <c r="I498" s="32" t="str">
        <f>IF(OR(G498="Off",G498=""),"",H498+TIME(Settings!$B$8,0,0))</f>
        <v/>
      </c>
      <c r="J498" s="26">
        <f>IF(OR(G498="Off",G498=""),0,Settings!$B$8)</f>
        <v>0</v>
      </c>
      <c r="K498" s="25" t="s">
        <v>111</v>
      </c>
      <c r="L498" s="26" t="str">
        <f>IF(A498="","",IF(COUNTIF(Public_Holidays!$A$4:$A$80,A498)&gt;0,"Y","N"))</f>
        <v>N</v>
      </c>
      <c r="M498" s="26" t="str">
        <f t="shared" si="23"/>
        <v>N</v>
      </c>
      <c r="N498" s="26" t="e">
        <f ca="1">IF(A498="","",_xludf.TEXTJOIN("; ",TRUE,IF(SUMIFS($J:$J,$C:$C,C498,$B:$B,B498)&gt;Settings!$B$9,"Weekly ordinary hrs &gt;45",""),IF(SUMIFS(Claims!$H:$H,Claims!$C:$C,C498,Claims!$B:$B,B498)&gt;Settings!$B$10,"Weekly OT &gt;10",""),IF(AND(G498&lt;&gt;"Off",COUNTIFS($C:$C,C498,$A:$A,A498-1,$G:$G,"Night")&gt;0),"Rest &lt;12h after night shift",""),IF(J498&gt;5,"Meal interval required","")))</f>
        <v>#NAME?</v>
      </c>
      <c r="O498" s="25" t="s">
        <v>112</v>
      </c>
      <c r="P498" s="25"/>
    </row>
    <row r="499" spans="1:16" x14ac:dyDescent="0.35">
      <c r="A499" s="31">
        <f>IF(24+1&lt;=Settings!$B$7,Settings!$B$6+24,"")</f>
        <v>46167</v>
      </c>
      <c r="B499" s="31">
        <f t="shared" si="21"/>
        <v>46167</v>
      </c>
      <c r="C499" s="26" t="str">
        <f>IF(Employees!A19="","",Employees!A19)</f>
        <v/>
      </c>
      <c r="D499" s="26" t="str">
        <f>IF(C499="","",Employees!B19)</f>
        <v/>
      </c>
      <c r="E499" s="26" t="str">
        <f>IF(C499="","",Employees!C19)</f>
        <v/>
      </c>
      <c r="F499" s="26">
        <f>IF(A499="","",MOD(A499-Settings!$B$6,4)+1)</f>
        <v>1</v>
      </c>
      <c r="G499" s="26" t="str">
        <f>IF(C499="","",INDEX(Rotation_Pattern!$B$4:$E$7,F499,MATCH(E499,{"A","B","C","D"},0)))</f>
        <v/>
      </c>
      <c r="H499" s="32" t="str">
        <f t="shared" si="22"/>
        <v/>
      </c>
      <c r="I499" s="32" t="str">
        <f>IF(OR(G499="Off",G499=""),"",H499+TIME(Settings!$B$8,0,0))</f>
        <v/>
      </c>
      <c r="J499" s="26">
        <f>IF(OR(G499="Off",G499=""),0,Settings!$B$8)</f>
        <v>0</v>
      </c>
      <c r="K499" s="25" t="s">
        <v>111</v>
      </c>
      <c r="L499" s="26" t="str">
        <f>IF(A499="","",IF(COUNTIF(Public_Holidays!$A$4:$A$80,A499)&gt;0,"Y","N"))</f>
        <v>N</v>
      </c>
      <c r="M499" s="26" t="str">
        <f t="shared" si="23"/>
        <v>N</v>
      </c>
      <c r="N499" s="26" t="e">
        <f ca="1">IF(A499="","",_xludf.TEXTJOIN("; ",TRUE,IF(SUMIFS($J:$J,$C:$C,C499,$B:$B,B499)&gt;Settings!$B$9,"Weekly ordinary hrs &gt;45",""),IF(SUMIFS(Claims!$H:$H,Claims!$C:$C,C499,Claims!$B:$B,B499)&gt;Settings!$B$10,"Weekly OT &gt;10",""),IF(AND(G499&lt;&gt;"Off",COUNTIFS($C:$C,C499,$A:$A,A499-1,$G:$G,"Night")&gt;0),"Rest &lt;12h after night shift",""),IF(J499&gt;5,"Meal interval required","")))</f>
        <v>#NAME?</v>
      </c>
      <c r="O499" s="25" t="s">
        <v>112</v>
      </c>
      <c r="P499" s="25"/>
    </row>
    <row r="500" spans="1:16" x14ac:dyDescent="0.35">
      <c r="A500" s="31">
        <f>IF(24+1&lt;=Settings!$B$7,Settings!$B$6+24,"")</f>
        <v>46167</v>
      </c>
      <c r="B500" s="31">
        <f t="shared" si="21"/>
        <v>46167</v>
      </c>
      <c r="C500" s="26" t="str">
        <f>IF(Employees!A20="","",Employees!A20)</f>
        <v/>
      </c>
      <c r="D500" s="26" t="str">
        <f>IF(C500="","",Employees!B20)</f>
        <v/>
      </c>
      <c r="E500" s="26" t="str">
        <f>IF(C500="","",Employees!C20)</f>
        <v/>
      </c>
      <c r="F500" s="26">
        <f>IF(A500="","",MOD(A500-Settings!$B$6,4)+1)</f>
        <v>1</v>
      </c>
      <c r="G500" s="26" t="str">
        <f>IF(C500="","",INDEX(Rotation_Pattern!$B$4:$E$7,F500,MATCH(E500,{"A","B","C","D"},0)))</f>
        <v/>
      </c>
      <c r="H500" s="32" t="str">
        <f t="shared" si="22"/>
        <v/>
      </c>
      <c r="I500" s="32" t="str">
        <f>IF(OR(G500="Off",G500=""),"",H500+TIME(Settings!$B$8,0,0))</f>
        <v/>
      </c>
      <c r="J500" s="26">
        <f>IF(OR(G500="Off",G500=""),0,Settings!$B$8)</f>
        <v>0</v>
      </c>
      <c r="K500" s="25" t="s">
        <v>111</v>
      </c>
      <c r="L500" s="26" t="str">
        <f>IF(A500="","",IF(COUNTIF(Public_Holidays!$A$4:$A$80,A500)&gt;0,"Y","N"))</f>
        <v>N</v>
      </c>
      <c r="M500" s="26" t="str">
        <f t="shared" si="23"/>
        <v>N</v>
      </c>
      <c r="N500" s="26" t="e">
        <f ca="1">IF(A500="","",_xludf.TEXTJOIN("; ",TRUE,IF(SUMIFS($J:$J,$C:$C,C500,$B:$B,B500)&gt;Settings!$B$9,"Weekly ordinary hrs &gt;45",""),IF(SUMIFS(Claims!$H:$H,Claims!$C:$C,C500,Claims!$B:$B,B500)&gt;Settings!$B$10,"Weekly OT &gt;10",""),IF(AND(G500&lt;&gt;"Off",COUNTIFS($C:$C,C500,$A:$A,A500-1,$G:$G,"Night")&gt;0),"Rest &lt;12h after night shift",""),IF(J500&gt;5,"Meal interval required","")))</f>
        <v>#NAME?</v>
      </c>
      <c r="O500" s="25" t="s">
        <v>112</v>
      </c>
      <c r="P500" s="25"/>
    </row>
    <row r="501" spans="1:16" x14ac:dyDescent="0.35">
      <c r="A501" s="31">
        <f>IF(24+1&lt;=Settings!$B$7,Settings!$B$6+24,"")</f>
        <v>46167</v>
      </c>
      <c r="B501" s="31">
        <f t="shared" si="21"/>
        <v>46167</v>
      </c>
      <c r="C501" s="26" t="str">
        <f>IF(Employees!A21="","",Employees!A21)</f>
        <v/>
      </c>
      <c r="D501" s="26" t="str">
        <f>IF(C501="","",Employees!B21)</f>
        <v/>
      </c>
      <c r="E501" s="26" t="str">
        <f>IF(C501="","",Employees!C21)</f>
        <v/>
      </c>
      <c r="F501" s="26">
        <f>IF(A501="","",MOD(A501-Settings!$B$6,4)+1)</f>
        <v>1</v>
      </c>
      <c r="G501" s="26" t="str">
        <f>IF(C501="","",INDEX(Rotation_Pattern!$B$4:$E$7,F501,MATCH(E501,{"A","B","C","D"},0)))</f>
        <v/>
      </c>
      <c r="H501" s="32" t="str">
        <f t="shared" si="22"/>
        <v/>
      </c>
      <c r="I501" s="32" t="str">
        <f>IF(OR(G501="Off",G501=""),"",H501+TIME(Settings!$B$8,0,0))</f>
        <v/>
      </c>
      <c r="J501" s="26">
        <f>IF(OR(G501="Off",G501=""),0,Settings!$B$8)</f>
        <v>0</v>
      </c>
      <c r="K501" s="25" t="s">
        <v>111</v>
      </c>
      <c r="L501" s="26" t="str">
        <f>IF(A501="","",IF(COUNTIF(Public_Holidays!$A$4:$A$80,A501)&gt;0,"Y","N"))</f>
        <v>N</v>
      </c>
      <c r="M501" s="26" t="str">
        <f t="shared" si="23"/>
        <v>N</v>
      </c>
      <c r="N501" s="26" t="e">
        <f ca="1">IF(A501="","",_xludf.TEXTJOIN("; ",TRUE,IF(SUMIFS($J:$J,$C:$C,C501,$B:$B,B501)&gt;Settings!$B$9,"Weekly ordinary hrs &gt;45",""),IF(SUMIFS(Claims!$H:$H,Claims!$C:$C,C501,Claims!$B:$B,B501)&gt;Settings!$B$10,"Weekly OT &gt;10",""),IF(AND(G501&lt;&gt;"Off",COUNTIFS($C:$C,C501,$A:$A,A501-1,$G:$G,"Night")&gt;0),"Rest &lt;12h after night shift",""),IF(J501&gt;5,"Meal interval required","")))</f>
        <v>#NAME?</v>
      </c>
      <c r="O501" s="25" t="s">
        <v>112</v>
      </c>
      <c r="P501" s="25"/>
    </row>
    <row r="502" spans="1:16" x14ac:dyDescent="0.35">
      <c r="A502" s="31">
        <f>IF(24+1&lt;=Settings!$B$7,Settings!$B$6+24,"")</f>
        <v>46167</v>
      </c>
      <c r="B502" s="31">
        <f t="shared" si="21"/>
        <v>46167</v>
      </c>
      <c r="C502" s="26" t="str">
        <f>IF(Employees!A22="","",Employees!A22)</f>
        <v/>
      </c>
      <c r="D502" s="26" t="str">
        <f>IF(C502="","",Employees!B22)</f>
        <v/>
      </c>
      <c r="E502" s="26" t="str">
        <f>IF(C502="","",Employees!C22)</f>
        <v/>
      </c>
      <c r="F502" s="26">
        <f>IF(A502="","",MOD(A502-Settings!$B$6,4)+1)</f>
        <v>1</v>
      </c>
      <c r="G502" s="26" t="str">
        <f>IF(C502="","",INDEX(Rotation_Pattern!$B$4:$E$7,F502,MATCH(E502,{"A","B","C","D"},0)))</f>
        <v/>
      </c>
      <c r="H502" s="32" t="str">
        <f t="shared" si="22"/>
        <v/>
      </c>
      <c r="I502" s="32" t="str">
        <f>IF(OR(G502="Off",G502=""),"",H502+TIME(Settings!$B$8,0,0))</f>
        <v/>
      </c>
      <c r="J502" s="26">
        <f>IF(OR(G502="Off",G502=""),0,Settings!$B$8)</f>
        <v>0</v>
      </c>
      <c r="K502" s="25" t="s">
        <v>111</v>
      </c>
      <c r="L502" s="26" t="str">
        <f>IF(A502="","",IF(COUNTIF(Public_Holidays!$A$4:$A$80,A502)&gt;0,"Y","N"))</f>
        <v>N</v>
      </c>
      <c r="M502" s="26" t="str">
        <f t="shared" si="23"/>
        <v>N</v>
      </c>
      <c r="N502" s="26" t="e">
        <f ca="1">IF(A502="","",_xludf.TEXTJOIN("; ",TRUE,IF(SUMIFS($J:$J,$C:$C,C502,$B:$B,B502)&gt;Settings!$B$9,"Weekly ordinary hrs &gt;45",""),IF(SUMIFS(Claims!$H:$H,Claims!$C:$C,C502,Claims!$B:$B,B502)&gt;Settings!$B$10,"Weekly OT &gt;10",""),IF(AND(G502&lt;&gt;"Off",COUNTIFS($C:$C,C502,$A:$A,A502-1,$G:$G,"Night")&gt;0),"Rest &lt;12h after night shift",""),IF(J502&gt;5,"Meal interval required","")))</f>
        <v>#NAME?</v>
      </c>
      <c r="O502" s="25" t="s">
        <v>112</v>
      </c>
      <c r="P502" s="25"/>
    </row>
    <row r="503" spans="1:16" x14ac:dyDescent="0.35">
      <c r="A503" s="31">
        <f>IF(24+1&lt;=Settings!$B$7,Settings!$B$6+24,"")</f>
        <v>46167</v>
      </c>
      <c r="B503" s="31">
        <f t="shared" si="21"/>
        <v>46167</v>
      </c>
      <c r="C503" s="26" t="str">
        <f>IF(Employees!A23="","",Employees!A23)</f>
        <v/>
      </c>
      <c r="D503" s="26" t="str">
        <f>IF(C503="","",Employees!B23)</f>
        <v/>
      </c>
      <c r="E503" s="26" t="str">
        <f>IF(C503="","",Employees!C23)</f>
        <v/>
      </c>
      <c r="F503" s="26">
        <f>IF(A503="","",MOD(A503-Settings!$B$6,4)+1)</f>
        <v>1</v>
      </c>
      <c r="G503" s="26" t="str">
        <f>IF(C503="","",INDEX(Rotation_Pattern!$B$4:$E$7,F503,MATCH(E503,{"A","B","C","D"},0)))</f>
        <v/>
      </c>
      <c r="H503" s="32" t="str">
        <f t="shared" si="22"/>
        <v/>
      </c>
      <c r="I503" s="32" t="str">
        <f>IF(OR(G503="Off",G503=""),"",H503+TIME(Settings!$B$8,0,0))</f>
        <v/>
      </c>
      <c r="J503" s="26">
        <f>IF(OR(G503="Off",G503=""),0,Settings!$B$8)</f>
        <v>0</v>
      </c>
      <c r="K503" s="25" t="s">
        <v>111</v>
      </c>
      <c r="L503" s="26" t="str">
        <f>IF(A503="","",IF(COUNTIF(Public_Holidays!$A$4:$A$80,A503)&gt;0,"Y","N"))</f>
        <v>N</v>
      </c>
      <c r="M503" s="26" t="str">
        <f t="shared" si="23"/>
        <v>N</v>
      </c>
      <c r="N503" s="26" t="e">
        <f ca="1">IF(A503="","",_xludf.TEXTJOIN("; ",TRUE,IF(SUMIFS($J:$J,$C:$C,C503,$B:$B,B503)&gt;Settings!$B$9,"Weekly ordinary hrs &gt;45",""),IF(SUMIFS(Claims!$H:$H,Claims!$C:$C,C503,Claims!$B:$B,B503)&gt;Settings!$B$10,"Weekly OT &gt;10",""),IF(AND(G503&lt;&gt;"Off",COUNTIFS($C:$C,C503,$A:$A,A503-1,$G:$G,"Night")&gt;0),"Rest &lt;12h after night shift",""),IF(J503&gt;5,"Meal interval required","")))</f>
        <v>#NAME?</v>
      </c>
      <c r="O503" s="25" t="s">
        <v>112</v>
      </c>
      <c r="P503" s="25"/>
    </row>
    <row r="504" spans="1:16" x14ac:dyDescent="0.35">
      <c r="A504" s="31">
        <f>IF(25+1&lt;=Settings!$B$7,Settings!$B$6+25,"")</f>
        <v>46168</v>
      </c>
      <c r="B504" s="31">
        <f t="shared" si="21"/>
        <v>46167</v>
      </c>
      <c r="C504" s="26" t="str">
        <f>IF(Employees!A4="","",Employees!A4)</f>
        <v>E001</v>
      </c>
      <c r="D504" s="26" t="str">
        <f>IF(C504="","",Employees!B4)</f>
        <v>Musiwa Khavalani</v>
      </c>
      <c r="E504" s="26">
        <f>IF(C504="","",Employees!C4)</f>
        <v>0</v>
      </c>
      <c r="F504" s="26">
        <f>IF(A504="","",MOD(A504-Settings!$B$6,4)+1)</f>
        <v>2</v>
      </c>
      <c r="G504" s="26" t="e">
        <f>IF(C504="","",INDEX(Rotation_Pattern!$B$4:$E$7,F504,MATCH(E504,{"A","B","C","D"},0)))</f>
        <v>#N/A</v>
      </c>
      <c r="H504" s="32" t="e">
        <f t="shared" si="22"/>
        <v>#N/A</v>
      </c>
      <c r="I504" s="32" t="e">
        <f>IF(OR(G504="Off",G504=""),"",H504+TIME(Settings!$B$8,0,0))</f>
        <v>#N/A</v>
      </c>
      <c r="J504" s="26" t="e">
        <f>IF(OR(G504="Off",G504=""),0,Settings!$B$8)</f>
        <v>#N/A</v>
      </c>
      <c r="K504" s="25" t="s">
        <v>111</v>
      </c>
      <c r="L504" s="26" t="str">
        <f>IF(A504="","",IF(COUNTIF(Public_Holidays!$A$4:$A$80,A504)&gt;0,"Y","N"))</f>
        <v>N</v>
      </c>
      <c r="M504" s="26" t="str">
        <f t="shared" si="23"/>
        <v>N</v>
      </c>
      <c r="N504" s="26" t="e">
        <f ca="1">IF(A504="","",_xludf.TEXTJOIN("; ",TRUE,IF(SUMIFS($J:$J,$C:$C,C504,$B:$B,B504)&gt;Settings!$B$9,"Weekly ordinary hrs &gt;45",""),IF(SUMIFS(Claims!$H:$H,Claims!$C:$C,C504,Claims!$B:$B,B504)&gt;Settings!$B$10,"Weekly OT &gt;10",""),IF(AND(G504&lt;&gt;"Off",COUNTIFS($C:$C,C504,$A:$A,A504-1,$G:$G,"Night")&gt;0),"Rest &lt;12h after night shift",""),IF(J504&gt;5,"Meal interval required","")))</f>
        <v>#NAME?</v>
      </c>
      <c r="O504" s="25" t="s">
        <v>112</v>
      </c>
      <c r="P504" s="25"/>
    </row>
    <row r="505" spans="1:16" x14ac:dyDescent="0.35">
      <c r="A505" s="31">
        <f>IF(25+1&lt;=Settings!$B$7,Settings!$B$6+25,"")</f>
        <v>46168</v>
      </c>
      <c r="B505" s="31">
        <f t="shared" si="21"/>
        <v>46167</v>
      </c>
      <c r="C505" s="26" t="str">
        <f>IF(Employees!A5="","",Employees!A5)</f>
        <v>E002</v>
      </c>
      <c r="D505" s="26" t="str">
        <f>IF(C505="","",Employees!B5)</f>
        <v>Mpho  Nembemhia</v>
      </c>
      <c r="E505" s="26" t="str">
        <f>IF(C505="","",Employees!C5)</f>
        <v>B</v>
      </c>
      <c r="F505" s="26">
        <f>IF(A505="","",MOD(A505-Settings!$B$6,4)+1)</f>
        <v>2</v>
      </c>
      <c r="G505" s="26" t="str">
        <f>IF(C505="","",INDEX(Rotation_Pattern!$B$4:$E$7,F505,MATCH(E505,{"A","B","C","D"},0)))</f>
        <v>Day</v>
      </c>
      <c r="H505" s="32">
        <f t="shared" si="22"/>
        <v>0.25</v>
      </c>
      <c r="I505" s="32">
        <f>IF(OR(G505="Off",G505=""),"",H505+TIME(Settings!$B$8,0,0))</f>
        <v>0.58333333333333326</v>
      </c>
      <c r="J505" s="26">
        <f>IF(OR(G505="Off",G505=""),0,Settings!$B$8)</f>
        <v>8</v>
      </c>
      <c r="K505" s="25" t="s">
        <v>111</v>
      </c>
      <c r="L505" s="26" t="str">
        <f>IF(A505="","",IF(COUNTIF(Public_Holidays!$A$4:$A$80,A505)&gt;0,"Y","N"))</f>
        <v>N</v>
      </c>
      <c r="M505" s="26" t="str">
        <f t="shared" si="23"/>
        <v>N</v>
      </c>
      <c r="N505" s="26" t="e">
        <f ca="1">IF(A505="","",_xludf.TEXTJOIN("; ",TRUE,IF(SUMIFS($J:$J,$C:$C,C505,$B:$B,B505)&gt;Settings!$B$9,"Weekly ordinary hrs &gt;45",""),IF(SUMIFS(Claims!$H:$H,Claims!$C:$C,C505,Claims!$B:$B,B505)&gt;Settings!$B$10,"Weekly OT &gt;10",""),IF(AND(G505&lt;&gt;"Off",COUNTIFS($C:$C,C505,$A:$A,A505-1,$G:$G,"Night")&gt;0),"Rest &lt;12h after night shift",""),IF(J505&gt;5,"Meal interval required","")))</f>
        <v>#NAME?</v>
      </c>
      <c r="O505" s="25" t="s">
        <v>112</v>
      </c>
      <c r="P505" s="25"/>
    </row>
    <row r="506" spans="1:16" x14ac:dyDescent="0.35">
      <c r="A506" s="31">
        <f>IF(25+1&lt;=Settings!$B$7,Settings!$B$6+25,"")</f>
        <v>46168</v>
      </c>
      <c r="B506" s="31">
        <f t="shared" si="21"/>
        <v>46167</v>
      </c>
      <c r="C506" s="26" t="str">
        <f>IF(Employees!A6="","",Employees!A6)</f>
        <v>E003</v>
      </c>
      <c r="D506" s="26" t="str">
        <f>IF(C506="","",Employees!B6)</f>
        <v>Dimpho Makhafola</v>
      </c>
      <c r="E506" s="26" t="str">
        <f>IF(C506="","",Employees!C6)</f>
        <v>C</v>
      </c>
      <c r="F506" s="26">
        <f>IF(A506="","",MOD(A506-Settings!$B$6,4)+1)</f>
        <v>2</v>
      </c>
      <c r="G506" s="26" t="str">
        <f>IF(C506="","",INDEX(Rotation_Pattern!$B$4:$E$7,F506,MATCH(E506,{"A","B","C","D"},0)))</f>
        <v>Off</v>
      </c>
      <c r="H506" s="32" t="str">
        <f t="shared" si="22"/>
        <v/>
      </c>
      <c r="I506" s="32" t="str">
        <f>IF(OR(G506="Off",G506=""),"",H506+TIME(Settings!$B$8,0,0))</f>
        <v/>
      </c>
      <c r="J506" s="26">
        <f>IF(OR(G506="Off",G506=""),0,Settings!$B$8)</f>
        <v>0</v>
      </c>
      <c r="K506" s="25" t="s">
        <v>111</v>
      </c>
      <c r="L506" s="26" t="str">
        <f>IF(A506="","",IF(COUNTIF(Public_Holidays!$A$4:$A$80,A506)&gt;0,"Y","N"))</f>
        <v>N</v>
      </c>
      <c r="M506" s="26" t="str">
        <f t="shared" si="23"/>
        <v>N</v>
      </c>
      <c r="N506" s="26" t="e">
        <f ca="1">IF(A506="","",_xludf.TEXTJOIN("; ",TRUE,IF(SUMIFS($J:$J,$C:$C,C506,$B:$B,B506)&gt;Settings!$B$9,"Weekly ordinary hrs &gt;45",""),IF(SUMIFS(Claims!$H:$H,Claims!$C:$C,C506,Claims!$B:$B,B506)&gt;Settings!$B$10,"Weekly OT &gt;10",""),IF(AND(G506&lt;&gt;"Off",COUNTIFS($C:$C,C506,$A:$A,A506-1,$G:$G,"Night")&gt;0),"Rest &lt;12h after night shift",""),IF(J506&gt;5,"Meal interval required","")))</f>
        <v>#NAME?</v>
      </c>
      <c r="O506" s="25" t="s">
        <v>112</v>
      </c>
      <c r="P506" s="25"/>
    </row>
    <row r="507" spans="1:16" x14ac:dyDescent="0.35">
      <c r="A507" s="31">
        <f>IF(25+1&lt;=Settings!$B$7,Settings!$B$6+25,"")</f>
        <v>46168</v>
      </c>
      <c r="B507" s="31">
        <f t="shared" si="21"/>
        <v>46167</v>
      </c>
      <c r="C507" s="26" t="str">
        <f>IF(Employees!A7="","",Employees!A7)</f>
        <v>E004</v>
      </c>
      <c r="D507" s="26" t="str">
        <f>IF(C507="","",Employees!B7)</f>
        <v>Bashii Fall</v>
      </c>
      <c r="E507" s="26" t="str">
        <f>IF(C507="","",Employees!C7)</f>
        <v>D</v>
      </c>
      <c r="F507" s="26">
        <f>IF(A507="","",MOD(A507-Settings!$B$6,4)+1)</f>
        <v>2</v>
      </c>
      <c r="G507" s="26" t="str">
        <f>IF(C507="","",INDEX(Rotation_Pattern!$B$4:$E$7,F507,MATCH(E507,{"A","B","C","D"},0)))</f>
        <v>Night</v>
      </c>
      <c r="H507" s="32">
        <f t="shared" si="22"/>
        <v>0.91666666666666663</v>
      </c>
      <c r="I507" s="32">
        <f>IF(OR(G507="Off",G507=""),"",H507+TIME(Settings!$B$8,0,0))</f>
        <v>1.25</v>
      </c>
      <c r="J507" s="26">
        <f>IF(OR(G507="Off",G507=""),0,Settings!$B$8)</f>
        <v>8</v>
      </c>
      <c r="K507" s="25" t="s">
        <v>111</v>
      </c>
      <c r="L507" s="26" t="str">
        <f>IF(A507="","",IF(COUNTIF(Public_Holidays!$A$4:$A$80,A507)&gt;0,"Y","N"))</f>
        <v>N</v>
      </c>
      <c r="M507" s="26" t="str">
        <f t="shared" si="23"/>
        <v>N</v>
      </c>
      <c r="N507" s="26" t="e">
        <f ca="1">IF(A507="","",_xludf.TEXTJOIN("; ",TRUE,IF(SUMIFS($J:$J,$C:$C,C507,$B:$B,B507)&gt;Settings!$B$9,"Weekly ordinary hrs &gt;45",""),IF(SUMIFS(Claims!$H:$H,Claims!$C:$C,C507,Claims!$B:$B,B507)&gt;Settings!$B$10,"Weekly OT &gt;10",""),IF(AND(G507&lt;&gt;"Off",COUNTIFS($C:$C,C507,$A:$A,A507-1,$G:$G,"Night")&gt;0),"Rest &lt;12h after night shift",""),IF(J507&gt;5,"Meal interval required","")))</f>
        <v>#NAME?</v>
      </c>
      <c r="O507" s="25" t="s">
        <v>112</v>
      </c>
      <c r="P507" s="25"/>
    </row>
    <row r="508" spans="1:16" x14ac:dyDescent="0.35">
      <c r="A508" s="31">
        <f>IF(25+1&lt;=Settings!$B$7,Settings!$B$6+25,"")</f>
        <v>46168</v>
      </c>
      <c r="B508" s="31">
        <f t="shared" si="21"/>
        <v>46167</v>
      </c>
      <c r="C508" s="26" t="str">
        <f>IF(Employees!A8="","",Employees!A8)</f>
        <v>E005</v>
      </c>
      <c r="D508" s="26" t="str">
        <f>IF(C508="","",Employees!B8)</f>
        <v>Lesego Aphane</v>
      </c>
      <c r="E508" s="26" t="str">
        <f>IF(C508="","",Employees!C8)</f>
        <v>A</v>
      </c>
      <c r="F508" s="26">
        <f>IF(A508="","",MOD(A508-Settings!$B$6,4)+1)</f>
        <v>2</v>
      </c>
      <c r="G508" s="26" t="str">
        <f>IF(C508="","",INDEX(Rotation_Pattern!$B$4:$E$7,F508,MATCH(E508,{"A","B","C","D"},0)))</f>
        <v>Evening</v>
      </c>
      <c r="H508" s="32">
        <f t="shared" si="22"/>
        <v>0.58333333333333337</v>
      </c>
      <c r="I508" s="32">
        <f>IF(OR(G508="Off",G508=""),"",H508+TIME(Settings!$B$8,0,0))</f>
        <v>0.91666666666666674</v>
      </c>
      <c r="J508" s="26">
        <f>IF(OR(G508="Off",G508=""),0,Settings!$B$8)</f>
        <v>8</v>
      </c>
      <c r="K508" s="25" t="s">
        <v>111</v>
      </c>
      <c r="L508" s="26" t="str">
        <f>IF(A508="","",IF(COUNTIF(Public_Holidays!$A$4:$A$80,A508)&gt;0,"Y","N"))</f>
        <v>N</v>
      </c>
      <c r="M508" s="26" t="str">
        <f t="shared" si="23"/>
        <v>N</v>
      </c>
      <c r="N508" s="26" t="e">
        <f ca="1">IF(A508="","",_xludf.TEXTJOIN("; ",TRUE,IF(SUMIFS($J:$J,$C:$C,C508,$B:$B,B508)&gt;Settings!$B$9,"Weekly ordinary hrs &gt;45",""),IF(SUMIFS(Claims!$H:$H,Claims!$C:$C,C508,Claims!$B:$B,B508)&gt;Settings!$B$10,"Weekly OT &gt;10",""),IF(AND(G508&lt;&gt;"Off",COUNTIFS($C:$C,C508,$A:$A,A508-1,$G:$G,"Night")&gt;0),"Rest &lt;12h after night shift",""),IF(J508&gt;5,"Meal interval required","")))</f>
        <v>#NAME?</v>
      </c>
      <c r="O508" s="25" t="s">
        <v>112</v>
      </c>
      <c r="P508" s="25"/>
    </row>
    <row r="509" spans="1:16" x14ac:dyDescent="0.35">
      <c r="A509" s="31">
        <f>IF(25+1&lt;=Settings!$B$7,Settings!$B$6+25,"")</f>
        <v>46168</v>
      </c>
      <c r="B509" s="31">
        <f t="shared" si="21"/>
        <v>46167</v>
      </c>
      <c r="C509" s="26" t="str">
        <f>IF(Employees!A9="","",Employees!A9)</f>
        <v>E006</v>
      </c>
      <c r="D509" s="26" t="str">
        <f>IF(C509="","",Employees!B9)</f>
        <v>Nhalnahla</v>
      </c>
      <c r="E509" s="26" t="str">
        <f>IF(C509="","",Employees!C9)</f>
        <v>B</v>
      </c>
      <c r="F509" s="26">
        <f>IF(A509="","",MOD(A509-Settings!$B$6,4)+1)</f>
        <v>2</v>
      </c>
      <c r="G509" s="26" t="str">
        <f>IF(C509="","",INDEX(Rotation_Pattern!$B$4:$E$7,F509,MATCH(E509,{"A","B","C","D"},0)))</f>
        <v>Day</v>
      </c>
      <c r="H509" s="32">
        <f t="shared" si="22"/>
        <v>0.25</v>
      </c>
      <c r="I509" s="32">
        <f>IF(OR(G509="Off",G509=""),"",H509+TIME(Settings!$B$8,0,0))</f>
        <v>0.58333333333333326</v>
      </c>
      <c r="J509" s="26">
        <f>IF(OR(G509="Off",G509=""),0,Settings!$B$8)</f>
        <v>8</v>
      </c>
      <c r="K509" s="25" t="s">
        <v>111</v>
      </c>
      <c r="L509" s="26" t="str">
        <f>IF(A509="","",IF(COUNTIF(Public_Holidays!$A$4:$A$80,A509)&gt;0,"Y","N"))</f>
        <v>N</v>
      </c>
      <c r="M509" s="26" t="str">
        <f t="shared" si="23"/>
        <v>N</v>
      </c>
      <c r="N509" s="26" t="e">
        <f ca="1">IF(A509="","",_xludf.TEXTJOIN("; ",TRUE,IF(SUMIFS($J:$J,$C:$C,C509,$B:$B,B509)&gt;Settings!$B$9,"Weekly ordinary hrs &gt;45",""),IF(SUMIFS(Claims!$H:$H,Claims!$C:$C,C509,Claims!$B:$B,B509)&gt;Settings!$B$10,"Weekly OT &gt;10",""),IF(AND(G509&lt;&gt;"Off",COUNTIFS($C:$C,C509,$A:$A,A509-1,$G:$G,"Night")&gt;0),"Rest &lt;12h after night shift",""),IF(J509&gt;5,"Meal interval required","")))</f>
        <v>#NAME?</v>
      </c>
      <c r="O509" s="25" t="s">
        <v>112</v>
      </c>
      <c r="P509" s="25"/>
    </row>
    <row r="510" spans="1:16" x14ac:dyDescent="0.35">
      <c r="A510" s="31">
        <f>IF(25+1&lt;=Settings!$B$7,Settings!$B$6+25,"")</f>
        <v>46168</v>
      </c>
      <c r="B510" s="31">
        <f t="shared" si="21"/>
        <v>46167</v>
      </c>
      <c r="C510" s="26" t="str">
        <f>IF(Employees!A10="","",Employees!A10)</f>
        <v>E007</v>
      </c>
      <c r="D510" s="26" t="str">
        <f>IF(C510="","",Employees!B10)</f>
        <v>Joe</v>
      </c>
      <c r="E510" s="26" t="str">
        <f>IF(C510="","",Employees!C10)</f>
        <v>C</v>
      </c>
      <c r="F510" s="26">
        <f>IF(A510="","",MOD(A510-Settings!$B$6,4)+1)</f>
        <v>2</v>
      </c>
      <c r="G510" s="26" t="str">
        <f>IF(C510="","",INDEX(Rotation_Pattern!$B$4:$E$7,F510,MATCH(E510,{"A","B","C","D"},0)))</f>
        <v>Off</v>
      </c>
      <c r="H510" s="32" t="str">
        <f t="shared" si="22"/>
        <v/>
      </c>
      <c r="I510" s="32" t="str">
        <f>IF(OR(G510="Off",G510=""),"",H510+TIME(Settings!$B$8,0,0))</f>
        <v/>
      </c>
      <c r="J510" s="26">
        <f>IF(OR(G510="Off",G510=""),0,Settings!$B$8)</f>
        <v>0</v>
      </c>
      <c r="K510" s="25" t="s">
        <v>111</v>
      </c>
      <c r="L510" s="26" t="str">
        <f>IF(A510="","",IF(COUNTIF(Public_Holidays!$A$4:$A$80,A510)&gt;0,"Y","N"))</f>
        <v>N</v>
      </c>
      <c r="M510" s="26" t="str">
        <f t="shared" si="23"/>
        <v>N</v>
      </c>
      <c r="N510" s="26" t="e">
        <f ca="1">IF(A510="","",_xludf.TEXTJOIN("; ",TRUE,IF(SUMIFS($J:$J,$C:$C,C510,$B:$B,B510)&gt;Settings!$B$9,"Weekly ordinary hrs &gt;45",""),IF(SUMIFS(Claims!$H:$H,Claims!$C:$C,C510,Claims!$B:$B,B510)&gt;Settings!$B$10,"Weekly OT &gt;10",""),IF(AND(G510&lt;&gt;"Off",COUNTIFS($C:$C,C510,$A:$A,A510-1,$G:$G,"Night")&gt;0),"Rest &lt;12h after night shift",""),IF(J510&gt;5,"Meal interval required","")))</f>
        <v>#NAME?</v>
      </c>
      <c r="O510" s="25" t="s">
        <v>112</v>
      </c>
      <c r="P510" s="25"/>
    </row>
    <row r="511" spans="1:16" x14ac:dyDescent="0.35">
      <c r="A511" s="31">
        <f>IF(25+1&lt;=Settings!$B$7,Settings!$B$6+25,"")</f>
        <v>46168</v>
      </c>
      <c r="B511" s="31">
        <f t="shared" si="21"/>
        <v>46167</v>
      </c>
      <c r="C511" s="26" t="str">
        <f>IF(Employees!A11="","",Employees!A11)</f>
        <v>E008</v>
      </c>
      <c r="D511" s="26" t="str">
        <f>IF(C511="","",Employees!B11)</f>
        <v>Tim</v>
      </c>
      <c r="E511" s="26" t="str">
        <f>IF(C511="","",Employees!C11)</f>
        <v>D</v>
      </c>
      <c r="F511" s="26">
        <f>IF(A511="","",MOD(A511-Settings!$B$6,4)+1)</f>
        <v>2</v>
      </c>
      <c r="G511" s="26" t="str">
        <f>IF(C511="","",INDEX(Rotation_Pattern!$B$4:$E$7,F511,MATCH(E511,{"A","B","C","D"},0)))</f>
        <v>Night</v>
      </c>
      <c r="H511" s="32">
        <f t="shared" si="22"/>
        <v>0.91666666666666663</v>
      </c>
      <c r="I511" s="32">
        <f>IF(OR(G511="Off",G511=""),"",H511+TIME(Settings!$B$8,0,0))</f>
        <v>1.25</v>
      </c>
      <c r="J511" s="26">
        <f>IF(OR(G511="Off",G511=""),0,Settings!$B$8)</f>
        <v>8</v>
      </c>
      <c r="K511" s="25" t="s">
        <v>111</v>
      </c>
      <c r="L511" s="26" t="str">
        <f>IF(A511="","",IF(COUNTIF(Public_Holidays!$A$4:$A$80,A511)&gt;0,"Y","N"))</f>
        <v>N</v>
      </c>
      <c r="M511" s="26" t="str">
        <f t="shared" si="23"/>
        <v>N</v>
      </c>
      <c r="N511" s="26" t="e">
        <f ca="1">IF(A511="","",_xludf.TEXTJOIN("; ",TRUE,IF(SUMIFS($J:$J,$C:$C,C511,$B:$B,B511)&gt;Settings!$B$9,"Weekly ordinary hrs &gt;45",""),IF(SUMIFS(Claims!$H:$H,Claims!$C:$C,C511,Claims!$B:$B,B511)&gt;Settings!$B$10,"Weekly OT &gt;10",""),IF(AND(G511&lt;&gt;"Off",COUNTIFS($C:$C,C511,$A:$A,A511-1,$G:$G,"Night")&gt;0),"Rest &lt;12h after night shift",""),IF(J511&gt;5,"Meal interval required","")))</f>
        <v>#NAME?</v>
      </c>
      <c r="O511" s="25" t="s">
        <v>112</v>
      </c>
      <c r="P511" s="25"/>
    </row>
    <row r="512" spans="1:16" x14ac:dyDescent="0.35">
      <c r="A512" s="31">
        <f>IF(25+1&lt;=Settings!$B$7,Settings!$B$6+25,"")</f>
        <v>46168</v>
      </c>
      <c r="B512" s="31">
        <f t="shared" si="21"/>
        <v>46167</v>
      </c>
      <c r="C512" s="26" t="str">
        <f>IF(Employees!A12="","",Employees!A12)</f>
        <v>E009</v>
      </c>
      <c r="D512" s="26" t="str">
        <f>IF(C512="","",Employees!B12)</f>
        <v>Frank</v>
      </c>
      <c r="E512" s="26" t="str">
        <f>IF(C512="","",Employees!C12)</f>
        <v>A</v>
      </c>
      <c r="F512" s="26">
        <f>IF(A512="","",MOD(A512-Settings!$B$6,4)+1)</f>
        <v>2</v>
      </c>
      <c r="G512" s="26" t="str">
        <f>IF(C512="","",INDEX(Rotation_Pattern!$B$4:$E$7,F512,MATCH(E512,{"A","B","C","D"},0)))</f>
        <v>Evening</v>
      </c>
      <c r="H512" s="32">
        <f t="shared" si="22"/>
        <v>0.58333333333333337</v>
      </c>
      <c r="I512" s="32">
        <f>IF(OR(G512="Off",G512=""),"",H512+TIME(Settings!$B$8,0,0))</f>
        <v>0.91666666666666674</v>
      </c>
      <c r="J512" s="26">
        <f>IF(OR(G512="Off",G512=""),0,Settings!$B$8)</f>
        <v>8</v>
      </c>
      <c r="K512" s="25" t="s">
        <v>111</v>
      </c>
      <c r="L512" s="26" t="str">
        <f>IF(A512="","",IF(COUNTIF(Public_Holidays!$A$4:$A$80,A512)&gt;0,"Y","N"))</f>
        <v>N</v>
      </c>
      <c r="M512" s="26" t="str">
        <f t="shared" si="23"/>
        <v>N</v>
      </c>
      <c r="N512" s="26" t="e">
        <f ca="1">IF(A512="","",_xludf.TEXTJOIN("; ",TRUE,IF(SUMIFS($J:$J,$C:$C,C512,$B:$B,B512)&gt;Settings!$B$9,"Weekly ordinary hrs &gt;45",""),IF(SUMIFS(Claims!$H:$H,Claims!$C:$C,C512,Claims!$B:$B,B512)&gt;Settings!$B$10,"Weekly OT &gt;10",""),IF(AND(G512&lt;&gt;"Off",COUNTIFS($C:$C,C512,$A:$A,A512-1,$G:$G,"Night")&gt;0),"Rest &lt;12h after night shift",""),IF(J512&gt;5,"Meal interval required","")))</f>
        <v>#NAME?</v>
      </c>
      <c r="O512" s="25" t="s">
        <v>112</v>
      </c>
      <c r="P512" s="25"/>
    </row>
    <row r="513" spans="1:16" x14ac:dyDescent="0.35">
      <c r="A513" s="31">
        <f>IF(25+1&lt;=Settings!$B$7,Settings!$B$6+25,"")</f>
        <v>46168</v>
      </c>
      <c r="B513" s="31">
        <f t="shared" si="21"/>
        <v>46167</v>
      </c>
      <c r="C513" s="26" t="str">
        <f>IF(Employees!A13="","",Employees!A13)</f>
        <v/>
      </c>
      <c r="D513" s="26" t="str">
        <f>IF(C513="","",Employees!B13)</f>
        <v/>
      </c>
      <c r="E513" s="26" t="str">
        <f>IF(C513="","",Employees!C13)</f>
        <v/>
      </c>
      <c r="F513" s="26">
        <f>IF(A513="","",MOD(A513-Settings!$B$6,4)+1)</f>
        <v>2</v>
      </c>
      <c r="G513" s="26" t="str">
        <f>IF(C513="","",INDEX(Rotation_Pattern!$B$4:$E$7,F513,MATCH(E513,{"A","B","C","D"},0)))</f>
        <v/>
      </c>
      <c r="H513" s="32" t="str">
        <f t="shared" si="22"/>
        <v/>
      </c>
      <c r="I513" s="32" t="str">
        <f>IF(OR(G513="Off",G513=""),"",H513+TIME(Settings!$B$8,0,0))</f>
        <v/>
      </c>
      <c r="J513" s="26">
        <f>IF(OR(G513="Off",G513=""),0,Settings!$B$8)</f>
        <v>0</v>
      </c>
      <c r="K513" s="25" t="s">
        <v>111</v>
      </c>
      <c r="L513" s="26" t="str">
        <f>IF(A513="","",IF(COUNTIF(Public_Holidays!$A$4:$A$80,A513)&gt;0,"Y","N"))</f>
        <v>N</v>
      </c>
      <c r="M513" s="26" t="str">
        <f t="shared" si="23"/>
        <v>N</v>
      </c>
      <c r="N513" s="26" t="e">
        <f ca="1">IF(A513="","",_xludf.TEXTJOIN("; ",TRUE,IF(SUMIFS($J:$J,$C:$C,C513,$B:$B,B513)&gt;Settings!$B$9,"Weekly ordinary hrs &gt;45",""),IF(SUMIFS(Claims!$H:$H,Claims!$C:$C,C513,Claims!$B:$B,B513)&gt;Settings!$B$10,"Weekly OT &gt;10",""),IF(AND(G513&lt;&gt;"Off",COUNTIFS($C:$C,C513,$A:$A,A513-1,$G:$G,"Night")&gt;0),"Rest &lt;12h after night shift",""),IF(J513&gt;5,"Meal interval required","")))</f>
        <v>#NAME?</v>
      </c>
      <c r="O513" s="25" t="s">
        <v>112</v>
      </c>
      <c r="P513" s="25"/>
    </row>
    <row r="514" spans="1:16" x14ac:dyDescent="0.35">
      <c r="A514" s="31">
        <f>IF(25+1&lt;=Settings!$B$7,Settings!$B$6+25,"")</f>
        <v>46168</v>
      </c>
      <c r="B514" s="31">
        <f t="shared" si="21"/>
        <v>46167</v>
      </c>
      <c r="C514" s="26" t="str">
        <f>IF(Employees!A14="","",Employees!A14)</f>
        <v/>
      </c>
      <c r="D514" s="26" t="str">
        <f>IF(C514="","",Employees!B14)</f>
        <v/>
      </c>
      <c r="E514" s="26" t="str">
        <f>IF(C514="","",Employees!C14)</f>
        <v/>
      </c>
      <c r="F514" s="26">
        <f>IF(A514="","",MOD(A514-Settings!$B$6,4)+1)</f>
        <v>2</v>
      </c>
      <c r="G514" s="26" t="str">
        <f>IF(C514="","",INDEX(Rotation_Pattern!$B$4:$E$7,F514,MATCH(E514,{"A","B","C","D"},0)))</f>
        <v/>
      </c>
      <c r="H514" s="32" t="str">
        <f t="shared" si="22"/>
        <v/>
      </c>
      <c r="I514" s="32" t="str">
        <f>IF(OR(G514="Off",G514=""),"",H514+TIME(Settings!$B$8,0,0))</f>
        <v/>
      </c>
      <c r="J514" s="26">
        <f>IF(OR(G514="Off",G514=""),0,Settings!$B$8)</f>
        <v>0</v>
      </c>
      <c r="K514" s="25" t="s">
        <v>111</v>
      </c>
      <c r="L514" s="26" t="str">
        <f>IF(A514="","",IF(COUNTIF(Public_Holidays!$A$4:$A$80,A514)&gt;0,"Y","N"))</f>
        <v>N</v>
      </c>
      <c r="M514" s="26" t="str">
        <f t="shared" si="23"/>
        <v>N</v>
      </c>
      <c r="N514" s="26" t="e">
        <f ca="1">IF(A514="","",_xludf.TEXTJOIN("; ",TRUE,IF(SUMIFS($J:$J,$C:$C,C514,$B:$B,B514)&gt;Settings!$B$9,"Weekly ordinary hrs &gt;45",""),IF(SUMIFS(Claims!$H:$H,Claims!$C:$C,C514,Claims!$B:$B,B514)&gt;Settings!$B$10,"Weekly OT &gt;10",""),IF(AND(G514&lt;&gt;"Off",COUNTIFS($C:$C,C514,$A:$A,A514-1,$G:$G,"Night")&gt;0),"Rest &lt;12h after night shift",""),IF(J514&gt;5,"Meal interval required","")))</f>
        <v>#NAME?</v>
      </c>
      <c r="O514" s="25" t="s">
        <v>112</v>
      </c>
      <c r="P514" s="25"/>
    </row>
    <row r="515" spans="1:16" x14ac:dyDescent="0.35">
      <c r="A515" s="31">
        <f>IF(25+1&lt;=Settings!$B$7,Settings!$B$6+25,"")</f>
        <v>46168</v>
      </c>
      <c r="B515" s="31">
        <f t="shared" si="21"/>
        <v>46167</v>
      </c>
      <c r="C515" s="26" t="str">
        <f>IF(Employees!A15="","",Employees!A15)</f>
        <v/>
      </c>
      <c r="D515" s="26" t="str">
        <f>IF(C515="","",Employees!B15)</f>
        <v/>
      </c>
      <c r="E515" s="26" t="str">
        <f>IF(C515="","",Employees!C15)</f>
        <v/>
      </c>
      <c r="F515" s="26">
        <f>IF(A515="","",MOD(A515-Settings!$B$6,4)+1)</f>
        <v>2</v>
      </c>
      <c r="G515" s="26" t="str">
        <f>IF(C515="","",INDEX(Rotation_Pattern!$B$4:$E$7,F515,MATCH(E515,{"A","B","C","D"},0)))</f>
        <v/>
      </c>
      <c r="H515" s="32" t="str">
        <f t="shared" si="22"/>
        <v/>
      </c>
      <c r="I515" s="32" t="str">
        <f>IF(OR(G515="Off",G515=""),"",H515+TIME(Settings!$B$8,0,0))</f>
        <v/>
      </c>
      <c r="J515" s="26">
        <f>IF(OR(G515="Off",G515=""),0,Settings!$B$8)</f>
        <v>0</v>
      </c>
      <c r="K515" s="25" t="s">
        <v>111</v>
      </c>
      <c r="L515" s="26" t="str">
        <f>IF(A515="","",IF(COUNTIF(Public_Holidays!$A$4:$A$80,A515)&gt;0,"Y","N"))</f>
        <v>N</v>
      </c>
      <c r="M515" s="26" t="str">
        <f t="shared" si="23"/>
        <v>N</v>
      </c>
      <c r="N515" s="26" t="e">
        <f ca="1">IF(A515="","",_xludf.TEXTJOIN("; ",TRUE,IF(SUMIFS($J:$J,$C:$C,C515,$B:$B,B515)&gt;Settings!$B$9,"Weekly ordinary hrs &gt;45",""),IF(SUMIFS(Claims!$H:$H,Claims!$C:$C,C515,Claims!$B:$B,B515)&gt;Settings!$B$10,"Weekly OT &gt;10",""),IF(AND(G515&lt;&gt;"Off",COUNTIFS($C:$C,C515,$A:$A,A515-1,$G:$G,"Night")&gt;0),"Rest &lt;12h after night shift",""),IF(J515&gt;5,"Meal interval required","")))</f>
        <v>#NAME?</v>
      </c>
      <c r="O515" s="25" t="s">
        <v>112</v>
      </c>
      <c r="P515" s="25"/>
    </row>
    <row r="516" spans="1:16" x14ac:dyDescent="0.35">
      <c r="A516" s="31">
        <f>IF(25+1&lt;=Settings!$B$7,Settings!$B$6+25,"")</f>
        <v>46168</v>
      </c>
      <c r="B516" s="31">
        <f t="shared" ref="B516:B579" si="24">IF(A516="","",A516-WEEKDAY(A516,2)+1)</f>
        <v>46167</v>
      </c>
      <c r="C516" s="26" t="str">
        <f>IF(Employees!A16="","",Employees!A16)</f>
        <v/>
      </c>
      <c r="D516" s="26" t="str">
        <f>IF(C516="","",Employees!B16)</f>
        <v/>
      </c>
      <c r="E516" s="26" t="str">
        <f>IF(C516="","",Employees!C16)</f>
        <v/>
      </c>
      <c r="F516" s="26">
        <f>IF(A516="","",MOD(A516-Settings!$B$6,4)+1)</f>
        <v>2</v>
      </c>
      <c r="G516" s="26" t="str">
        <f>IF(C516="","",INDEX(Rotation_Pattern!$B$4:$E$7,F516,MATCH(E516,{"A","B","C","D"},0)))</f>
        <v/>
      </c>
      <c r="H516" s="32" t="str">
        <f t="shared" ref="H516:H579" si="25">IF(OR(G516="Off",G516=""),"",IF(G516="Day",TIME(6,0,0),IF(G516="Evening",TIME(14,0,0),TIME(22,0,0))))</f>
        <v/>
      </c>
      <c r="I516" s="32" t="str">
        <f>IF(OR(G516="Off",G516=""),"",H516+TIME(Settings!$B$8,0,0))</f>
        <v/>
      </c>
      <c r="J516" s="26">
        <f>IF(OR(G516="Off",G516=""),0,Settings!$B$8)</f>
        <v>0</v>
      </c>
      <c r="K516" s="25" t="s">
        <v>111</v>
      </c>
      <c r="L516" s="26" t="str">
        <f>IF(A516="","",IF(COUNTIF(Public_Holidays!$A$4:$A$80,A516)&gt;0,"Y","N"))</f>
        <v>N</v>
      </c>
      <c r="M516" s="26" t="str">
        <f t="shared" ref="M516:M579" si="26">IF(A516="","",IF(WEEKDAY(A516,2)=7,"Y","N"))</f>
        <v>N</v>
      </c>
      <c r="N516" s="26" t="e">
        <f ca="1">IF(A516="","",_xludf.TEXTJOIN("; ",TRUE,IF(SUMIFS($J:$J,$C:$C,C516,$B:$B,B516)&gt;Settings!$B$9,"Weekly ordinary hrs &gt;45",""),IF(SUMIFS(Claims!$H:$H,Claims!$C:$C,C516,Claims!$B:$B,B516)&gt;Settings!$B$10,"Weekly OT &gt;10",""),IF(AND(G516&lt;&gt;"Off",COUNTIFS($C:$C,C516,$A:$A,A516-1,$G:$G,"Night")&gt;0),"Rest &lt;12h after night shift",""),IF(J516&gt;5,"Meal interval required","")))</f>
        <v>#NAME?</v>
      </c>
      <c r="O516" s="25" t="s">
        <v>112</v>
      </c>
      <c r="P516" s="25"/>
    </row>
    <row r="517" spans="1:16" x14ac:dyDescent="0.35">
      <c r="A517" s="31">
        <f>IF(25+1&lt;=Settings!$B$7,Settings!$B$6+25,"")</f>
        <v>46168</v>
      </c>
      <c r="B517" s="31">
        <f t="shared" si="24"/>
        <v>46167</v>
      </c>
      <c r="C517" s="26" t="str">
        <f>IF(Employees!A17="","",Employees!A17)</f>
        <v/>
      </c>
      <c r="D517" s="26" t="str">
        <f>IF(C517="","",Employees!B17)</f>
        <v/>
      </c>
      <c r="E517" s="26" t="str">
        <f>IF(C517="","",Employees!C17)</f>
        <v/>
      </c>
      <c r="F517" s="26">
        <f>IF(A517="","",MOD(A517-Settings!$B$6,4)+1)</f>
        <v>2</v>
      </c>
      <c r="G517" s="26" t="str">
        <f>IF(C517="","",INDEX(Rotation_Pattern!$B$4:$E$7,F517,MATCH(E517,{"A","B","C","D"},0)))</f>
        <v/>
      </c>
      <c r="H517" s="32" t="str">
        <f t="shared" si="25"/>
        <v/>
      </c>
      <c r="I517" s="32" t="str">
        <f>IF(OR(G517="Off",G517=""),"",H517+TIME(Settings!$B$8,0,0))</f>
        <v/>
      </c>
      <c r="J517" s="26">
        <f>IF(OR(G517="Off",G517=""),0,Settings!$B$8)</f>
        <v>0</v>
      </c>
      <c r="K517" s="25" t="s">
        <v>111</v>
      </c>
      <c r="L517" s="26" t="str">
        <f>IF(A517="","",IF(COUNTIF(Public_Holidays!$A$4:$A$80,A517)&gt;0,"Y","N"))</f>
        <v>N</v>
      </c>
      <c r="M517" s="26" t="str">
        <f t="shared" si="26"/>
        <v>N</v>
      </c>
      <c r="N517" s="26" t="e">
        <f ca="1">IF(A517="","",_xludf.TEXTJOIN("; ",TRUE,IF(SUMIFS($J:$J,$C:$C,C517,$B:$B,B517)&gt;Settings!$B$9,"Weekly ordinary hrs &gt;45",""),IF(SUMIFS(Claims!$H:$H,Claims!$C:$C,C517,Claims!$B:$B,B517)&gt;Settings!$B$10,"Weekly OT &gt;10",""),IF(AND(G517&lt;&gt;"Off",COUNTIFS($C:$C,C517,$A:$A,A517-1,$G:$G,"Night")&gt;0),"Rest &lt;12h after night shift",""),IF(J517&gt;5,"Meal interval required","")))</f>
        <v>#NAME?</v>
      </c>
      <c r="O517" s="25" t="s">
        <v>112</v>
      </c>
      <c r="P517" s="25"/>
    </row>
    <row r="518" spans="1:16" x14ac:dyDescent="0.35">
      <c r="A518" s="31">
        <f>IF(25+1&lt;=Settings!$B$7,Settings!$B$6+25,"")</f>
        <v>46168</v>
      </c>
      <c r="B518" s="31">
        <f t="shared" si="24"/>
        <v>46167</v>
      </c>
      <c r="C518" s="26" t="str">
        <f>IF(Employees!A18="","",Employees!A18)</f>
        <v/>
      </c>
      <c r="D518" s="26" t="str">
        <f>IF(C518="","",Employees!B18)</f>
        <v/>
      </c>
      <c r="E518" s="26" t="str">
        <f>IF(C518="","",Employees!C18)</f>
        <v/>
      </c>
      <c r="F518" s="26">
        <f>IF(A518="","",MOD(A518-Settings!$B$6,4)+1)</f>
        <v>2</v>
      </c>
      <c r="G518" s="26" t="str">
        <f>IF(C518="","",INDEX(Rotation_Pattern!$B$4:$E$7,F518,MATCH(E518,{"A","B","C","D"},0)))</f>
        <v/>
      </c>
      <c r="H518" s="32" t="str">
        <f t="shared" si="25"/>
        <v/>
      </c>
      <c r="I518" s="32" t="str">
        <f>IF(OR(G518="Off",G518=""),"",H518+TIME(Settings!$B$8,0,0))</f>
        <v/>
      </c>
      <c r="J518" s="26">
        <f>IF(OR(G518="Off",G518=""),0,Settings!$B$8)</f>
        <v>0</v>
      </c>
      <c r="K518" s="25" t="s">
        <v>111</v>
      </c>
      <c r="L518" s="26" t="str">
        <f>IF(A518="","",IF(COUNTIF(Public_Holidays!$A$4:$A$80,A518)&gt;0,"Y","N"))</f>
        <v>N</v>
      </c>
      <c r="M518" s="26" t="str">
        <f t="shared" si="26"/>
        <v>N</v>
      </c>
      <c r="N518" s="26" t="e">
        <f ca="1">IF(A518="","",_xludf.TEXTJOIN("; ",TRUE,IF(SUMIFS($J:$J,$C:$C,C518,$B:$B,B518)&gt;Settings!$B$9,"Weekly ordinary hrs &gt;45",""),IF(SUMIFS(Claims!$H:$H,Claims!$C:$C,C518,Claims!$B:$B,B518)&gt;Settings!$B$10,"Weekly OT &gt;10",""),IF(AND(G518&lt;&gt;"Off",COUNTIFS($C:$C,C518,$A:$A,A518-1,$G:$G,"Night")&gt;0),"Rest &lt;12h after night shift",""),IF(J518&gt;5,"Meal interval required","")))</f>
        <v>#NAME?</v>
      </c>
      <c r="O518" s="25" t="s">
        <v>112</v>
      </c>
      <c r="P518" s="25"/>
    </row>
    <row r="519" spans="1:16" x14ac:dyDescent="0.35">
      <c r="A519" s="31">
        <f>IF(25+1&lt;=Settings!$B$7,Settings!$B$6+25,"")</f>
        <v>46168</v>
      </c>
      <c r="B519" s="31">
        <f t="shared" si="24"/>
        <v>46167</v>
      </c>
      <c r="C519" s="26" t="str">
        <f>IF(Employees!A19="","",Employees!A19)</f>
        <v/>
      </c>
      <c r="D519" s="26" t="str">
        <f>IF(C519="","",Employees!B19)</f>
        <v/>
      </c>
      <c r="E519" s="26" t="str">
        <f>IF(C519="","",Employees!C19)</f>
        <v/>
      </c>
      <c r="F519" s="26">
        <f>IF(A519="","",MOD(A519-Settings!$B$6,4)+1)</f>
        <v>2</v>
      </c>
      <c r="G519" s="26" t="str">
        <f>IF(C519="","",INDEX(Rotation_Pattern!$B$4:$E$7,F519,MATCH(E519,{"A","B","C","D"},0)))</f>
        <v/>
      </c>
      <c r="H519" s="32" t="str">
        <f t="shared" si="25"/>
        <v/>
      </c>
      <c r="I519" s="32" t="str">
        <f>IF(OR(G519="Off",G519=""),"",H519+TIME(Settings!$B$8,0,0))</f>
        <v/>
      </c>
      <c r="J519" s="26">
        <f>IF(OR(G519="Off",G519=""),0,Settings!$B$8)</f>
        <v>0</v>
      </c>
      <c r="K519" s="25" t="s">
        <v>111</v>
      </c>
      <c r="L519" s="26" t="str">
        <f>IF(A519="","",IF(COUNTIF(Public_Holidays!$A$4:$A$80,A519)&gt;0,"Y","N"))</f>
        <v>N</v>
      </c>
      <c r="M519" s="26" t="str">
        <f t="shared" si="26"/>
        <v>N</v>
      </c>
      <c r="N519" s="26" t="e">
        <f ca="1">IF(A519="","",_xludf.TEXTJOIN("; ",TRUE,IF(SUMIFS($J:$J,$C:$C,C519,$B:$B,B519)&gt;Settings!$B$9,"Weekly ordinary hrs &gt;45",""),IF(SUMIFS(Claims!$H:$H,Claims!$C:$C,C519,Claims!$B:$B,B519)&gt;Settings!$B$10,"Weekly OT &gt;10",""),IF(AND(G519&lt;&gt;"Off",COUNTIFS($C:$C,C519,$A:$A,A519-1,$G:$G,"Night")&gt;0),"Rest &lt;12h after night shift",""),IF(J519&gt;5,"Meal interval required","")))</f>
        <v>#NAME?</v>
      </c>
      <c r="O519" s="25" t="s">
        <v>112</v>
      </c>
      <c r="P519" s="25"/>
    </row>
    <row r="520" spans="1:16" x14ac:dyDescent="0.35">
      <c r="A520" s="31">
        <f>IF(25+1&lt;=Settings!$B$7,Settings!$B$6+25,"")</f>
        <v>46168</v>
      </c>
      <c r="B520" s="31">
        <f t="shared" si="24"/>
        <v>46167</v>
      </c>
      <c r="C520" s="26" t="str">
        <f>IF(Employees!A20="","",Employees!A20)</f>
        <v/>
      </c>
      <c r="D520" s="26" t="str">
        <f>IF(C520="","",Employees!B20)</f>
        <v/>
      </c>
      <c r="E520" s="26" t="str">
        <f>IF(C520="","",Employees!C20)</f>
        <v/>
      </c>
      <c r="F520" s="26">
        <f>IF(A520="","",MOD(A520-Settings!$B$6,4)+1)</f>
        <v>2</v>
      </c>
      <c r="G520" s="26" t="str">
        <f>IF(C520="","",INDEX(Rotation_Pattern!$B$4:$E$7,F520,MATCH(E520,{"A","B","C","D"},0)))</f>
        <v/>
      </c>
      <c r="H520" s="32" t="str">
        <f t="shared" si="25"/>
        <v/>
      </c>
      <c r="I520" s="32" t="str">
        <f>IF(OR(G520="Off",G520=""),"",H520+TIME(Settings!$B$8,0,0))</f>
        <v/>
      </c>
      <c r="J520" s="26">
        <f>IF(OR(G520="Off",G520=""),0,Settings!$B$8)</f>
        <v>0</v>
      </c>
      <c r="K520" s="25" t="s">
        <v>111</v>
      </c>
      <c r="L520" s="26" t="str">
        <f>IF(A520="","",IF(COUNTIF(Public_Holidays!$A$4:$A$80,A520)&gt;0,"Y","N"))</f>
        <v>N</v>
      </c>
      <c r="M520" s="26" t="str">
        <f t="shared" si="26"/>
        <v>N</v>
      </c>
      <c r="N520" s="26" t="e">
        <f ca="1">IF(A520="","",_xludf.TEXTJOIN("; ",TRUE,IF(SUMIFS($J:$J,$C:$C,C520,$B:$B,B520)&gt;Settings!$B$9,"Weekly ordinary hrs &gt;45",""),IF(SUMIFS(Claims!$H:$H,Claims!$C:$C,C520,Claims!$B:$B,B520)&gt;Settings!$B$10,"Weekly OT &gt;10",""),IF(AND(G520&lt;&gt;"Off",COUNTIFS($C:$C,C520,$A:$A,A520-1,$G:$G,"Night")&gt;0),"Rest &lt;12h after night shift",""),IF(J520&gt;5,"Meal interval required","")))</f>
        <v>#NAME?</v>
      </c>
      <c r="O520" s="25" t="s">
        <v>112</v>
      </c>
      <c r="P520" s="25"/>
    </row>
    <row r="521" spans="1:16" x14ac:dyDescent="0.35">
      <c r="A521" s="31">
        <f>IF(25+1&lt;=Settings!$B$7,Settings!$B$6+25,"")</f>
        <v>46168</v>
      </c>
      <c r="B521" s="31">
        <f t="shared" si="24"/>
        <v>46167</v>
      </c>
      <c r="C521" s="26" t="str">
        <f>IF(Employees!A21="","",Employees!A21)</f>
        <v/>
      </c>
      <c r="D521" s="26" t="str">
        <f>IF(C521="","",Employees!B21)</f>
        <v/>
      </c>
      <c r="E521" s="26" t="str">
        <f>IF(C521="","",Employees!C21)</f>
        <v/>
      </c>
      <c r="F521" s="26">
        <f>IF(A521="","",MOD(A521-Settings!$B$6,4)+1)</f>
        <v>2</v>
      </c>
      <c r="G521" s="26" t="str">
        <f>IF(C521="","",INDEX(Rotation_Pattern!$B$4:$E$7,F521,MATCH(E521,{"A","B","C","D"},0)))</f>
        <v/>
      </c>
      <c r="H521" s="32" t="str">
        <f t="shared" si="25"/>
        <v/>
      </c>
      <c r="I521" s="32" t="str">
        <f>IF(OR(G521="Off",G521=""),"",H521+TIME(Settings!$B$8,0,0))</f>
        <v/>
      </c>
      <c r="J521" s="26">
        <f>IF(OR(G521="Off",G521=""),0,Settings!$B$8)</f>
        <v>0</v>
      </c>
      <c r="K521" s="25" t="s">
        <v>111</v>
      </c>
      <c r="L521" s="26" t="str">
        <f>IF(A521="","",IF(COUNTIF(Public_Holidays!$A$4:$A$80,A521)&gt;0,"Y","N"))</f>
        <v>N</v>
      </c>
      <c r="M521" s="26" t="str">
        <f t="shared" si="26"/>
        <v>N</v>
      </c>
      <c r="N521" s="26" t="e">
        <f ca="1">IF(A521="","",_xludf.TEXTJOIN("; ",TRUE,IF(SUMIFS($J:$J,$C:$C,C521,$B:$B,B521)&gt;Settings!$B$9,"Weekly ordinary hrs &gt;45",""),IF(SUMIFS(Claims!$H:$H,Claims!$C:$C,C521,Claims!$B:$B,B521)&gt;Settings!$B$10,"Weekly OT &gt;10",""),IF(AND(G521&lt;&gt;"Off",COUNTIFS($C:$C,C521,$A:$A,A521-1,$G:$G,"Night")&gt;0),"Rest &lt;12h after night shift",""),IF(J521&gt;5,"Meal interval required","")))</f>
        <v>#NAME?</v>
      </c>
      <c r="O521" s="25" t="s">
        <v>112</v>
      </c>
      <c r="P521" s="25"/>
    </row>
    <row r="522" spans="1:16" x14ac:dyDescent="0.35">
      <c r="A522" s="31">
        <f>IF(25+1&lt;=Settings!$B$7,Settings!$B$6+25,"")</f>
        <v>46168</v>
      </c>
      <c r="B522" s="31">
        <f t="shared" si="24"/>
        <v>46167</v>
      </c>
      <c r="C522" s="26" t="str">
        <f>IF(Employees!A22="","",Employees!A22)</f>
        <v/>
      </c>
      <c r="D522" s="26" t="str">
        <f>IF(C522="","",Employees!B22)</f>
        <v/>
      </c>
      <c r="E522" s="26" t="str">
        <f>IF(C522="","",Employees!C22)</f>
        <v/>
      </c>
      <c r="F522" s="26">
        <f>IF(A522="","",MOD(A522-Settings!$B$6,4)+1)</f>
        <v>2</v>
      </c>
      <c r="G522" s="26" t="str">
        <f>IF(C522="","",INDEX(Rotation_Pattern!$B$4:$E$7,F522,MATCH(E522,{"A","B","C","D"},0)))</f>
        <v/>
      </c>
      <c r="H522" s="32" t="str">
        <f t="shared" si="25"/>
        <v/>
      </c>
      <c r="I522" s="32" t="str">
        <f>IF(OR(G522="Off",G522=""),"",H522+TIME(Settings!$B$8,0,0))</f>
        <v/>
      </c>
      <c r="J522" s="26">
        <f>IF(OR(G522="Off",G522=""),0,Settings!$B$8)</f>
        <v>0</v>
      </c>
      <c r="K522" s="25" t="s">
        <v>111</v>
      </c>
      <c r="L522" s="26" t="str">
        <f>IF(A522="","",IF(COUNTIF(Public_Holidays!$A$4:$A$80,A522)&gt;0,"Y","N"))</f>
        <v>N</v>
      </c>
      <c r="M522" s="26" t="str">
        <f t="shared" si="26"/>
        <v>N</v>
      </c>
      <c r="N522" s="26" t="e">
        <f ca="1">IF(A522="","",_xludf.TEXTJOIN("; ",TRUE,IF(SUMIFS($J:$J,$C:$C,C522,$B:$B,B522)&gt;Settings!$B$9,"Weekly ordinary hrs &gt;45",""),IF(SUMIFS(Claims!$H:$H,Claims!$C:$C,C522,Claims!$B:$B,B522)&gt;Settings!$B$10,"Weekly OT &gt;10",""),IF(AND(G522&lt;&gt;"Off",COUNTIFS($C:$C,C522,$A:$A,A522-1,$G:$G,"Night")&gt;0),"Rest &lt;12h after night shift",""),IF(J522&gt;5,"Meal interval required","")))</f>
        <v>#NAME?</v>
      </c>
      <c r="O522" s="25" t="s">
        <v>112</v>
      </c>
      <c r="P522" s="25"/>
    </row>
    <row r="523" spans="1:16" x14ac:dyDescent="0.35">
      <c r="A523" s="31">
        <f>IF(25+1&lt;=Settings!$B$7,Settings!$B$6+25,"")</f>
        <v>46168</v>
      </c>
      <c r="B523" s="31">
        <f t="shared" si="24"/>
        <v>46167</v>
      </c>
      <c r="C523" s="26" t="str">
        <f>IF(Employees!A23="","",Employees!A23)</f>
        <v/>
      </c>
      <c r="D523" s="26" t="str">
        <f>IF(C523="","",Employees!B23)</f>
        <v/>
      </c>
      <c r="E523" s="26" t="str">
        <f>IF(C523="","",Employees!C23)</f>
        <v/>
      </c>
      <c r="F523" s="26">
        <f>IF(A523="","",MOD(A523-Settings!$B$6,4)+1)</f>
        <v>2</v>
      </c>
      <c r="G523" s="26" t="str">
        <f>IF(C523="","",INDEX(Rotation_Pattern!$B$4:$E$7,F523,MATCH(E523,{"A","B","C","D"},0)))</f>
        <v/>
      </c>
      <c r="H523" s="32" t="str">
        <f t="shared" si="25"/>
        <v/>
      </c>
      <c r="I523" s="32" t="str">
        <f>IF(OR(G523="Off",G523=""),"",H523+TIME(Settings!$B$8,0,0))</f>
        <v/>
      </c>
      <c r="J523" s="26">
        <f>IF(OR(G523="Off",G523=""),0,Settings!$B$8)</f>
        <v>0</v>
      </c>
      <c r="K523" s="25" t="s">
        <v>111</v>
      </c>
      <c r="L523" s="26" t="str">
        <f>IF(A523="","",IF(COUNTIF(Public_Holidays!$A$4:$A$80,A523)&gt;0,"Y","N"))</f>
        <v>N</v>
      </c>
      <c r="M523" s="26" t="str">
        <f t="shared" si="26"/>
        <v>N</v>
      </c>
      <c r="N523" s="26" t="e">
        <f ca="1">IF(A523="","",_xludf.TEXTJOIN("; ",TRUE,IF(SUMIFS($J:$J,$C:$C,C523,$B:$B,B523)&gt;Settings!$B$9,"Weekly ordinary hrs &gt;45",""),IF(SUMIFS(Claims!$H:$H,Claims!$C:$C,C523,Claims!$B:$B,B523)&gt;Settings!$B$10,"Weekly OT &gt;10",""),IF(AND(G523&lt;&gt;"Off",COUNTIFS($C:$C,C523,$A:$A,A523-1,$G:$G,"Night")&gt;0),"Rest &lt;12h after night shift",""),IF(J523&gt;5,"Meal interval required","")))</f>
        <v>#NAME?</v>
      </c>
      <c r="O523" s="25" t="s">
        <v>112</v>
      </c>
      <c r="P523" s="25"/>
    </row>
    <row r="524" spans="1:16" x14ac:dyDescent="0.35">
      <c r="A524" s="31">
        <f>IF(26+1&lt;=Settings!$B$7,Settings!$B$6+26,"")</f>
        <v>46169</v>
      </c>
      <c r="B524" s="31">
        <f t="shared" si="24"/>
        <v>46167</v>
      </c>
      <c r="C524" s="26" t="str">
        <f>IF(Employees!A4="","",Employees!A4)</f>
        <v>E001</v>
      </c>
      <c r="D524" s="26" t="str">
        <f>IF(C524="","",Employees!B4)</f>
        <v>Musiwa Khavalani</v>
      </c>
      <c r="E524" s="26">
        <f>IF(C524="","",Employees!C4)</f>
        <v>0</v>
      </c>
      <c r="F524" s="26">
        <f>IF(A524="","",MOD(A524-Settings!$B$6,4)+1)</f>
        <v>3</v>
      </c>
      <c r="G524" s="26" t="e">
        <f>IF(C524="","",INDEX(Rotation_Pattern!$B$4:$E$7,F524,MATCH(E524,{"A","B","C","D"},0)))</f>
        <v>#N/A</v>
      </c>
      <c r="H524" s="32" t="e">
        <f t="shared" si="25"/>
        <v>#N/A</v>
      </c>
      <c r="I524" s="32" t="e">
        <f>IF(OR(G524="Off",G524=""),"",H524+TIME(Settings!$B$8,0,0))</f>
        <v>#N/A</v>
      </c>
      <c r="J524" s="26" t="e">
        <f>IF(OR(G524="Off",G524=""),0,Settings!$B$8)</f>
        <v>#N/A</v>
      </c>
      <c r="K524" s="25" t="s">
        <v>111</v>
      </c>
      <c r="L524" s="26" t="str">
        <f>IF(A524="","",IF(COUNTIF(Public_Holidays!$A$4:$A$80,A524)&gt;0,"Y","N"))</f>
        <v>N</v>
      </c>
      <c r="M524" s="26" t="str">
        <f t="shared" si="26"/>
        <v>N</v>
      </c>
      <c r="N524" s="26" t="e">
        <f ca="1">IF(A524="","",_xludf.TEXTJOIN("; ",TRUE,IF(SUMIFS($J:$J,$C:$C,C524,$B:$B,B524)&gt;Settings!$B$9,"Weekly ordinary hrs &gt;45",""),IF(SUMIFS(Claims!$H:$H,Claims!$C:$C,C524,Claims!$B:$B,B524)&gt;Settings!$B$10,"Weekly OT &gt;10",""),IF(AND(G524&lt;&gt;"Off",COUNTIFS($C:$C,C524,$A:$A,A524-1,$G:$G,"Night")&gt;0),"Rest &lt;12h after night shift",""),IF(J524&gt;5,"Meal interval required","")))</f>
        <v>#NAME?</v>
      </c>
      <c r="O524" s="25" t="s">
        <v>112</v>
      </c>
      <c r="P524" s="25"/>
    </row>
    <row r="525" spans="1:16" x14ac:dyDescent="0.35">
      <c r="A525" s="31">
        <f>IF(26+1&lt;=Settings!$B$7,Settings!$B$6+26,"")</f>
        <v>46169</v>
      </c>
      <c r="B525" s="31">
        <f t="shared" si="24"/>
        <v>46167</v>
      </c>
      <c r="C525" s="26" t="str">
        <f>IF(Employees!A5="","",Employees!A5)</f>
        <v>E002</v>
      </c>
      <c r="D525" s="26" t="str">
        <f>IF(C525="","",Employees!B5)</f>
        <v>Mpho  Nembemhia</v>
      </c>
      <c r="E525" s="26" t="str">
        <f>IF(C525="","",Employees!C5)</f>
        <v>B</v>
      </c>
      <c r="F525" s="26">
        <f>IF(A525="","",MOD(A525-Settings!$B$6,4)+1)</f>
        <v>3</v>
      </c>
      <c r="G525" s="26" t="str">
        <f>IF(C525="","",INDEX(Rotation_Pattern!$B$4:$E$7,F525,MATCH(E525,{"A","B","C","D"},0)))</f>
        <v>Evening</v>
      </c>
      <c r="H525" s="32">
        <f t="shared" si="25"/>
        <v>0.58333333333333337</v>
      </c>
      <c r="I525" s="32">
        <f>IF(OR(G525="Off",G525=""),"",H525+TIME(Settings!$B$8,0,0))</f>
        <v>0.91666666666666674</v>
      </c>
      <c r="J525" s="26">
        <f>IF(OR(G525="Off",G525=""),0,Settings!$B$8)</f>
        <v>8</v>
      </c>
      <c r="K525" s="25" t="s">
        <v>111</v>
      </c>
      <c r="L525" s="26" t="str">
        <f>IF(A525="","",IF(COUNTIF(Public_Holidays!$A$4:$A$80,A525)&gt;0,"Y","N"))</f>
        <v>N</v>
      </c>
      <c r="M525" s="26" t="str">
        <f t="shared" si="26"/>
        <v>N</v>
      </c>
      <c r="N525" s="26" t="e">
        <f ca="1">IF(A525="","",_xludf.TEXTJOIN("; ",TRUE,IF(SUMIFS($J:$J,$C:$C,C525,$B:$B,B525)&gt;Settings!$B$9,"Weekly ordinary hrs &gt;45",""),IF(SUMIFS(Claims!$H:$H,Claims!$C:$C,C525,Claims!$B:$B,B525)&gt;Settings!$B$10,"Weekly OT &gt;10",""),IF(AND(G525&lt;&gt;"Off",COUNTIFS($C:$C,C525,$A:$A,A525-1,$G:$G,"Night")&gt;0),"Rest &lt;12h after night shift",""),IF(J525&gt;5,"Meal interval required","")))</f>
        <v>#NAME?</v>
      </c>
      <c r="O525" s="25" t="s">
        <v>112</v>
      </c>
      <c r="P525" s="25"/>
    </row>
    <row r="526" spans="1:16" x14ac:dyDescent="0.35">
      <c r="A526" s="31">
        <f>IF(26+1&lt;=Settings!$B$7,Settings!$B$6+26,"")</f>
        <v>46169</v>
      </c>
      <c r="B526" s="31">
        <f t="shared" si="24"/>
        <v>46167</v>
      </c>
      <c r="C526" s="26" t="str">
        <f>IF(Employees!A6="","",Employees!A6)</f>
        <v>E003</v>
      </c>
      <c r="D526" s="26" t="str">
        <f>IF(C526="","",Employees!B6)</f>
        <v>Dimpho Makhafola</v>
      </c>
      <c r="E526" s="26" t="str">
        <f>IF(C526="","",Employees!C6)</f>
        <v>C</v>
      </c>
      <c r="F526" s="26">
        <f>IF(A526="","",MOD(A526-Settings!$B$6,4)+1)</f>
        <v>3</v>
      </c>
      <c r="G526" s="26" t="str">
        <f>IF(C526="","",INDEX(Rotation_Pattern!$B$4:$E$7,F526,MATCH(E526,{"A","B","C","D"},0)))</f>
        <v>Day</v>
      </c>
      <c r="H526" s="32">
        <f t="shared" si="25"/>
        <v>0.25</v>
      </c>
      <c r="I526" s="32">
        <f>IF(OR(G526="Off",G526=""),"",H526+TIME(Settings!$B$8,0,0))</f>
        <v>0.58333333333333326</v>
      </c>
      <c r="J526" s="26">
        <f>IF(OR(G526="Off",G526=""),0,Settings!$B$8)</f>
        <v>8</v>
      </c>
      <c r="K526" s="25" t="s">
        <v>111</v>
      </c>
      <c r="L526" s="26" t="str">
        <f>IF(A526="","",IF(COUNTIF(Public_Holidays!$A$4:$A$80,A526)&gt;0,"Y","N"))</f>
        <v>N</v>
      </c>
      <c r="M526" s="26" t="str">
        <f t="shared" si="26"/>
        <v>N</v>
      </c>
      <c r="N526" s="26" t="e">
        <f ca="1">IF(A526="","",_xludf.TEXTJOIN("; ",TRUE,IF(SUMIFS($J:$J,$C:$C,C526,$B:$B,B526)&gt;Settings!$B$9,"Weekly ordinary hrs &gt;45",""),IF(SUMIFS(Claims!$H:$H,Claims!$C:$C,C526,Claims!$B:$B,B526)&gt;Settings!$B$10,"Weekly OT &gt;10",""),IF(AND(G526&lt;&gt;"Off",COUNTIFS($C:$C,C526,$A:$A,A526-1,$G:$G,"Night")&gt;0),"Rest &lt;12h after night shift",""),IF(J526&gt;5,"Meal interval required","")))</f>
        <v>#NAME?</v>
      </c>
      <c r="O526" s="25" t="s">
        <v>112</v>
      </c>
      <c r="P526" s="25"/>
    </row>
    <row r="527" spans="1:16" x14ac:dyDescent="0.35">
      <c r="A527" s="31">
        <f>IF(26+1&lt;=Settings!$B$7,Settings!$B$6+26,"")</f>
        <v>46169</v>
      </c>
      <c r="B527" s="31">
        <f t="shared" si="24"/>
        <v>46167</v>
      </c>
      <c r="C527" s="26" t="str">
        <f>IF(Employees!A7="","",Employees!A7)</f>
        <v>E004</v>
      </c>
      <c r="D527" s="26" t="str">
        <f>IF(C527="","",Employees!B7)</f>
        <v>Bashii Fall</v>
      </c>
      <c r="E527" s="26" t="str">
        <f>IF(C527="","",Employees!C7)</f>
        <v>D</v>
      </c>
      <c r="F527" s="26">
        <f>IF(A527="","",MOD(A527-Settings!$B$6,4)+1)</f>
        <v>3</v>
      </c>
      <c r="G527" s="26" t="str">
        <f>IF(C527="","",INDEX(Rotation_Pattern!$B$4:$E$7,F527,MATCH(E527,{"A","B","C","D"},0)))</f>
        <v>Off</v>
      </c>
      <c r="H527" s="32" t="str">
        <f t="shared" si="25"/>
        <v/>
      </c>
      <c r="I527" s="32" t="str">
        <f>IF(OR(G527="Off",G527=""),"",H527+TIME(Settings!$B$8,0,0))</f>
        <v/>
      </c>
      <c r="J527" s="26">
        <f>IF(OR(G527="Off",G527=""),0,Settings!$B$8)</f>
        <v>0</v>
      </c>
      <c r="K527" s="25" t="s">
        <v>111</v>
      </c>
      <c r="L527" s="26" t="str">
        <f>IF(A527="","",IF(COUNTIF(Public_Holidays!$A$4:$A$80,A527)&gt;0,"Y","N"))</f>
        <v>N</v>
      </c>
      <c r="M527" s="26" t="str">
        <f t="shared" si="26"/>
        <v>N</v>
      </c>
      <c r="N527" s="26" t="e">
        <f ca="1">IF(A527="","",_xludf.TEXTJOIN("; ",TRUE,IF(SUMIFS($J:$J,$C:$C,C527,$B:$B,B527)&gt;Settings!$B$9,"Weekly ordinary hrs &gt;45",""),IF(SUMIFS(Claims!$H:$H,Claims!$C:$C,C527,Claims!$B:$B,B527)&gt;Settings!$B$10,"Weekly OT &gt;10",""),IF(AND(G527&lt;&gt;"Off",COUNTIFS($C:$C,C527,$A:$A,A527-1,$G:$G,"Night")&gt;0),"Rest &lt;12h after night shift",""),IF(J527&gt;5,"Meal interval required","")))</f>
        <v>#NAME?</v>
      </c>
      <c r="O527" s="25" t="s">
        <v>112</v>
      </c>
      <c r="P527" s="25"/>
    </row>
    <row r="528" spans="1:16" x14ac:dyDescent="0.35">
      <c r="A528" s="31">
        <f>IF(26+1&lt;=Settings!$B$7,Settings!$B$6+26,"")</f>
        <v>46169</v>
      </c>
      <c r="B528" s="31">
        <f t="shared" si="24"/>
        <v>46167</v>
      </c>
      <c r="C528" s="26" t="str">
        <f>IF(Employees!A8="","",Employees!A8)</f>
        <v>E005</v>
      </c>
      <c r="D528" s="26" t="str">
        <f>IF(C528="","",Employees!B8)</f>
        <v>Lesego Aphane</v>
      </c>
      <c r="E528" s="26" t="str">
        <f>IF(C528="","",Employees!C8)</f>
        <v>A</v>
      </c>
      <c r="F528" s="26">
        <f>IF(A528="","",MOD(A528-Settings!$B$6,4)+1)</f>
        <v>3</v>
      </c>
      <c r="G528" s="26" t="str">
        <f>IF(C528="","",INDEX(Rotation_Pattern!$B$4:$E$7,F528,MATCH(E528,{"A","B","C","D"},0)))</f>
        <v>Night</v>
      </c>
      <c r="H528" s="32">
        <f t="shared" si="25"/>
        <v>0.91666666666666663</v>
      </c>
      <c r="I528" s="32">
        <f>IF(OR(G528="Off",G528=""),"",H528+TIME(Settings!$B$8,0,0))</f>
        <v>1.25</v>
      </c>
      <c r="J528" s="26">
        <f>IF(OR(G528="Off",G528=""),0,Settings!$B$8)</f>
        <v>8</v>
      </c>
      <c r="K528" s="25" t="s">
        <v>111</v>
      </c>
      <c r="L528" s="26" t="str">
        <f>IF(A528="","",IF(COUNTIF(Public_Holidays!$A$4:$A$80,A528)&gt;0,"Y","N"))</f>
        <v>N</v>
      </c>
      <c r="M528" s="26" t="str">
        <f t="shared" si="26"/>
        <v>N</v>
      </c>
      <c r="N528" s="26" t="e">
        <f ca="1">IF(A528="","",_xludf.TEXTJOIN("; ",TRUE,IF(SUMIFS($J:$J,$C:$C,C528,$B:$B,B528)&gt;Settings!$B$9,"Weekly ordinary hrs &gt;45",""),IF(SUMIFS(Claims!$H:$H,Claims!$C:$C,C528,Claims!$B:$B,B528)&gt;Settings!$B$10,"Weekly OT &gt;10",""),IF(AND(G528&lt;&gt;"Off",COUNTIFS($C:$C,C528,$A:$A,A528-1,$G:$G,"Night")&gt;0),"Rest &lt;12h after night shift",""),IF(J528&gt;5,"Meal interval required","")))</f>
        <v>#NAME?</v>
      </c>
      <c r="O528" s="25" t="s">
        <v>112</v>
      </c>
      <c r="P528" s="25"/>
    </row>
    <row r="529" spans="1:16" x14ac:dyDescent="0.35">
      <c r="A529" s="31">
        <f>IF(26+1&lt;=Settings!$B$7,Settings!$B$6+26,"")</f>
        <v>46169</v>
      </c>
      <c r="B529" s="31">
        <f t="shared" si="24"/>
        <v>46167</v>
      </c>
      <c r="C529" s="26" t="str">
        <f>IF(Employees!A9="","",Employees!A9)</f>
        <v>E006</v>
      </c>
      <c r="D529" s="26" t="str">
        <f>IF(C529="","",Employees!B9)</f>
        <v>Nhalnahla</v>
      </c>
      <c r="E529" s="26" t="str">
        <f>IF(C529="","",Employees!C9)</f>
        <v>B</v>
      </c>
      <c r="F529" s="26">
        <f>IF(A529="","",MOD(A529-Settings!$B$6,4)+1)</f>
        <v>3</v>
      </c>
      <c r="G529" s="26" t="str">
        <f>IF(C529="","",INDEX(Rotation_Pattern!$B$4:$E$7,F529,MATCH(E529,{"A","B","C","D"},0)))</f>
        <v>Evening</v>
      </c>
      <c r="H529" s="32">
        <f t="shared" si="25"/>
        <v>0.58333333333333337</v>
      </c>
      <c r="I529" s="32">
        <f>IF(OR(G529="Off",G529=""),"",H529+TIME(Settings!$B$8,0,0))</f>
        <v>0.91666666666666674</v>
      </c>
      <c r="J529" s="26">
        <f>IF(OR(G529="Off",G529=""),0,Settings!$B$8)</f>
        <v>8</v>
      </c>
      <c r="K529" s="25" t="s">
        <v>111</v>
      </c>
      <c r="L529" s="26" t="str">
        <f>IF(A529="","",IF(COUNTIF(Public_Holidays!$A$4:$A$80,A529)&gt;0,"Y","N"))</f>
        <v>N</v>
      </c>
      <c r="M529" s="26" t="str">
        <f t="shared" si="26"/>
        <v>N</v>
      </c>
      <c r="N529" s="26" t="e">
        <f ca="1">IF(A529="","",_xludf.TEXTJOIN("; ",TRUE,IF(SUMIFS($J:$J,$C:$C,C529,$B:$B,B529)&gt;Settings!$B$9,"Weekly ordinary hrs &gt;45",""),IF(SUMIFS(Claims!$H:$H,Claims!$C:$C,C529,Claims!$B:$B,B529)&gt;Settings!$B$10,"Weekly OT &gt;10",""),IF(AND(G529&lt;&gt;"Off",COUNTIFS($C:$C,C529,$A:$A,A529-1,$G:$G,"Night")&gt;0),"Rest &lt;12h after night shift",""),IF(J529&gt;5,"Meal interval required","")))</f>
        <v>#NAME?</v>
      </c>
      <c r="O529" s="25" t="s">
        <v>112</v>
      </c>
      <c r="P529" s="25"/>
    </row>
    <row r="530" spans="1:16" x14ac:dyDescent="0.35">
      <c r="A530" s="31">
        <f>IF(26+1&lt;=Settings!$B$7,Settings!$B$6+26,"")</f>
        <v>46169</v>
      </c>
      <c r="B530" s="31">
        <f t="shared" si="24"/>
        <v>46167</v>
      </c>
      <c r="C530" s="26" t="str">
        <f>IF(Employees!A10="","",Employees!A10)</f>
        <v>E007</v>
      </c>
      <c r="D530" s="26" t="str">
        <f>IF(C530="","",Employees!B10)</f>
        <v>Joe</v>
      </c>
      <c r="E530" s="26" t="str">
        <f>IF(C530="","",Employees!C10)</f>
        <v>C</v>
      </c>
      <c r="F530" s="26">
        <f>IF(A530="","",MOD(A530-Settings!$B$6,4)+1)</f>
        <v>3</v>
      </c>
      <c r="G530" s="26" t="str">
        <f>IF(C530="","",INDEX(Rotation_Pattern!$B$4:$E$7,F530,MATCH(E530,{"A","B","C","D"},0)))</f>
        <v>Day</v>
      </c>
      <c r="H530" s="32">
        <f t="shared" si="25"/>
        <v>0.25</v>
      </c>
      <c r="I530" s="32">
        <f>IF(OR(G530="Off",G530=""),"",H530+TIME(Settings!$B$8,0,0))</f>
        <v>0.58333333333333326</v>
      </c>
      <c r="J530" s="26">
        <f>IF(OR(G530="Off",G530=""),0,Settings!$B$8)</f>
        <v>8</v>
      </c>
      <c r="K530" s="25" t="s">
        <v>111</v>
      </c>
      <c r="L530" s="26" t="str">
        <f>IF(A530="","",IF(COUNTIF(Public_Holidays!$A$4:$A$80,A530)&gt;0,"Y","N"))</f>
        <v>N</v>
      </c>
      <c r="M530" s="26" t="str">
        <f t="shared" si="26"/>
        <v>N</v>
      </c>
      <c r="N530" s="26" t="e">
        <f ca="1">IF(A530="","",_xludf.TEXTJOIN("; ",TRUE,IF(SUMIFS($J:$J,$C:$C,C530,$B:$B,B530)&gt;Settings!$B$9,"Weekly ordinary hrs &gt;45",""),IF(SUMIFS(Claims!$H:$H,Claims!$C:$C,C530,Claims!$B:$B,B530)&gt;Settings!$B$10,"Weekly OT &gt;10",""),IF(AND(G530&lt;&gt;"Off",COUNTIFS($C:$C,C530,$A:$A,A530-1,$G:$G,"Night")&gt;0),"Rest &lt;12h after night shift",""),IF(J530&gt;5,"Meal interval required","")))</f>
        <v>#NAME?</v>
      </c>
      <c r="O530" s="25" t="s">
        <v>112</v>
      </c>
      <c r="P530" s="25"/>
    </row>
    <row r="531" spans="1:16" x14ac:dyDescent="0.35">
      <c r="A531" s="31">
        <f>IF(26+1&lt;=Settings!$B$7,Settings!$B$6+26,"")</f>
        <v>46169</v>
      </c>
      <c r="B531" s="31">
        <f t="shared" si="24"/>
        <v>46167</v>
      </c>
      <c r="C531" s="26" t="str">
        <f>IF(Employees!A11="","",Employees!A11)</f>
        <v>E008</v>
      </c>
      <c r="D531" s="26" t="str">
        <f>IF(C531="","",Employees!B11)</f>
        <v>Tim</v>
      </c>
      <c r="E531" s="26" t="str">
        <f>IF(C531="","",Employees!C11)</f>
        <v>D</v>
      </c>
      <c r="F531" s="26">
        <f>IF(A531="","",MOD(A531-Settings!$B$6,4)+1)</f>
        <v>3</v>
      </c>
      <c r="G531" s="26" t="str">
        <f>IF(C531="","",INDEX(Rotation_Pattern!$B$4:$E$7,F531,MATCH(E531,{"A","B","C","D"},0)))</f>
        <v>Off</v>
      </c>
      <c r="H531" s="32" t="str">
        <f t="shared" si="25"/>
        <v/>
      </c>
      <c r="I531" s="32" t="str">
        <f>IF(OR(G531="Off",G531=""),"",H531+TIME(Settings!$B$8,0,0))</f>
        <v/>
      </c>
      <c r="J531" s="26">
        <f>IF(OR(G531="Off",G531=""),0,Settings!$B$8)</f>
        <v>0</v>
      </c>
      <c r="K531" s="25" t="s">
        <v>111</v>
      </c>
      <c r="L531" s="26" t="str">
        <f>IF(A531="","",IF(COUNTIF(Public_Holidays!$A$4:$A$80,A531)&gt;0,"Y","N"))</f>
        <v>N</v>
      </c>
      <c r="M531" s="26" t="str">
        <f t="shared" si="26"/>
        <v>N</v>
      </c>
      <c r="N531" s="26" t="e">
        <f ca="1">IF(A531="","",_xludf.TEXTJOIN("; ",TRUE,IF(SUMIFS($J:$J,$C:$C,C531,$B:$B,B531)&gt;Settings!$B$9,"Weekly ordinary hrs &gt;45",""),IF(SUMIFS(Claims!$H:$H,Claims!$C:$C,C531,Claims!$B:$B,B531)&gt;Settings!$B$10,"Weekly OT &gt;10",""),IF(AND(G531&lt;&gt;"Off",COUNTIFS($C:$C,C531,$A:$A,A531-1,$G:$G,"Night")&gt;0),"Rest &lt;12h after night shift",""),IF(J531&gt;5,"Meal interval required","")))</f>
        <v>#NAME?</v>
      </c>
      <c r="O531" s="25" t="s">
        <v>112</v>
      </c>
      <c r="P531" s="25"/>
    </row>
    <row r="532" spans="1:16" x14ac:dyDescent="0.35">
      <c r="A532" s="31">
        <f>IF(26+1&lt;=Settings!$B$7,Settings!$B$6+26,"")</f>
        <v>46169</v>
      </c>
      <c r="B532" s="31">
        <f t="shared" si="24"/>
        <v>46167</v>
      </c>
      <c r="C532" s="26" t="str">
        <f>IF(Employees!A12="","",Employees!A12)</f>
        <v>E009</v>
      </c>
      <c r="D532" s="26" t="str">
        <f>IF(C532="","",Employees!B12)</f>
        <v>Frank</v>
      </c>
      <c r="E532" s="26" t="str">
        <f>IF(C532="","",Employees!C12)</f>
        <v>A</v>
      </c>
      <c r="F532" s="26">
        <f>IF(A532="","",MOD(A532-Settings!$B$6,4)+1)</f>
        <v>3</v>
      </c>
      <c r="G532" s="26" t="str">
        <f>IF(C532="","",INDEX(Rotation_Pattern!$B$4:$E$7,F532,MATCH(E532,{"A","B","C","D"},0)))</f>
        <v>Night</v>
      </c>
      <c r="H532" s="32">
        <f t="shared" si="25"/>
        <v>0.91666666666666663</v>
      </c>
      <c r="I532" s="32">
        <f>IF(OR(G532="Off",G532=""),"",H532+TIME(Settings!$B$8,0,0))</f>
        <v>1.25</v>
      </c>
      <c r="J532" s="26">
        <f>IF(OR(G532="Off",G532=""),0,Settings!$B$8)</f>
        <v>8</v>
      </c>
      <c r="K532" s="25" t="s">
        <v>111</v>
      </c>
      <c r="L532" s="26" t="str">
        <f>IF(A532="","",IF(COUNTIF(Public_Holidays!$A$4:$A$80,A532)&gt;0,"Y","N"))</f>
        <v>N</v>
      </c>
      <c r="M532" s="26" t="str">
        <f t="shared" si="26"/>
        <v>N</v>
      </c>
      <c r="N532" s="26" t="e">
        <f ca="1">IF(A532="","",_xludf.TEXTJOIN("; ",TRUE,IF(SUMIFS($J:$J,$C:$C,C532,$B:$B,B532)&gt;Settings!$B$9,"Weekly ordinary hrs &gt;45",""),IF(SUMIFS(Claims!$H:$H,Claims!$C:$C,C532,Claims!$B:$B,B532)&gt;Settings!$B$10,"Weekly OT &gt;10",""),IF(AND(G532&lt;&gt;"Off",COUNTIFS($C:$C,C532,$A:$A,A532-1,$G:$G,"Night")&gt;0),"Rest &lt;12h after night shift",""),IF(J532&gt;5,"Meal interval required","")))</f>
        <v>#NAME?</v>
      </c>
      <c r="O532" s="25" t="s">
        <v>112</v>
      </c>
      <c r="P532" s="25"/>
    </row>
    <row r="533" spans="1:16" x14ac:dyDescent="0.35">
      <c r="A533" s="31">
        <f>IF(26+1&lt;=Settings!$B$7,Settings!$B$6+26,"")</f>
        <v>46169</v>
      </c>
      <c r="B533" s="31">
        <f t="shared" si="24"/>
        <v>46167</v>
      </c>
      <c r="C533" s="26" t="str">
        <f>IF(Employees!A13="","",Employees!A13)</f>
        <v/>
      </c>
      <c r="D533" s="26" t="str">
        <f>IF(C533="","",Employees!B13)</f>
        <v/>
      </c>
      <c r="E533" s="26" t="str">
        <f>IF(C533="","",Employees!C13)</f>
        <v/>
      </c>
      <c r="F533" s="26">
        <f>IF(A533="","",MOD(A533-Settings!$B$6,4)+1)</f>
        <v>3</v>
      </c>
      <c r="G533" s="26" t="str">
        <f>IF(C533="","",INDEX(Rotation_Pattern!$B$4:$E$7,F533,MATCH(E533,{"A","B","C","D"},0)))</f>
        <v/>
      </c>
      <c r="H533" s="32" t="str">
        <f t="shared" si="25"/>
        <v/>
      </c>
      <c r="I533" s="32" t="str">
        <f>IF(OR(G533="Off",G533=""),"",H533+TIME(Settings!$B$8,0,0))</f>
        <v/>
      </c>
      <c r="J533" s="26">
        <f>IF(OR(G533="Off",G533=""),0,Settings!$B$8)</f>
        <v>0</v>
      </c>
      <c r="K533" s="25" t="s">
        <v>111</v>
      </c>
      <c r="L533" s="26" t="str">
        <f>IF(A533="","",IF(COUNTIF(Public_Holidays!$A$4:$A$80,A533)&gt;0,"Y","N"))</f>
        <v>N</v>
      </c>
      <c r="M533" s="26" t="str">
        <f t="shared" si="26"/>
        <v>N</v>
      </c>
      <c r="N533" s="26" t="e">
        <f ca="1">IF(A533="","",_xludf.TEXTJOIN("; ",TRUE,IF(SUMIFS($J:$J,$C:$C,C533,$B:$B,B533)&gt;Settings!$B$9,"Weekly ordinary hrs &gt;45",""),IF(SUMIFS(Claims!$H:$H,Claims!$C:$C,C533,Claims!$B:$B,B533)&gt;Settings!$B$10,"Weekly OT &gt;10",""),IF(AND(G533&lt;&gt;"Off",COUNTIFS($C:$C,C533,$A:$A,A533-1,$G:$G,"Night")&gt;0),"Rest &lt;12h after night shift",""),IF(J533&gt;5,"Meal interval required","")))</f>
        <v>#NAME?</v>
      </c>
      <c r="O533" s="25" t="s">
        <v>112</v>
      </c>
      <c r="P533" s="25"/>
    </row>
    <row r="534" spans="1:16" x14ac:dyDescent="0.35">
      <c r="A534" s="31">
        <f>IF(26+1&lt;=Settings!$B$7,Settings!$B$6+26,"")</f>
        <v>46169</v>
      </c>
      <c r="B534" s="31">
        <f t="shared" si="24"/>
        <v>46167</v>
      </c>
      <c r="C534" s="26" t="str">
        <f>IF(Employees!A14="","",Employees!A14)</f>
        <v/>
      </c>
      <c r="D534" s="26" t="str">
        <f>IF(C534="","",Employees!B14)</f>
        <v/>
      </c>
      <c r="E534" s="26" t="str">
        <f>IF(C534="","",Employees!C14)</f>
        <v/>
      </c>
      <c r="F534" s="26">
        <f>IF(A534="","",MOD(A534-Settings!$B$6,4)+1)</f>
        <v>3</v>
      </c>
      <c r="G534" s="26" t="str">
        <f>IF(C534="","",INDEX(Rotation_Pattern!$B$4:$E$7,F534,MATCH(E534,{"A","B","C","D"},0)))</f>
        <v/>
      </c>
      <c r="H534" s="32" t="str">
        <f t="shared" si="25"/>
        <v/>
      </c>
      <c r="I534" s="32" t="str">
        <f>IF(OR(G534="Off",G534=""),"",H534+TIME(Settings!$B$8,0,0))</f>
        <v/>
      </c>
      <c r="J534" s="26">
        <f>IF(OR(G534="Off",G534=""),0,Settings!$B$8)</f>
        <v>0</v>
      </c>
      <c r="K534" s="25" t="s">
        <v>111</v>
      </c>
      <c r="L534" s="26" t="str">
        <f>IF(A534="","",IF(COUNTIF(Public_Holidays!$A$4:$A$80,A534)&gt;0,"Y","N"))</f>
        <v>N</v>
      </c>
      <c r="M534" s="26" t="str">
        <f t="shared" si="26"/>
        <v>N</v>
      </c>
      <c r="N534" s="26" t="e">
        <f ca="1">IF(A534="","",_xludf.TEXTJOIN("; ",TRUE,IF(SUMIFS($J:$J,$C:$C,C534,$B:$B,B534)&gt;Settings!$B$9,"Weekly ordinary hrs &gt;45",""),IF(SUMIFS(Claims!$H:$H,Claims!$C:$C,C534,Claims!$B:$B,B534)&gt;Settings!$B$10,"Weekly OT &gt;10",""),IF(AND(G534&lt;&gt;"Off",COUNTIFS($C:$C,C534,$A:$A,A534-1,$G:$G,"Night")&gt;0),"Rest &lt;12h after night shift",""),IF(J534&gt;5,"Meal interval required","")))</f>
        <v>#NAME?</v>
      </c>
      <c r="O534" s="25" t="s">
        <v>112</v>
      </c>
      <c r="P534" s="25"/>
    </row>
    <row r="535" spans="1:16" x14ac:dyDescent="0.35">
      <c r="A535" s="31">
        <f>IF(26+1&lt;=Settings!$B$7,Settings!$B$6+26,"")</f>
        <v>46169</v>
      </c>
      <c r="B535" s="31">
        <f t="shared" si="24"/>
        <v>46167</v>
      </c>
      <c r="C535" s="26" t="str">
        <f>IF(Employees!A15="","",Employees!A15)</f>
        <v/>
      </c>
      <c r="D535" s="26" t="str">
        <f>IF(C535="","",Employees!B15)</f>
        <v/>
      </c>
      <c r="E535" s="26" t="str">
        <f>IF(C535="","",Employees!C15)</f>
        <v/>
      </c>
      <c r="F535" s="26">
        <f>IF(A535="","",MOD(A535-Settings!$B$6,4)+1)</f>
        <v>3</v>
      </c>
      <c r="G535" s="26" t="str">
        <f>IF(C535="","",INDEX(Rotation_Pattern!$B$4:$E$7,F535,MATCH(E535,{"A","B","C","D"},0)))</f>
        <v/>
      </c>
      <c r="H535" s="32" t="str">
        <f t="shared" si="25"/>
        <v/>
      </c>
      <c r="I535" s="32" t="str">
        <f>IF(OR(G535="Off",G535=""),"",H535+TIME(Settings!$B$8,0,0))</f>
        <v/>
      </c>
      <c r="J535" s="26">
        <f>IF(OR(G535="Off",G535=""),0,Settings!$B$8)</f>
        <v>0</v>
      </c>
      <c r="K535" s="25" t="s">
        <v>111</v>
      </c>
      <c r="L535" s="26" t="str">
        <f>IF(A535="","",IF(COUNTIF(Public_Holidays!$A$4:$A$80,A535)&gt;0,"Y","N"))</f>
        <v>N</v>
      </c>
      <c r="M535" s="26" t="str">
        <f t="shared" si="26"/>
        <v>N</v>
      </c>
      <c r="N535" s="26" t="e">
        <f ca="1">IF(A535="","",_xludf.TEXTJOIN("; ",TRUE,IF(SUMIFS($J:$J,$C:$C,C535,$B:$B,B535)&gt;Settings!$B$9,"Weekly ordinary hrs &gt;45",""),IF(SUMIFS(Claims!$H:$H,Claims!$C:$C,C535,Claims!$B:$B,B535)&gt;Settings!$B$10,"Weekly OT &gt;10",""),IF(AND(G535&lt;&gt;"Off",COUNTIFS($C:$C,C535,$A:$A,A535-1,$G:$G,"Night")&gt;0),"Rest &lt;12h after night shift",""),IF(J535&gt;5,"Meal interval required","")))</f>
        <v>#NAME?</v>
      </c>
      <c r="O535" s="25" t="s">
        <v>112</v>
      </c>
      <c r="P535" s="25"/>
    </row>
    <row r="536" spans="1:16" x14ac:dyDescent="0.35">
      <c r="A536" s="31">
        <f>IF(26+1&lt;=Settings!$B$7,Settings!$B$6+26,"")</f>
        <v>46169</v>
      </c>
      <c r="B536" s="31">
        <f t="shared" si="24"/>
        <v>46167</v>
      </c>
      <c r="C536" s="26" t="str">
        <f>IF(Employees!A16="","",Employees!A16)</f>
        <v/>
      </c>
      <c r="D536" s="26" t="str">
        <f>IF(C536="","",Employees!B16)</f>
        <v/>
      </c>
      <c r="E536" s="26" t="str">
        <f>IF(C536="","",Employees!C16)</f>
        <v/>
      </c>
      <c r="F536" s="26">
        <f>IF(A536="","",MOD(A536-Settings!$B$6,4)+1)</f>
        <v>3</v>
      </c>
      <c r="G536" s="26" t="str">
        <f>IF(C536="","",INDEX(Rotation_Pattern!$B$4:$E$7,F536,MATCH(E536,{"A","B","C","D"},0)))</f>
        <v/>
      </c>
      <c r="H536" s="32" t="str">
        <f t="shared" si="25"/>
        <v/>
      </c>
      <c r="I536" s="32" t="str">
        <f>IF(OR(G536="Off",G536=""),"",H536+TIME(Settings!$B$8,0,0))</f>
        <v/>
      </c>
      <c r="J536" s="26">
        <f>IF(OR(G536="Off",G536=""),0,Settings!$B$8)</f>
        <v>0</v>
      </c>
      <c r="K536" s="25" t="s">
        <v>111</v>
      </c>
      <c r="L536" s="26" t="str">
        <f>IF(A536="","",IF(COUNTIF(Public_Holidays!$A$4:$A$80,A536)&gt;0,"Y","N"))</f>
        <v>N</v>
      </c>
      <c r="M536" s="26" t="str">
        <f t="shared" si="26"/>
        <v>N</v>
      </c>
      <c r="N536" s="26" t="e">
        <f ca="1">IF(A536="","",_xludf.TEXTJOIN("; ",TRUE,IF(SUMIFS($J:$J,$C:$C,C536,$B:$B,B536)&gt;Settings!$B$9,"Weekly ordinary hrs &gt;45",""),IF(SUMIFS(Claims!$H:$H,Claims!$C:$C,C536,Claims!$B:$B,B536)&gt;Settings!$B$10,"Weekly OT &gt;10",""),IF(AND(G536&lt;&gt;"Off",COUNTIFS($C:$C,C536,$A:$A,A536-1,$G:$G,"Night")&gt;0),"Rest &lt;12h after night shift",""),IF(J536&gt;5,"Meal interval required","")))</f>
        <v>#NAME?</v>
      </c>
      <c r="O536" s="25" t="s">
        <v>112</v>
      </c>
      <c r="P536" s="25"/>
    </row>
    <row r="537" spans="1:16" x14ac:dyDescent="0.35">
      <c r="A537" s="31">
        <f>IF(26+1&lt;=Settings!$B$7,Settings!$B$6+26,"")</f>
        <v>46169</v>
      </c>
      <c r="B537" s="31">
        <f t="shared" si="24"/>
        <v>46167</v>
      </c>
      <c r="C537" s="26" t="str">
        <f>IF(Employees!A17="","",Employees!A17)</f>
        <v/>
      </c>
      <c r="D537" s="26" t="str">
        <f>IF(C537="","",Employees!B17)</f>
        <v/>
      </c>
      <c r="E537" s="26" t="str">
        <f>IF(C537="","",Employees!C17)</f>
        <v/>
      </c>
      <c r="F537" s="26">
        <f>IF(A537="","",MOD(A537-Settings!$B$6,4)+1)</f>
        <v>3</v>
      </c>
      <c r="G537" s="26" t="str">
        <f>IF(C537="","",INDEX(Rotation_Pattern!$B$4:$E$7,F537,MATCH(E537,{"A","B","C","D"},0)))</f>
        <v/>
      </c>
      <c r="H537" s="32" t="str">
        <f t="shared" si="25"/>
        <v/>
      </c>
      <c r="I537" s="32" t="str">
        <f>IF(OR(G537="Off",G537=""),"",H537+TIME(Settings!$B$8,0,0))</f>
        <v/>
      </c>
      <c r="J537" s="26">
        <f>IF(OR(G537="Off",G537=""),0,Settings!$B$8)</f>
        <v>0</v>
      </c>
      <c r="K537" s="25" t="s">
        <v>111</v>
      </c>
      <c r="L537" s="26" t="str">
        <f>IF(A537="","",IF(COUNTIF(Public_Holidays!$A$4:$A$80,A537)&gt;0,"Y","N"))</f>
        <v>N</v>
      </c>
      <c r="M537" s="26" t="str">
        <f t="shared" si="26"/>
        <v>N</v>
      </c>
      <c r="N537" s="26" t="e">
        <f ca="1">IF(A537="","",_xludf.TEXTJOIN("; ",TRUE,IF(SUMIFS($J:$J,$C:$C,C537,$B:$B,B537)&gt;Settings!$B$9,"Weekly ordinary hrs &gt;45",""),IF(SUMIFS(Claims!$H:$H,Claims!$C:$C,C537,Claims!$B:$B,B537)&gt;Settings!$B$10,"Weekly OT &gt;10",""),IF(AND(G537&lt;&gt;"Off",COUNTIFS($C:$C,C537,$A:$A,A537-1,$G:$G,"Night")&gt;0),"Rest &lt;12h after night shift",""),IF(J537&gt;5,"Meal interval required","")))</f>
        <v>#NAME?</v>
      </c>
      <c r="O537" s="25" t="s">
        <v>112</v>
      </c>
      <c r="P537" s="25"/>
    </row>
    <row r="538" spans="1:16" x14ac:dyDescent="0.35">
      <c r="A538" s="31">
        <f>IF(26+1&lt;=Settings!$B$7,Settings!$B$6+26,"")</f>
        <v>46169</v>
      </c>
      <c r="B538" s="31">
        <f t="shared" si="24"/>
        <v>46167</v>
      </c>
      <c r="C538" s="26" t="str">
        <f>IF(Employees!A18="","",Employees!A18)</f>
        <v/>
      </c>
      <c r="D538" s="26" t="str">
        <f>IF(C538="","",Employees!B18)</f>
        <v/>
      </c>
      <c r="E538" s="26" t="str">
        <f>IF(C538="","",Employees!C18)</f>
        <v/>
      </c>
      <c r="F538" s="26">
        <f>IF(A538="","",MOD(A538-Settings!$B$6,4)+1)</f>
        <v>3</v>
      </c>
      <c r="G538" s="26" t="str">
        <f>IF(C538="","",INDEX(Rotation_Pattern!$B$4:$E$7,F538,MATCH(E538,{"A","B","C","D"},0)))</f>
        <v/>
      </c>
      <c r="H538" s="32" t="str">
        <f t="shared" si="25"/>
        <v/>
      </c>
      <c r="I538" s="32" t="str">
        <f>IF(OR(G538="Off",G538=""),"",H538+TIME(Settings!$B$8,0,0))</f>
        <v/>
      </c>
      <c r="J538" s="26">
        <f>IF(OR(G538="Off",G538=""),0,Settings!$B$8)</f>
        <v>0</v>
      </c>
      <c r="K538" s="25" t="s">
        <v>111</v>
      </c>
      <c r="L538" s="26" t="str">
        <f>IF(A538="","",IF(COUNTIF(Public_Holidays!$A$4:$A$80,A538)&gt;0,"Y","N"))</f>
        <v>N</v>
      </c>
      <c r="M538" s="26" t="str">
        <f t="shared" si="26"/>
        <v>N</v>
      </c>
      <c r="N538" s="26" t="e">
        <f ca="1">IF(A538="","",_xludf.TEXTJOIN("; ",TRUE,IF(SUMIFS($J:$J,$C:$C,C538,$B:$B,B538)&gt;Settings!$B$9,"Weekly ordinary hrs &gt;45",""),IF(SUMIFS(Claims!$H:$H,Claims!$C:$C,C538,Claims!$B:$B,B538)&gt;Settings!$B$10,"Weekly OT &gt;10",""),IF(AND(G538&lt;&gt;"Off",COUNTIFS($C:$C,C538,$A:$A,A538-1,$G:$G,"Night")&gt;0),"Rest &lt;12h after night shift",""),IF(J538&gt;5,"Meal interval required","")))</f>
        <v>#NAME?</v>
      </c>
      <c r="O538" s="25" t="s">
        <v>112</v>
      </c>
      <c r="P538" s="25"/>
    </row>
    <row r="539" spans="1:16" x14ac:dyDescent="0.35">
      <c r="A539" s="31">
        <f>IF(26+1&lt;=Settings!$B$7,Settings!$B$6+26,"")</f>
        <v>46169</v>
      </c>
      <c r="B539" s="31">
        <f t="shared" si="24"/>
        <v>46167</v>
      </c>
      <c r="C539" s="26" t="str">
        <f>IF(Employees!A19="","",Employees!A19)</f>
        <v/>
      </c>
      <c r="D539" s="26" t="str">
        <f>IF(C539="","",Employees!B19)</f>
        <v/>
      </c>
      <c r="E539" s="26" t="str">
        <f>IF(C539="","",Employees!C19)</f>
        <v/>
      </c>
      <c r="F539" s="26">
        <f>IF(A539="","",MOD(A539-Settings!$B$6,4)+1)</f>
        <v>3</v>
      </c>
      <c r="G539" s="26" t="str">
        <f>IF(C539="","",INDEX(Rotation_Pattern!$B$4:$E$7,F539,MATCH(E539,{"A","B","C","D"},0)))</f>
        <v/>
      </c>
      <c r="H539" s="32" t="str">
        <f t="shared" si="25"/>
        <v/>
      </c>
      <c r="I539" s="32" t="str">
        <f>IF(OR(G539="Off",G539=""),"",H539+TIME(Settings!$B$8,0,0))</f>
        <v/>
      </c>
      <c r="J539" s="26">
        <f>IF(OR(G539="Off",G539=""),0,Settings!$B$8)</f>
        <v>0</v>
      </c>
      <c r="K539" s="25" t="s">
        <v>111</v>
      </c>
      <c r="L539" s="26" t="str">
        <f>IF(A539="","",IF(COUNTIF(Public_Holidays!$A$4:$A$80,A539)&gt;0,"Y","N"))</f>
        <v>N</v>
      </c>
      <c r="M539" s="26" t="str">
        <f t="shared" si="26"/>
        <v>N</v>
      </c>
      <c r="N539" s="26" t="e">
        <f ca="1">IF(A539="","",_xludf.TEXTJOIN("; ",TRUE,IF(SUMIFS($J:$J,$C:$C,C539,$B:$B,B539)&gt;Settings!$B$9,"Weekly ordinary hrs &gt;45",""),IF(SUMIFS(Claims!$H:$H,Claims!$C:$C,C539,Claims!$B:$B,B539)&gt;Settings!$B$10,"Weekly OT &gt;10",""),IF(AND(G539&lt;&gt;"Off",COUNTIFS($C:$C,C539,$A:$A,A539-1,$G:$G,"Night")&gt;0),"Rest &lt;12h after night shift",""),IF(J539&gt;5,"Meal interval required","")))</f>
        <v>#NAME?</v>
      </c>
      <c r="O539" s="25" t="s">
        <v>112</v>
      </c>
      <c r="P539" s="25"/>
    </row>
    <row r="540" spans="1:16" x14ac:dyDescent="0.35">
      <c r="A540" s="31">
        <f>IF(26+1&lt;=Settings!$B$7,Settings!$B$6+26,"")</f>
        <v>46169</v>
      </c>
      <c r="B540" s="31">
        <f t="shared" si="24"/>
        <v>46167</v>
      </c>
      <c r="C540" s="26" t="str">
        <f>IF(Employees!A20="","",Employees!A20)</f>
        <v/>
      </c>
      <c r="D540" s="26" t="str">
        <f>IF(C540="","",Employees!B20)</f>
        <v/>
      </c>
      <c r="E540" s="26" t="str">
        <f>IF(C540="","",Employees!C20)</f>
        <v/>
      </c>
      <c r="F540" s="26">
        <f>IF(A540="","",MOD(A540-Settings!$B$6,4)+1)</f>
        <v>3</v>
      </c>
      <c r="G540" s="26" t="str">
        <f>IF(C540="","",INDEX(Rotation_Pattern!$B$4:$E$7,F540,MATCH(E540,{"A","B","C","D"},0)))</f>
        <v/>
      </c>
      <c r="H540" s="32" t="str">
        <f t="shared" si="25"/>
        <v/>
      </c>
      <c r="I540" s="32" t="str">
        <f>IF(OR(G540="Off",G540=""),"",H540+TIME(Settings!$B$8,0,0))</f>
        <v/>
      </c>
      <c r="J540" s="26">
        <f>IF(OR(G540="Off",G540=""),0,Settings!$B$8)</f>
        <v>0</v>
      </c>
      <c r="K540" s="25" t="s">
        <v>111</v>
      </c>
      <c r="L540" s="26" t="str">
        <f>IF(A540="","",IF(COUNTIF(Public_Holidays!$A$4:$A$80,A540)&gt;0,"Y","N"))</f>
        <v>N</v>
      </c>
      <c r="M540" s="26" t="str">
        <f t="shared" si="26"/>
        <v>N</v>
      </c>
      <c r="N540" s="26" t="e">
        <f ca="1">IF(A540="","",_xludf.TEXTJOIN("; ",TRUE,IF(SUMIFS($J:$J,$C:$C,C540,$B:$B,B540)&gt;Settings!$B$9,"Weekly ordinary hrs &gt;45",""),IF(SUMIFS(Claims!$H:$H,Claims!$C:$C,C540,Claims!$B:$B,B540)&gt;Settings!$B$10,"Weekly OT &gt;10",""),IF(AND(G540&lt;&gt;"Off",COUNTIFS($C:$C,C540,$A:$A,A540-1,$G:$G,"Night")&gt;0),"Rest &lt;12h after night shift",""),IF(J540&gt;5,"Meal interval required","")))</f>
        <v>#NAME?</v>
      </c>
      <c r="O540" s="25" t="s">
        <v>112</v>
      </c>
      <c r="P540" s="25"/>
    </row>
    <row r="541" spans="1:16" x14ac:dyDescent="0.35">
      <c r="A541" s="31">
        <f>IF(26+1&lt;=Settings!$B$7,Settings!$B$6+26,"")</f>
        <v>46169</v>
      </c>
      <c r="B541" s="31">
        <f t="shared" si="24"/>
        <v>46167</v>
      </c>
      <c r="C541" s="26" t="str">
        <f>IF(Employees!A21="","",Employees!A21)</f>
        <v/>
      </c>
      <c r="D541" s="26" t="str">
        <f>IF(C541="","",Employees!B21)</f>
        <v/>
      </c>
      <c r="E541" s="26" t="str">
        <f>IF(C541="","",Employees!C21)</f>
        <v/>
      </c>
      <c r="F541" s="26">
        <f>IF(A541="","",MOD(A541-Settings!$B$6,4)+1)</f>
        <v>3</v>
      </c>
      <c r="G541" s="26" t="str">
        <f>IF(C541="","",INDEX(Rotation_Pattern!$B$4:$E$7,F541,MATCH(E541,{"A","B","C","D"},0)))</f>
        <v/>
      </c>
      <c r="H541" s="32" t="str">
        <f t="shared" si="25"/>
        <v/>
      </c>
      <c r="I541" s="32" t="str">
        <f>IF(OR(G541="Off",G541=""),"",H541+TIME(Settings!$B$8,0,0))</f>
        <v/>
      </c>
      <c r="J541" s="26">
        <f>IF(OR(G541="Off",G541=""),0,Settings!$B$8)</f>
        <v>0</v>
      </c>
      <c r="K541" s="25" t="s">
        <v>111</v>
      </c>
      <c r="L541" s="26" t="str">
        <f>IF(A541="","",IF(COUNTIF(Public_Holidays!$A$4:$A$80,A541)&gt;0,"Y","N"))</f>
        <v>N</v>
      </c>
      <c r="M541" s="26" t="str">
        <f t="shared" si="26"/>
        <v>N</v>
      </c>
      <c r="N541" s="26" t="e">
        <f ca="1">IF(A541="","",_xludf.TEXTJOIN("; ",TRUE,IF(SUMIFS($J:$J,$C:$C,C541,$B:$B,B541)&gt;Settings!$B$9,"Weekly ordinary hrs &gt;45",""),IF(SUMIFS(Claims!$H:$H,Claims!$C:$C,C541,Claims!$B:$B,B541)&gt;Settings!$B$10,"Weekly OT &gt;10",""),IF(AND(G541&lt;&gt;"Off",COUNTIFS($C:$C,C541,$A:$A,A541-1,$G:$G,"Night")&gt;0),"Rest &lt;12h after night shift",""),IF(J541&gt;5,"Meal interval required","")))</f>
        <v>#NAME?</v>
      </c>
      <c r="O541" s="25" t="s">
        <v>112</v>
      </c>
      <c r="P541" s="25"/>
    </row>
    <row r="542" spans="1:16" x14ac:dyDescent="0.35">
      <c r="A542" s="31">
        <f>IF(26+1&lt;=Settings!$B$7,Settings!$B$6+26,"")</f>
        <v>46169</v>
      </c>
      <c r="B542" s="31">
        <f t="shared" si="24"/>
        <v>46167</v>
      </c>
      <c r="C542" s="26" t="str">
        <f>IF(Employees!A22="","",Employees!A22)</f>
        <v/>
      </c>
      <c r="D542" s="26" t="str">
        <f>IF(C542="","",Employees!B22)</f>
        <v/>
      </c>
      <c r="E542" s="26" t="str">
        <f>IF(C542="","",Employees!C22)</f>
        <v/>
      </c>
      <c r="F542" s="26">
        <f>IF(A542="","",MOD(A542-Settings!$B$6,4)+1)</f>
        <v>3</v>
      </c>
      <c r="G542" s="26" t="str">
        <f>IF(C542="","",INDEX(Rotation_Pattern!$B$4:$E$7,F542,MATCH(E542,{"A","B","C","D"},0)))</f>
        <v/>
      </c>
      <c r="H542" s="32" t="str">
        <f t="shared" si="25"/>
        <v/>
      </c>
      <c r="I542" s="32" t="str">
        <f>IF(OR(G542="Off",G542=""),"",H542+TIME(Settings!$B$8,0,0))</f>
        <v/>
      </c>
      <c r="J542" s="26">
        <f>IF(OR(G542="Off",G542=""),0,Settings!$B$8)</f>
        <v>0</v>
      </c>
      <c r="K542" s="25" t="s">
        <v>111</v>
      </c>
      <c r="L542" s="26" t="str">
        <f>IF(A542="","",IF(COUNTIF(Public_Holidays!$A$4:$A$80,A542)&gt;0,"Y","N"))</f>
        <v>N</v>
      </c>
      <c r="M542" s="26" t="str">
        <f t="shared" si="26"/>
        <v>N</v>
      </c>
      <c r="N542" s="26" t="e">
        <f ca="1">IF(A542="","",_xludf.TEXTJOIN("; ",TRUE,IF(SUMIFS($J:$J,$C:$C,C542,$B:$B,B542)&gt;Settings!$B$9,"Weekly ordinary hrs &gt;45",""),IF(SUMIFS(Claims!$H:$H,Claims!$C:$C,C542,Claims!$B:$B,B542)&gt;Settings!$B$10,"Weekly OT &gt;10",""),IF(AND(G542&lt;&gt;"Off",COUNTIFS($C:$C,C542,$A:$A,A542-1,$G:$G,"Night")&gt;0),"Rest &lt;12h after night shift",""),IF(J542&gt;5,"Meal interval required","")))</f>
        <v>#NAME?</v>
      </c>
      <c r="O542" s="25" t="s">
        <v>112</v>
      </c>
      <c r="P542" s="25"/>
    </row>
    <row r="543" spans="1:16" x14ac:dyDescent="0.35">
      <c r="A543" s="31">
        <f>IF(26+1&lt;=Settings!$B$7,Settings!$B$6+26,"")</f>
        <v>46169</v>
      </c>
      <c r="B543" s="31">
        <f t="shared" si="24"/>
        <v>46167</v>
      </c>
      <c r="C543" s="26" t="str">
        <f>IF(Employees!A23="","",Employees!A23)</f>
        <v/>
      </c>
      <c r="D543" s="26" t="str">
        <f>IF(C543="","",Employees!B23)</f>
        <v/>
      </c>
      <c r="E543" s="26" t="str">
        <f>IF(C543="","",Employees!C23)</f>
        <v/>
      </c>
      <c r="F543" s="26">
        <f>IF(A543="","",MOD(A543-Settings!$B$6,4)+1)</f>
        <v>3</v>
      </c>
      <c r="G543" s="26" t="str">
        <f>IF(C543="","",INDEX(Rotation_Pattern!$B$4:$E$7,F543,MATCH(E543,{"A","B","C","D"},0)))</f>
        <v/>
      </c>
      <c r="H543" s="32" t="str">
        <f t="shared" si="25"/>
        <v/>
      </c>
      <c r="I543" s="32" t="str">
        <f>IF(OR(G543="Off",G543=""),"",H543+TIME(Settings!$B$8,0,0))</f>
        <v/>
      </c>
      <c r="J543" s="26">
        <f>IF(OR(G543="Off",G543=""),0,Settings!$B$8)</f>
        <v>0</v>
      </c>
      <c r="K543" s="25" t="s">
        <v>111</v>
      </c>
      <c r="L543" s="26" t="str">
        <f>IF(A543="","",IF(COUNTIF(Public_Holidays!$A$4:$A$80,A543)&gt;0,"Y","N"))</f>
        <v>N</v>
      </c>
      <c r="M543" s="26" t="str">
        <f t="shared" si="26"/>
        <v>N</v>
      </c>
      <c r="N543" s="26" t="e">
        <f ca="1">IF(A543="","",_xludf.TEXTJOIN("; ",TRUE,IF(SUMIFS($J:$J,$C:$C,C543,$B:$B,B543)&gt;Settings!$B$9,"Weekly ordinary hrs &gt;45",""),IF(SUMIFS(Claims!$H:$H,Claims!$C:$C,C543,Claims!$B:$B,B543)&gt;Settings!$B$10,"Weekly OT &gt;10",""),IF(AND(G543&lt;&gt;"Off",COUNTIFS($C:$C,C543,$A:$A,A543-1,$G:$G,"Night")&gt;0),"Rest &lt;12h after night shift",""),IF(J543&gt;5,"Meal interval required","")))</f>
        <v>#NAME?</v>
      </c>
      <c r="O543" s="25" t="s">
        <v>112</v>
      </c>
      <c r="P543" s="25"/>
    </row>
    <row r="544" spans="1:16" x14ac:dyDescent="0.35">
      <c r="A544" s="31">
        <f>IF(27+1&lt;=Settings!$B$7,Settings!$B$6+27,"")</f>
        <v>46170</v>
      </c>
      <c r="B544" s="31">
        <f t="shared" si="24"/>
        <v>46167</v>
      </c>
      <c r="C544" s="26" t="str">
        <f>IF(Employees!A4="","",Employees!A4)</f>
        <v>E001</v>
      </c>
      <c r="D544" s="26" t="str">
        <f>IF(C544="","",Employees!B4)</f>
        <v>Musiwa Khavalani</v>
      </c>
      <c r="E544" s="26">
        <f>IF(C544="","",Employees!C4)</f>
        <v>0</v>
      </c>
      <c r="F544" s="26">
        <f>IF(A544="","",MOD(A544-Settings!$B$6,4)+1)</f>
        <v>4</v>
      </c>
      <c r="G544" s="26" t="e">
        <f>IF(C544="","",INDEX(Rotation_Pattern!$B$4:$E$7,F544,MATCH(E544,{"A","B","C","D"},0)))</f>
        <v>#N/A</v>
      </c>
      <c r="H544" s="32" t="e">
        <f t="shared" si="25"/>
        <v>#N/A</v>
      </c>
      <c r="I544" s="32" t="e">
        <f>IF(OR(G544="Off",G544=""),"",H544+TIME(Settings!$B$8,0,0))</f>
        <v>#N/A</v>
      </c>
      <c r="J544" s="26" t="e">
        <f>IF(OR(G544="Off",G544=""),0,Settings!$B$8)</f>
        <v>#N/A</v>
      </c>
      <c r="K544" s="25" t="s">
        <v>111</v>
      </c>
      <c r="L544" s="26" t="str">
        <f>IF(A544="","",IF(COUNTIF(Public_Holidays!$A$4:$A$80,A544)&gt;0,"Y","N"))</f>
        <v>N</v>
      </c>
      <c r="M544" s="26" t="str">
        <f t="shared" si="26"/>
        <v>N</v>
      </c>
      <c r="N544" s="26" t="e">
        <f ca="1">IF(A544="","",_xludf.TEXTJOIN("; ",TRUE,IF(SUMIFS($J:$J,$C:$C,C544,$B:$B,B544)&gt;Settings!$B$9,"Weekly ordinary hrs &gt;45",""),IF(SUMIFS(Claims!$H:$H,Claims!$C:$C,C544,Claims!$B:$B,B544)&gt;Settings!$B$10,"Weekly OT &gt;10",""),IF(AND(G544&lt;&gt;"Off",COUNTIFS($C:$C,C544,$A:$A,A544-1,$G:$G,"Night")&gt;0),"Rest &lt;12h after night shift",""),IF(J544&gt;5,"Meal interval required","")))</f>
        <v>#NAME?</v>
      </c>
      <c r="O544" s="25" t="s">
        <v>112</v>
      </c>
      <c r="P544" s="25"/>
    </row>
    <row r="545" spans="1:16" x14ac:dyDescent="0.35">
      <c r="A545" s="31">
        <f>IF(27+1&lt;=Settings!$B$7,Settings!$B$6+27,"")</f>
        <v>46170</v>
      </c>
      <c r="B545" s="31">
        <f t="shared" si="24"/>
        <v>46167</v>
      </c>
      <c r="C545" s="26" t="str">
        <f>IF(Employees!A5="","",Employees!A5)</f>
        <v>E002</v>
      </c>
      <c r="D545" s="26" t="str">
        <f>IF(C545="","",Employees!B5)</f>
        <v>Mpho  Nembemhia</v>
      </c>
      <c r="E545" s="26" t="str">
        <f>IF(C545="","",Employees!C5)</f>
        <v>B</v>
      </c>
      <c r="F545" s="26">
        <f>IF(A545="","",MOD(A545-Settings!$B$6,4)+1)</f>
        <v>4</v>
      </c>
      <c r="G545" s="26" t="str">
        <f>IF(C545="","",INDEX(Rotation_Pattern!$B$4:$E$7,F545,MATCH(E545,{"A","B","C","D"},0)))</f>
        <v>Night</v>
      </c>
      <c r="H545" s="32">
        <f t="shared" si="25"/>
        <v>0.91666666666666663</v>
      </c>
      <c r="I545" s="32">
        <f>IF(OR(G545="Off",G545=""),"",H545+TIME(Settings!$B$8,0,0))</f>
        <v>1.25</v>
      </c>
      <c r="J545" s="26">
        <f>IF(OR(G545="Off",G545=""),0,Settings!$B$8)</f>
        <v>8</v>
      </c>
      <c r="K545" s="25" t="s">
        <v>111</v>
      </c>
      <c r="L545" s="26" t="str">
        <f>IF(A545="","",IF(COUNTIF(Public_Holidays!$A$4:$A$80,A545)&gt;0,"Y","N"))</f>
        <v>N</v>
      </c>
      <c r="M545" s="26" t="str">
        <f t="shared" si="26"/>
        <v>N</v>
      </c>
      <c r="N545" s="26" t="e">
        <f ca="1">IF(A545="","",_xludf.TEXTJOIN("; ",TRUE,IF(SUMIFS($J:$J,$C:$C,C545,$B:$B,B545)&gt;Settings!$B$9,"Weekly ordinary hrs &gt;45",""),IF(SUMIFS(Claims!$H:$H,Claims!$C:$C,C545,Claims!$B:$B,B545)&gt;Settings!$B$10,"Weekly OT &gt;10",""),IF(AND(G545&lt;&gt;"Off",COUNTIFS($C:$C,C545,$A:$A,A545-1,$G:$G,"Night")&gt;0),"Rest &lt;12h after night shift",""),IF(J545&gt;5,"Meal interval required","")))</f>
        <v>#NAME?</v>
      </c>
      <c r="O545" s="25" t="s">
        <v>112</v>
      </c>
      <c r="P545" s="25"/>
    </row>
    <row r="546" spans="1:16" x14ac:dyDescent="0.35">
      <c r="A546" s="31">
        <f>IF(27+1&lt;=Settings!$B$7,Settings!$B$6+27,"")</f>
        <v>46170</v>
      </c>
      <c r="B546" s="31">
        <f t="shared" si="24"/>
        <v>46167</v>
      </c>
      <c r="C546" s="26" t="str">
        <f>IF(Employees!A6="","",Employees!A6)</f>
        <v>E003</v>
      </c>
      <c r="D546" s="26" t="str">
        <f>IF(C546="","",Employees!B6)</f>
        <v>Dimpho Makhafola</v>
      </c>
      <c r="E546" s="26" t="str">
        <f>IF(C546="","",Employees!C6)</f>
        <v>C</v>
      </c>
      <c r="F546" s="26">
        <f>IF(A546="","",MOD(A546-Settings!$B$6,4)+1)</f>
        <v>4</v>
      </c>
      <c r="G546" s="26" t="str">
        <f>IF(C546="","",INDEX(Rotation_Pattern!$B$4:$E$7,F546,MATCH(E546,{"A","B","C","D"},0)))</f>
        <v>Evening</v>
      </c>
      <c r="H546" s="32">
        <f t="shared" si="25"/>
        <v>0.58333333333333337</v>
      </c>
      <c r="I546" s="32">
        <f>IF(OR(G546="Off",G546=""),"",H546+TIME(Settings!$B$8,0,0))</f>
        <v>0.91666666666666674</v>
      </c>
      <c r="J546" s="26">
        <f>IF(OR(G546="Off",G546=""),0,Settings!$B$8)</f>
        <v>8</v>
      </c>
      <c r="K546" s="25" t="s">
        <v>111</v>
      </c>
      <c r="L546" s="26" t="str">
        <f>IF(A546="","",IF(COUNTIF(Public_Holidays!$A$4:$A$80,A546)&gt;0,"Y","N"))</f>
        <v>N</v>
      </c>
      <c r="M546" s="26" t="str">
        <f t="shared" si="26"/>
        <v>N</v>
      </c>
      <c r="N546" s="26" t="e">
        <f ca="1">IF(A546="","",_xludf.TEXTJOIN("; ",TRUE,IF(SUMIFS($J:$J,$C:$C,C546,$B:$B,B546)&gt;Settings!$B$9,"Weekly ordinary hrs &gt;45",""),IF(SUMIFS(Claims!$H:$H,Claims!$C:$C,C546,Claims!$B:$B,B546)&gt;Settings!$B$10,"Weekly OT &gt;10",""),IF(AND(G546&lt;&gt;"Off",COUNTIFS($C:$C,C546,$A:$A,A546-1,$G:$G,"Night")&gt;0),"Rest &lt;12h after night shift",""),IF(J546&gt;5,"Meal interval required","")))</f>
        <v>#NAME?</v>
      </c>
      <c r="O546" s="25" t="s">
        <v>112</v>
      </c>
      <c r="P546" s="25"/>
    </row>
    <row r="547" spans="1:16" x14ac:dyDescent="0.35">
      <c r="A547" s="31">
        <f>IF(27+1&lt;=Settings!$B$7,Settings!$B$6+27,"")</f>
        <v>46170</v>
      </c>
      <c r="B547" s="31">
        <f t="shared" si="24"/>
        <v>46167</v>
      </c>
      <c r="C547" s="26" t="str">
        <f>IF(Employees!A7="","",Employees!A7)</f>
        <v>E004</v>
      </c>
      <c r="D547" s="26" t="str">
        <f>IF(C547="","",Employees!B7)</f>
        <v>Bashii Fall</v>
      </c>
      <c r="E547" s="26" t="str">
        <f>IF(C547="","",Employees!C7)</f>
        <v>D</v>
      </c>
      <c r="F547" s="26">
        <f>IF(A547="","",MOD(A547-Settings!$B$6,4)+1)</f>
        <v>4</v>
      </c>
      <c r="G547" s="26" t="str">
        <f>IF(C547="","",INDEX(Rotation_Pattern!$B$4:$E$7,F547,MATCH(E547,{"A","B","C","D"},0)))</f>
        <v>Day</v>
      </c>
      <c r="H547" s="32">
        <f t="shared" si="25"/>
        <v>0.25</v>
      </c>
      <c r="I547" s="32">
        <f>IF(OR(G547="Off",G547=""),"",H547+TIME(Settings!$B$8,0,0))</f>
        <v>0.58333333333333326</v>
      </c>
      <c r="J547" s="26">
        <f>IF(OR(G547="Off",G547=""),0,Settings!$B$8)</f>
        <v>8</v>
      </c>
      <c r="K547" s="25" t="s">
        <v>111</v>
      </c>
      <c r="L547" s="26" t="str">
        <f>IF(A547="","",IF(COUNTIF(Public_Holidays!$A$4:$A$80,A547)&gt;0,"Y","N"))</f>
        <v>N</v>
      </c>
      <c r="M547" s="26" t="str">
        <f t="shared" si="26"/>
        <v>N</v>
      </c>
      <c r="N547" s="26" t="e">
        <f ca="1">IF(A547="","",_xludf.TEXTJOIN("; ",TRUE,IF(SUMIFS($J:$J,$C:$C,C547,$B:$B,B547)&gt;Settings!$B$9,"Weekly ordinary hrs &gt;45",""),IF(SUMIFS(Claims!$H:$H,Claims!$C:$C,C547,Claims!$B:$B,B547)&gt;Settings!$B$10,"Weekly OT &gt;10",""),IF(AND(G547&lt;&gt;"Off",COUNTIFS($C:$C,C547,$A:$A,A547-1,$G:$G,"Night")&gt;0),"Rest &lt;12h after night shift",""),IF(J547&gt;5,"Meal interval required","")))</f>
        <v>#NAME?</v>
      </c>
      <c r="O547" s="25" t="s">
        <v>112</v>
      </c>
      <c r="P547" s="25"/>
    </row>
    <row r="548" spans="1:16" x14ac:dyDescent="0.35">
      <c r="A548" s="31">
        <f>IF(27+1&lt;=Settings!$B$7,Settings!$B$6+27,"")</f>
        <v>46170</v>
      </c>
      <c r="B548" s="31">
        <f t="shared" si="24"/>
        <v>46167</v>
      </c>
      <c r="C548" s="26" t="str">
        <f>IF(Employees!A8="","",Employees!A8)</f>
        <v>E005</v>
      </c>
      <c r="D548" s="26" t="str">
        <f>IF(C548="","",Employees!B8)</f>
        <v>Lesego Aphane</v>
      </c>
      <c r="E548" s="26" t="str">
        <f>IF(C548="","",Employees!C8)</f>
        <v>A</v>
      </c>
      <c r="F548" s="26">
        <f>IF(A548="","",MOD(A548-Settings!$B$6,4)+1)</f>
        <v>4</v>
      </c>
      <c r="G548" s="26" t="str">
        <f>IF(C548="","",INDEX(Rotation_Pattern!$B$4:$E$7,F548,MATCH(E548,{"A","B","C","D"},0)))</f>
        <v>Off</v>
      </c>
      <c r="H548" s="32" t="str">
        <f t="shared" si="25"/>
        <v/>
      </c>
      <c r="I548" s="32" t="str">
        <f>IF(OR(G548="Off",G548=""),"",H548+TIME(Settings!$B$8,0,0))</f>
        <v/>
      </c>
      <c r="J548" s="26">
        <f>IF(OR(G548="Off",G548=""),0,Settings!$B$8)</f>
        <v>0</v>
      </c>
      <c r="K548" s="25" t="s">
        <v>111</v>
      </c>
      <c r="L548" s="26" t="str">
        <f>IF(A548="","",IF(COUNTIF(Public_Holidays!$A$4:$A$80,A548)&gt;0,"Y","N"))</f>
        <v>N</v>
      </c>
      <c r="M548" s="26" t="str">
        <f t="shared" si="26"/>
        <v>N</v>
      </c>
      <c r="N548" s="26" t="e">
        <f ca="1">IF(A548="","",_xludf.TEXTJOIN("; ",TRUE,IF(SUMIFS($J:$J,$C:$C,C548,$B:$B,B548)&gt;Settings!$B$9,"Weekly ordinary hrs &gt;45",""),IF(SUMIFS(Claims!$H:$H,Claims!$C:$C,C548,Claims!$B:$B,B548)&gt;Settings!$B$10,"Weekly OT &gt;10",""),IF(AND(G548&lt;&gt;"Off",COUNTIFS($C:$C,C548,$A:$A,A548-1,$G:$G,"Night")&gt;0),"Rest &lt;12h after night shift",""),IF(J548&gt;5,"Meal interval required","")))</f>
        <v>#NAME?</v>
      </c>
      <c r="O548" s="25" t="s">
        <v>112</v>
      </c>
      <c r="P548" s="25"/>
    </row>
    <row r="549" spans="1:16" x14ac:dyDescent="0.35">
      <c r="A549" s="31">
        <f>IF(27+1&lt;=Settings!$B$7,Settings!$B$6+27,"")</f>
        <v>46170</v>
      </c>
      <c r="B549" s="31">
        <f t="shared" si="24"/>
        <v>46167</v>
      </c>
      <c r="C549" s="26" t="str">
        <f>IF(Employees!A9="","",Employees!A9)</f>
        <v>E006</v>
      </c>
      <c r="D549" s="26" t="str">
        <f>IF(C549="","",Employees!B9)</f>
        <v>Nhalnahla</v>
      </c>
      <c r="E549" s="26" t="str">
        <f>IF(C549="","",Employees!C9)</f>
        <v>B</v>
      </c>
      <c r="F549" s="26">
        <f>IF(A549="","",MOD(A549-Settings!$B$6,4)+1)</f>
        <v>4</v>
      </c>
      <c r="G549" s="26" t="str">
        <f>IF(C549="","",INDEX(Rotation_Pattern!$B$4:$E$7,F549,MATCH(E549,{"A","B","C","D"},0)))</f>
        <v>Night</v>
      </c>
      <c r="H549" s="32">
        <f t="shared" si="25"/>
        <v>0.91666666666666663</v>
      </c>
      <c r="I549" s="32">
        <f>IF(OR(G549="Off",G549=""),"",H549+TIME(Settings!$B$8,0,0))</f>
        <v>1.25</v>
      </c>
      <c r="J549" s="26">
        <f>IF(OR(G549="Off",G549=""),0,Settings!$B$8)</f>
        <v>8</v>
      </c>
      <c r="K549" s="25" t="s">
        <v>111</v>
      </c>
      <c r="L549" s="26" t="str">
        <f>IF(A549="","",IF(COUNTIF(Public_Holidays!$A$4:$A$80,A549)&gt;0,"Y","N"))</f>
        <v>N</v>
      </c>
      <c r="M549" s="26" t="str">
        <f t="shared" si="26"/>
        <v>N</v>
      </c>
      <c r="N549" s="26" t="e">
        <f ca="1">IF(A549="","",_xludf.TEXTJOIN("; ",TRUE,IF(SUMIFS($J:$J,$C:$C,C549,$B:$B,B549)&gt;Settings!$B$9,"Weekly ordinary hrs &gt;45",""),IF(SUMIFS(Claims!$H:$H,Claims!$C:$C,C549,Claims!$B:$B,B549)&gt;Settings!$B$10,"Weekly OT &gt;10",""),IF(AND(G549&lt;&gt;"Off",COUNTIFS($C:$C,C549,$A:$A,A549-1,$G:$G,"Night")&gt;0),"Rest &lt;12h after night shift",""),IF(J549&gt;5,"Meal interval required","")))</f>
        <v>#NAME?</v>
      </c>
      <c r="O549" s="25" t="s">
        <v>112</v>
      </c>
      <c r="P549" s="25"/>
    </row>
    <row r="550" spans="1:16" x14ac:dyDescent="0.35">
      <c r="A550" s="31">
        <f>IF(27+1&lt;=Settings!$B$7,Settings!$B$6+27,"")</f>
        <v>46170</v>
      </c>
      <c r="B550" s="31">
        <f t="shared" si="24"/>
        <v>46167</v>
      </c>
      <c r="C550" s="26" t="str">
        <f>IF(Employees!A10="","",Employees!A10)</f>
        <v>E007</v>
      </c>
      <c r="D550" s="26" t="str">
        <f>IF(C550="","",Employees!B10)</f>
        <v>Joe</v>
      </c>
      <c r="E550" s="26" t="str">
        <f>IF(C550="","",Employees!C10)</f>
        <v>C</v>
      </c>
      <c r="F550" s="26">
        <f>IF(A550="","",MOD(A550-Settings!$B$6,4)+1)</f>
        <v>4</v>
      </c>
      <c r="G550" s="26" t="str">
        <f>IF(C550="","",INDEX(Rotation_Pattern!$B$4:$E$7,F550,MATCH(E550,{"A","B","C","D"},0)))</f>
        <v>Evening</v>
      </c>
      <c r="H550" s="32">
        <f t="shared" si="25"/>
        <v>0.58333333333333337</v>
      </c>
      <c r="I550" s="32">
        <f>IF(OR(G550="Off",G550=""),"",H550+TIME(Settings!$B$8,0,0))</f>
        <v>0.91666666666666674</v>
      </c>
      <c r="J550" s="26">
        <f>IF(OR(G550="Off",G550=""),0,Settings!$B$8)</f>
        <v>8</v>
      </c>
      <c r="K550" s="25" t="s">
        <v>111</v>
      </c>
      <c r="L550" s="26" t="str">
        <f>IF(A550="","",IF(COUNTIF(Public_Holidays!$A$4:$A$80,A550)&gt;0,"Y","N"))</f>
        <v>N</v>
      </c>
      <c r="M550" s="26" t="str">
        <f t="shared" si="26"/>
        <v>N</v>
      </c>
      <c r="N550" s="26" t="e">
        <f ca="1">IF(A550="","",_xludf.TEXTJOIN("; ",TRUE,IF(SUMIFS($J:$J,$C:$C,C550,$B:$B,B550)&gt;Settings!$B$9,"Weekly ordinary hrs &gt;45",""),IF(SUMIFS(Claims!$H:$H,Claims!$C:$C,C550,Claims!$B:$B,B550)&gt;Settings!$B$10,"Weekly OT &gt;10",""),IF(AND(G550&lt;&gt;"Off",COUNTIFS($C:$C,C550,$A:$A,A550-1,$G:$G,"Night")&gt;0),"Rest &lt;12h after night shift",""),IF(J550&gt;5,"Meal interval required","")))</f>
        <v>#NAME?</v>
      </c>
      <c r="O550" s="25" t="s">
        <v>112</v>
      </c>
      <c r="P550" s="25"/>
    </row>
    <row r="551" spans="1:16" x14ac:dyDescent="0.35">
      <c r="A551" s="31">
        <f>IF(27+1&lt;=Settings!$B$7,Settings!$B$6+27,"")</f>
        <v>46170</v>
      </c>
      <c r="B551" s="31">
        <f t="shared" si="24"/>
        <v>46167</v>
      </c>
      <c r="C551" s="26" t="str">
        <f>IF(Employees!A11="","",Employees!A11)</f>
        <v>E008</v>
      </c>
      <c r="D551" s="26" t="str">
        <f>IF(C551="","",Employees!B11)</f>
        <v>Tim</v>
      </c>
      <c r="E551" s="26" t="str">
        <f>IF(C551="","",Employees!C11)</f>
        <v>D</v>
      </c>
      <c r="F551" s="26">
        <f>IF(A551="","",MOD(A551-Settings!$B$6,4)+1)</f>
        <v>4</v>
      </c>
      <c r="G551" s="26" t="str">
        <f>IF(C551="","",INDEX(Rotation_Pattern!$B$4:$E$7,F551,MATCH(E551,{"A","B","C","D"},0)))</f>
        <v>Day</v>
      </c>
      <c r="H551" s="32">
        <f t="shared" si="25"/>
        <v>0.25</v>
      </c>
      <c r="I551" s="32">
        <f>IF(OR(G551="Off",G551=""),"",H551+TIME(Settings!$B$8,0,0))</f>
        <v>0.58333333333333326</v>
      </c>
      <c r="J551" s="26">
        <f>IF(OR(G551="Off",G551=""),0,Settings!$B$8)</f>
        <v>8</v>
      </c>
      <c r="K551" s="25" t="s">
        <v>111</v>
      </c>
      <c r="L551" s="26" t="str">
        <f>IF(A551="","",IF(COUNTIF(Public_Holidays!$A$4:$A$80,A551)&gt;0,"Y","N"))</f>
        <v>N</v>
      </c>
      <c r="M551" s="26" t="str">
        <f t="shared" si="26"/>
        <v>N</v>
      </c>
      <c r="N551" s="26" t="e">
        <f ca="1">IF(A551="","",_xludf.TEXTJOIN("; ",TRUE,IF(SUMIFS($J:$J,$C:$C,C551,$B:$B,B551)&gt;Settings!$B$9,"Weekly ordinary hrs &gt;45",""),IF(SUMIFS(Claims!$H:$H,Claims!$C:$C,C551,Claims!$B:$B,B551)&gt;Settings!$B$10,"Weekly OT &gt;10",""),IF(AND(G551&lt;&gt;"Off",COUNTIFS($C:$C,C551,$A:$A,A551-1,$G:$G,"Night")&gt;0),"Rest &lt;12h after night shift",""),IF(J551&gt;5,"Meal interval required","")))</f>
        <v>#NAME?</v>
      </c>
      <c r="O551" s="25" t="s">
        <v>112</v>
      </c>
      <c r="P551" s="25"/>
    </row>
    <row r="552" spans="1:16" x14ac:dyDescent="0.35">
      <c r="A552" s="31">
        <f>IF(27+1&lt;=Settings!$B$7,Settings!$B$6+27,"")</f>
        <v>46170</v>
      </c>
      <c r="B552" s="31">
        <f t="shared" si="24"/>
        <v>46167</v>
      </c>
      <c r="C552" s="26" t="str">
        <f>IF(Employees!A12="","",Employees!A12)</f>
        <v>E009</v>
      </c>
      <c r="D552" s="26" t="str">
        <f>IF(C552="","",Employees!B12)</f>
        <v>Frank</v>
      </c>
      <c r="E552" s="26" t="str">
        <f>IF(C552="","",Employees!C12)</f>
        <v>A</v>
      </c>
      <c r="F552" s="26">
        <f>IF(A552="","",MOD(A552-Settings!$B$6,4)+1)</f>
        <v>4</v>
      </c>
      <c r="G552" s="26" t="str">
        <f>IF(C552="","",INDEX(Rotation_Pattern!$B$4:$E$7,F552,MATCH(E552,{"A","B","C","D"},0)))</f>
        <v>Off</v>
      </c>
      <c r="H552" s="32" t="str">
        <f t="shared" si="25"/>
        <v/>
      </c>
      <c r="I552" s="32" t="str">
        <f>IF(OR(G552="Off",G552=""),"",H552+TIME(Settings!$B$8,0,0))</f>
        <v/>
      </c>
      <c r="J552" s="26">
        <f>IF(OR(G552="Off",G552=""),0,Settings!$B$8)</f>
        <v>0</v>
      </c>
      <c r="K552" s="25" t="s">
        <v>111</v>
      </c>
      <c r="L552" s="26" t="str">
        <f>IF(A552="","",IF(COUNTIF(Public_Holidays!$A$4:$A$80,A552)&gt;0,"Y","N"))</f>
        <v>N</v>
      </c>
      <c r="M552" s="26" t="str">
        <f t="shared" si="26"/>
        <v>N</v>
      </c>
      <c r="N552" s="26" t="e">
        <f ca="1">IF(A552="","",_xludf.TEXTJOIN("; ",TRUE,IF(SUMIFS($J:$J,$C:$C,C552,$B:$B,B552)&gt;Settings!$B$9,"Weekly ordinary hrs &gt;45",""),IF(SUMIFS(Claims!$H:$H,Claims!$C:$C,C552,Claims!$B:$B,B552)&gt;Settings!$B$10,"Weekly OT &gt;10",""),IF(AND(G552&lt;&gt;"Off",COUNTIFS($C:$C,C552,$A:$A,A552-1,$G:$G,"Night")&gt;0),"Rest &lt;12h after night shift",""),IF(J552&gt;5,"Meal interval required","")))</f>
        <v>#NAME?</v>
      </c>
      <c r="O552" s="25" t="s">
        <v>112</v>
      </c>
      <c r="P552" s="25"/>
    </row>
    <row r="553" spans="1:16" x14ac:dyDescent="0.35">
      <c r="A553" s="31">
        <f>IF(27+1&lt;=Settings!$B$7,Settings!$B$6+27,"")</f>
        <v>46170</v>
      </c>
      <c r="B553" s="31">
        <f t="shared" si="24"/>
        <v>46167</v>
      </c>
      <c r="C553" s="26" t="str">
        <f>IF(Employees!A13="","",Employees!A13)</f>
        <v/>
      </c>
      <c r="D553" s="26" t="str">
        <f>IF(C553="","",Employees!B13)</f>
        <v/>
      </c>
      <c r="E553" s="26" t="str">
        <f>IF(C553="","",Employees!C13)</f>
        <v/>
      </c>
      <c r="F553" s="26">
        <f>IF(A553="","",MOD(A553-Settings!$B$6,4)+1)</f>
        <v>4</v>
      </c>
      <c r="G553" s="26" t="str">
        <f>IF(C553="","",INDEX(Rotation_Pattern!$B$4:$E$7,F553,MATCH(E553,{"A","B","C","D"},0)))</f>
        <v/>
      </c>
      <c r="H553" s="32" t="str">
        <f t="shared" si="25"/>
        <v/>
      </c>
      <c r="I553" s="32" t="str">
        <f>IF(OR(G553="Off",G553=""),"",H553+TIME(Settings!$B$8,0,0))</f>
        <v/>
      </c>
      <c r="J553" s="26">
        <f>IF(OR(G553="Off",G553=""),0,Settings!$B$8)</f>
        <v>0</v>
      </c>
      <c r="K553" s="25" t="s">
        <v>111</v>
      </c>
      <c r="L553" s="26" t="str">
        <f>IF(A553="","",IF(COUNTIF(Public_Holidays!$A$4:$A$80,A553)&gt;0,"Y","N"))</f>
        <v>N</v>
      </c>
      <c r="M553" s="26" t="str">
        <f t="shared" si="26"/>
        <v>N</v>
      </c>
      <c r="N553" s="26" t="e">
        <f ca="1">IF(A553="","",_xludf.TEXTJOIN("; ",TRUE,IF(SUMIFS($J:$J,$C:$C,C553,$B:$B,B553)&gt;Settings!$B$9,"Weekly ordinary hrs &gt;45",""),IF(SUMIFS(Claims!$H:$H,Claims!$C:$C,C553,Claims!$B:$B,B553)&gt;Settings!$B$10,"Weekly OT &gt;10",""),IF(AND(G553&lt;&gt;"Off",COUNTIFS($C:$C,C553,$A:$A,A553-1,$G:$G,"Night")&gt;0),"Rest &lt;12h after night shift",""),IF(J553&gt;5,"Meal interval required","")))</f>
        <v>#NAME?</v>
      </c>
      <c r="O553" s="25" t="s">
        <v>112</v>
      </c>
      <c r="P553" s="25"/>
    </row>
    <row r="554" spans="1:16" x14ac:dyDescent="0.35">
      <c r="A554" s="31">
        <f>IF(27+1&lt;=Settings!$B$7,Settings!$B$6+27,"")</f>
        <v>46170</v>
      </c>
      <c r="B554" s="31">
        <f t="shared" si="24"/>
        <v>46167</v>
      </c>
      <c r="C554" s="26" t="str">
        <f>IF(Employees!A14="","",Employees!A14)</f>
        <v/>
      </c>
      <c r="D554" s="26" t="str">
        <f>IF(C554="","",Employees!B14)</f>
        <v/>
      </c>
      <c r="E554" s="26" t="str">
        <f>IF(C554="","",Employees!C14)</f>
        <v/>
      </c>
      <c r="F554" s="26">
        <f>IF(A554="","",MOD(A554-Settings!$B$6,4)+1)</f>
        <v>4</v>
      </c>
      <c r="G554" s="26" t="str">
        <f>IF(C554="","",INDEX(Rotation_Pattern!$B$4:$E$7,F554,MATCH(E554,{"A","B","C","D"},0)))</f>
        <v/>
      </c>
      <c r="H554" s="32" t="str">
        <f t="shared" si="25"/>
        <v/>
      </c>
      <c r="I554" s="32" t="str">
        <f>IF(OR(G554="Off",G554=""),"",H554+TIME(Settings!$B$8,0,0))</f>
        <v/>
      </c>
      <c r="J554" s="26">
        <f>IF(OR(G554="Off",G554=""),0,Settings!$B$8)</f>
        <v>0</v>
      </c>
      <c r="K554" s="25" t="s">
        <v>111</v>
      </c>
      <c r="L554" s="26" t="str">
        <f>IF(A554="","",IF(COUNTIF(Public_Holidays!$A$4:$A$80,A554)&gt;0,"Y","N"))</f>
        <v>N</v>
      </c>
      <c r="M554" s="26" t="str">
        <f t="shared" si="26"/>
        <v>N</v>
      </c>
      <c r="N554" s="26" t="e">
        <f ca="1">IF(A554="","",_xludf.TEXTJOIN("; ",TRUE,IF(SUMIFS($J:$J,$C:$C,C554,$B:$B,B554)&gt;Settings!$B$9,"Weekly ordinary hrs &gt;45",""),IF(SUMIFS(Claims!$H:$H,Claims!$C:$C,C554,Claims!$B:$B,B554)&gt;Settings!$B$10,"Weekly OT &gt;10",""),IF(AND(G554&lt;&gt;"Off",COUNTIFS($C:$C,C554,$A:$A,A554-1,$G:$G,"Night")&gt;0),"Rest &lt;12h after night shift",""),IF(J554&gt;5,"Meal interval required","")))</f>
        <v>#NAME?</v>
      </c>
      <c r="O554" s="25" t="s">
        <v>112</v>
      </c>
      <c r="P554" s="25"/>
    </row>
    <row r="555" spans="1:16" x14ac:dyDescent="0.35">
      <c r="A555" s="31">
        <f>IF(27+1&lt;=Settings!$B$7,Settings!$B$6+27,"")</f>
        <v>46170</v>
      </c>
      <c r="B555" s="31">
        <f t="shared" si="24"/>
        <v>46167</v>
      </c>
      <c r="C555" s="26" t="str">
        <f>IF(Employees!A15="","",Employees!A15)</f>
        <v/>
      </c>
      <c r="D555" s="26" t="str">
        <f>IF(C555="","",Employees!B15)</f>
        <v/>
      </c>
      <c r="E555" s="26" t="str">
        <f>IF(C555="","",Employees!C15)</f>
        <v/>
      </c>
      <c r="F555" s="26">
        <f>IF(A555="","",MOD(A555-Settings!$B$6,4)+1)</f>
        <v>4</v>
      </c>
      <c r="G555" s="26" t="str">
        <f>IF(C555="","",INDEX(Rotation_Pattern!$B$4:$E$7,F555,MATCH(E555,{"A","B","C","D"},0)))</f>
        <v/>
      </c>
      <c r="H555" s="32" t="str">
        <f t="shared" si="25"/>
        <v/>
      </c>
      <c r="I555" s="32" t="str">
        <f>IF(OR(G555="Off",G555=""),"",H555+TIME(Settings!$B$8,0,0))</f>
        <v/>
      </c>
      <c r="J555" s="26">
        <f>IF(OR(G555="Off",G555=""),0,Settings!$B$8)</f>
        <v>0</v>
      </c>
      <c r="K555" s="25" t="s">
        <v>111</v>
      </c>
      <c r="L555" s="26" t="str">
        <f>IF(A555="","",IF(COUNTIF(Public_Holidays!$A$4:$A$80,A555)&gt;0,"Y","N"))</f>
        <v>N</v>
      </c>
      <c r="M555" s="26" t="str">
        <f t="shared" si="26"/>
        <v>N</v>
      </c>
      <c r="N555" s="26" t="e">
        <f ca="1">IF(A555="","",_xludf.TEXTJOIN("; ",TRUE,IF(SUMIFS($J:$J,$C:$C,C555,$B:$B,B555)&gt;Settings!$B$9,"Weekly ordinary hrs &gt;45",""),IF(SUMIFS(Claims!$H:$H,Claims!$C:$C,C555,Claims!$B:$B,B555)&gt;Settings!$B$10,"Weekly OT &gt;10",""),IF(AND(G555&lt;&gt;"Off",COUNTIFS($C:$C,C555,$A:$A,A555-1,$G:$G,"Night")&gt;0),"Rest &lt;12h after night shift",""),IF(J555&gt;5,"Meal interval required","")))</f>
        <v>#NAME?</v>
      </c>
      <c r="O555" s="25" t="s">
        <v>112</v>
      </c>
      <c r="P555" s="25"/>
    </row>
    <row r="556" spans="1:16" x14ac:dyDescent="0.35">
      <c r="A556" s="31">
        <f>IF(27+1&lt;=Settings!$B$7,Settings!$B$6+27,"")</f>
        <v>46170</v>
      </c>
      <c r="B556" s="31">
        <f t="shared" si="24"/>
        <v>46167</v>
      </c>
      <c r="C556" s="26" t="str">
        <f>IF(Employees!A16="","",Employees!A16)</f>
        <v/>
      </c>
      <c r="D556" s="26" t="str">
        <f>IF(C556="","",Employees!B16)</f>
        <v/>
      </c>
      <c r="E556" s="26" t="str">
        <f>IF(C556="","",Employees!C16)</f>
        <v/>
      </c>
      <c r="F556" s="26">
        <f>IF(A556="","",MOD(A556-Settings!$B$6,4)+1)</f>
        <v>4</v>
      </c>
      <c r="G556" s="26" t="str">
        <f>IF(C556="","",INDEX(Rotation_Pattern!$B$4:$E$7,F556,MATCH(E556,{"A","B","C","D"},0)))</f>
        <v/>
      </c>
      <c r="H556" s="32" t="str">
        <f t="shared" si="25"/>
        <v/>
      </c>
      <c r="I556" s="32" t="str">
        <f>IF(OR(G556="Off",G556=""),"",H556+TIME(Settings!$B$8,0,0))</f>
        <v/>
      </c>
      <c r="J556" s="26">
        <f>IF(OR(G556="Off",G556=""),0,Settings!$B$8)</f>
        <v>0</v>
      </c>
      <c r="K556" s="25" t="s">
        <v>111</v>
      </c>
      <c r="L556" s="26" t="str">
        <f>IF(A556="","",IF(COUNTIF(Public_Holidays!$A$4:$A$80,A556)&gt;0,"Y","N"))</f>
        <v>N</v>
      </c>
      <c r="M556" s="26" t="str">
        <f t="shared" si="26"/>
        <v>N</v>
      </c>
      <c r="N556" s="26" t="e">
        <f ca="1">IF(A556="","",_xludf.TEXTJOIN("; ",TRUE,IF(SUMIFS($J:$J,$C:$C,C556,$B:$B,B556)&gt;Settings!$B$9,"Weekly ordinary hrs &gt;45",""),IF(SUMIFS(Claims!$H:$H,Claims!$C:$C,C556,Claims!$B:$B,B556)&gt;Settings!$B$10,"Weekly OT &gt;10",""),IF(AND(G556&lt;&gt;"Off",COUNTIFS($C:$C,C556,$A:$A,A556-1,$G:$G,"Night")&gt;0),"Rest &lt;12h after night shift",""),IF(J556&gt;5,"Meal interval required","")))</f>
        <v>#NAME?</v>
      </c>
      <c r="O556" s="25" t="s">
        <v>112</v>
      </c>
      <c r="P556" s="25"/>
    </row>
    <row r="557" spans="1:16" x14ac:dyDescent="0.35">
      <c r="A557" s="31">
        <f>IF(27+1&lt;=Settings!$B$7,Settings!$B$6+27,"")</f>
        <v>46170</v>
      </c>
      <c r="B557" s="31">
        <f t="shared" si="24"/>
        <v>46167</v>
      </c>
      <c r="C557" s="26" t="str">
        <f>IF(Employees!A17="","",Employees!A17)</f>
        <v/>
      </c>
      <c r="D557" s="26" t="str">
        <f>IF(C557="","",Employees!B17)</f>
        <v/>
      </c>
      <c r="E557" s="26" t="str">
        <f>IF(C557="","",Employees!C17)</f>
        <v/>
      </c>
      <c r="F557" s="26">
        <f>IF(A557="","",MOD(A557-Settings!$B$6,4)+1)</f>
        <v>4</v>
      </c>
      <c r="G557" s="26" t="str">
        <f>IF(C557="","",INDEX(Rotation_Pattern!$B$4:$E$7,F557,MATCH(E557,{"A","B","C","D"},0)))</f>
        <v/>
      </c>
      <c r="H557" s="32" t="str">
        <f t="shared" si="25"/>
        <v/>
      </c>
      <c r="I557" s="32" t="str">
        <f>IF(OR(G557="Off",G557=""),"",H557+TIME(Settings!$B$8,0,0))</f>
        <v/>
      </c>
      <c r="J557" s="26">
        <f>IF(OR(G557="Off",G557=""),0,Settings!$B$8)</f>
        <v>0</v>
      </c>
      <c r="K557" s="25" t="s">
        <v>111</v>
      </c>
      <c r="L557" s="26" t="str">
        <f>IF(A557="","",IF(COUNTIF(Public_Holidays!$A$4:$A$80,A557)&gt;0,"Y","N"))</f>
        <v>N</v>
      </c>
      <c r="M557" s="26" t="str">
        <f t="shared" si="26"/>
        <v>N</v>
      </c>
      <c r="N557" s="26" t="e">
        <f ca="1">IF(A557="","",_xludf.TEXTJOIN("; ",TRUE,IF(SUMIFS($J:$J,$C:$C,C557,$B:$B,B557)&gt;Settings!$B$9,"Weekly ordinary hrs &gt;45",""),IF(SUMIFS(Claims!$H:$H,Claims!$C:$C,C557,Claims!$B:$B,B557)&gt;Settings!$B$10,"Weekly OT &gt;10",""),IF(AND(G557&lt;&gt;"Off",COUNTIFS($C:$C,C557,$A:$A,A557-1,$G:$G,"Night")&gt;0),"Rest &lt;12h after night shift",""),IF(J557&gt;5,"Meal interval required","")))</f>
        <v>#NAME?</v>
      </c>
      <c r="O557" s="25" t="s">
        <v>112</v>
      </c>
      <c r="P557" s="25"/>
    </row>
    <row r="558" spans="1:16" x14ac:dyDescent="0.35">
      <c r="A558" s="31">
        <f>IF(27+1&lt;=Settings!$B$7,Settings!$B$6+27,"")</f>
        <v>46170</v>
      </c>
      <c r="B558" s="31">
        <f t="shared" si="24"/>
        <v>46167</v>
      </c>
      <c r="C558" s="26" t="str">
        <f>IF(Employees!A18="","",Employees!A18)</f>
        <v/>
      </c>
      <c r="D558" s="26" t="str">
        <f>IF(C558="","",Employees!B18)</f>
        <v/>
      </c>
      <c r="E558" s="26" t="str">
        <f>IF(C558="","",Employees!C18)</f>
        <v/>
      </c>
      <c r="F558" s="26">
        <f>IF(A558="","",MOD(A558-Settings!$B$6,4)+1)</f>
        <v>4</v>
      </c>
      <c r="G558" s="26" t="str">
        <f>IF(C558="","",INDEX(Rotation_Pattern!$B$4:$E$7,F558,MATCH(E558,{"A","B","C","D"},0)))</f>
        <v/>
      </c>
      <c r="H558" s="32" t="str">
        <f t="shared" si="25"/>
        <v/>
      </c>
      <c r="I558" s="32" t="str">
        <f>IF(OR(G558="Off",G558=""),"",H558+TIME(Settings!$B$8,0,0))</f>
        <v/>
      </c>
      <c r="J558" s="26">
        <f>IF(OR(G558="Off",G558=""),0,Settings!$B$8)</f>
        <v>0</v>
      </c>
      <c r="K558" s="25" t="s">
        <v>111</v>
      </c>
      <c r="L558" s="26" t="str">
        <f>IF(A558="","",IF(COUNTIF(Public_Holidays!$A$4:$A$80,A558)&gt;0,"Y","N"))</f>
        <v>N</v>
      </c>
      <c r="M558" s="26" t="str">
        <f t="shared" si="26"/>
        <v>N</v>
      </c>
      <c r="N558" s="26" t="e">
        <f ca="1">IF(A558="","",_xludf.TEXTJOIN("; ",TRUE,IF(SUMIFS($J:$J,$C:$C,C558,$B:$B,B558)&gt;Settings!$B$9,"Weekly ordinary hrs &gt;45",""),IF(SUMIFS(Claims!$H:$H,Claims!$C:$C,C558,Claims!$B:$B,B558)&gt;Settings!$B$10,"Weekly OT &gt;10",""),IF(AND(G558&lt;&gt;"Off",COUNTIFS($C:$C,C558,$A:$A,A558-1,$G:$G,"Night")&gt;0),"Rest &lt;12h after night shift",""),IF(J558&gt;5,"Meal interval required","")))</f>
        <v>#NAME?</v>
      </c>
      <c r="O558" s="25" t="s">
        <v>112</v>
      </c>
      <c r="P558" s="25"/>
    </row>
    <row r="559" spans="1:16" x14ac:dyDescent="0.35">
      <c r="A559" s="31">
        <f>IF(27+1&lt;=Settings!$B$7,Settings!$B$6+27,"")</f>
        <v>46170</v>
      </c>
      <c r="B559" s="31">
        <f t="shared" si="24"/>
        <v>46167</v>
      </c>
      <c r="C559" s="26" t="str">
        <f>IF(Employees!A19="","",Employees!A19)</f>
        <v/>
      </c>
      <c r="D559" s="26" t="str">
        <f>IF(C559="","",Employees!B19)</f>
        <v/>
      </c>
      <c r="E559" s="26" t="str">
        <f>IF(C559="","",Employees!C19)</f>
        <v/>
      </c>
      <c r="F559" s="26">
        <f>IF(A559="","",MOD(A559-Settings!$B$6,4)+1)</f>
        <v>4</v>
      </c>
      <c r="G559" s="26" t="str">
        <f>IF(C559="","",INDEX(Rotation_Pattern!$B$4:$E$7,F559,MATCH(E559,{"A","B","C","D"},0)))</f>
        <v/>
      </c>
      <c r="H559" s="32" t="str">
        <f t="shared" si="25"/>
        <v/>
      </c>
      <c r="I559" s="32" t="str">
        <f>IF(OR(G559="Off",G559=""),"",H559+TIME(Settings!$B$8,0,0))</f>
        <v/>
      </c>
      <c r="J559" s="26">
        <f>IF(OR(G559="Off",G559=""),0,Settings!$B$8)</f>
        <v>0</v>
      </c>
      <c r="K559" s="25" t="s">
        <v>111</v>
      </c>
      <c r="L559" s="26" t="str">
        <f>IF(A559="","",IF(COUNTIF(Public_Holidays!$A$4:$A$80,A559)&gt;0,"Y","N"))</f>
        <v>N</v>
      </c>
      <c r="M559" s="26" t="str">
        <f t="shared" si="26"/>
        <v>N</v>
      </c>
      <c r="N559" s="26" t="e">
        <f ca="1">IF(A559="","",_xludf.TEXTJOIN("; ",TRUE,IF(SUMIFS($J:$J,$C:$C,C559,$B:$B,B559)&gt;Settings!$B$9,"Weekly ordinary hrs &gt;45",""),IF(SUMIFS(Claims!$H:$H,Claims!$C:$C,C559,Claims!$B:$B,B559)&gt;Settings!$B$10,"Weekly OT &gt;10",""),IF(AND(G559&lt;&gt;"Off",COUNTIFS($C:$C,C559,$A:$A,A559-1,$G:$G,"Night")&gt;0),"Rest &lt;12h after night shift",""),IF(J559&gt;5,"Meal interval required","")))</f>
        <v>#NAME?</v>
      </c>
      <c r="O559" s="25" t="s">
        <v>112</v>
      </c>
      <c r="P559" s="25"/>
    </row>
    <row r="560" spans="1:16" x14ac:dyDescent="0.35">
      <c r="A560" s="31">
        <f>IF(27+1&lt;=Settings!$B$7,Settings!$B$6+27,"")</f>
        <v>46170</v>
      </c>
      <c r="B560" s="31">
        <f t="shared" si="24"/>
        <v>46167</v>
      </c>
      <c r="C560" s="26" t="str">
        <f>IF(Employees!A20="","",Employees!A20)</f>
        <v/>
      </c>
      <c r="D560" s="26" t="str">
        <f>IF(C560="","",Employees!B20)</f>
        <v/>
      </c>
      <c r="E560" s="26" t="str">
        <f>IF(C560="","",Employees!C20)</f>
        <v/>
      </c>
      <c r="F560" s="26">
        <f>IF(A560="","",MOD(A560-Settings!$B$6,4)+1)</f>
        <v>4</v>
      </c>
      <c r="G560" s="26" t="str">
        <f>IF(C560="","",INDEX(Rotation_Pattern!$B$4:$E$7,F560,MATCH(E560,{"A","B","C","D"},0)))</f>
        <v/>
      </c>
      <c r="H560" s="32" t="str">
        <f t="shared" si="25"/>
        <v/>
      </c>
      <c r="I560" s="32" t="str">
        <f>IF(OR(G560="Off",G560=""),"",H560+TIME(Settings!$B$8,0,0))</f>
        <v/>
      </c>
      <c r="J560" s="26">
        <f>IF(OR(G560="Off",G560=""),0,Settings!$B$8)</f>
        <v>0</v>
      </c>
      <c r="K560" s="25" t="s">
        <v>111</v>
      </c>
      <c r="L560" s="26" t="str">
        <f>IF(A560="","",IF(COUNTIF(Public_Holidays!$A$4:$A$80,A560)&gt;0,"Y","N"))</f>
        <v>N</v>
      </c>
      <c r="M560" s="26" t="str">
        <f t="shared" si="26"/>
        <v>N</v>
      </c>
      <c r="N560" s="26" t="e">
        <f ca="1">IF(A560="","",_xludf.TEXTJOIN("; ",TRUE,IF(SUMIFS($J:$J,$C:$C,C560,$B:$B,B560)&gt;Settings!$B$9,"Weekly ordinary hrs &gt;45",""),IF(SUMIFS(Claims!$H:$H,Claims!$C:$C,C560,Claims!$B:$B,B560)&gt;Settings!$B$10,"Weekly OT &gt;10",""),IF(AND(G560&lt;&gt;"Off",COUNTIFS($C:$C,C560,$A:$A,A560-1,$G:$G,"Night")&gt;0),"Rest &lt;12h after night shift",""),IF(J560&gt;5,"Meal interval required","")))</f>
        <v>#NAME?</v>
      </c>
      <c r="O560" s="25" t="s">
        <v>112</v>
      </c>
      <c r="P560" s="25"/>
    </row>
    <row r="561" spans="1:16" x14ac:dyDescent="0.35">
      <c r="A561" s="31">
        <f>IF(27+1&lt;=Settings!$B$7,Settings!$B$6+27,"")</f>
        <v>46170</v>
      </c>
      <c r="B561" s="31">
        <f t="shared" si="24"/>
        <v>46167</v>
      </c>
      <c r="C561" s="26" t="str">
        <f>IF(Employees!A21="","",Employees!A21)</f>
        <v/>
      </c>
      <c r="D561" s="26" t="str">
        <f>IF(C561="","",Employees!B21)</f>
        <v/>
      </c>
      <c r="E561" s="26" t="str">
        <f>IF(C561="","",Employees!C21)</f>
        <v/>
      </c>
      <c r="F561" s="26">
        <f>IF(A561="","",MOD(A561-Settings!$B$6,4)+1)</f>
        <v>4</v>
      </c>
      <c r="G561" s="26" t="str">
        <f>IF(C561="","",INDEX(Rotation_Pattern!$B$4:$E$7,F561,MATCH(E561,{"A","B","C","D"},0)))</f>
        <v/>
      </c>
      <c r="H561" s="32" t="str">
        <f t="shared" si="25"/>
        <v/>
      </c>
      <c r="I561" s="32" t="str">
        <f>IF(OR(G561="Off",G561=""),"",H561+TIME(Settings!$B$8,0,0))</f>
        <v/>
      </c>
      <c r="J561" s="26">
        <f>IF(OR(G561="Off",G561=""),0,Settings!$B$8)</f>
        <v>0</v>
      </c>
      <c r="K561" s="25" t="s">
        <v>111</v>
      </c>
      <c r="L561" s="26" t="str">
        <f>IF(A561="","",IF(COUNTIF(Public_Holidays!$A$4:$A$80,A561)&gt;0,"Y","N"))</f>
        <v>N</v>
      </c>
      <c r="M561" s="26" t="str">
        <f t="shared" si="26"/>
        <v>N</v>
      </c>
      <c r="N561" s="26" t="e">
        <f ca="1">IF(A561="","",_xludf.TEXTJOIN("; ",TRUE,IF(SUMIFS($J:$J,$C:$C,C561,$B:$B,B561)&gt;Settings!$B$9,"Weekly ordinary hrs &gt;45",""),IF(SUMIFS(Claims!$H:$H,Claims!$C:$C,C561,Claims!$B:$B,B561)&gt;Settings!$B$10,"Weekly OT &gt;10",""),IF(AND(G561&lt;&gt;"Off",COUNTIFS($C:$C,C561,$A:$A,A561-1,$G:$G,"Night")&gt;0),"Rest &lt;12h after night shift",""),IF(J561&gt;5,"Meal interval required","")))</f>
        <v>#NAME?</v>
      </c>
      <c r="O561" s="25" t="s">
        <v>112</v>
      </c>
      <c r="P561" s="25"/>
    </row>
    <row r="562" spans="1:16" x14ac:dyDescent="0.35">
      <c r="A562" s="31">
        <f>IF(27+1&lt;=Settings!$B$7,Settings!$B$6+27,"")</f>
        <v>46170</v>
      </c>
      <c r="B562" s="31">
        <f t="shared" si="24"/>
        <v>46167</v>
      </c>
      <c r="C562" s="26" t="str">
        <f>IF(Employees!A22="","",Employees!A22)</f>
        <v/>
      </c>
      <c r="D562" s="26" t="str">
        <f>IF(C562="","",Employees!B22)</f>
        <v/>
      </c>
      <c r="E562" s="26" t="str">
        <f>IF(C562="","",Employees!C22)</f>
        <v/>
      </c>
      <c r="F562" s="26">
        <f>IF(A562="","",MOD(A562-Settings!$B$6,4)+1)</f>
        <v>4</v>
      </c>
      <c r="G562" s="26" t="str">
        <f>IF(C562="","",INDEX(Rotation_Pattern!$B$4:$E$7,F562,MATCH(E562,{"A","B","C","D"},0)))</f>
        <v/>
      </c>
      <c r="H562" s="32" t="str">
        <f t="shared" si="25"/>
        <v/>
      </c>
      <c r="I562" s="32" t="str">
        <f>IF(OR(G562="Off",G562=""),"",H562+TIME(Settings!$B$8,0,0))</f>
        <v/>
      </c>
      <c r="J562" s="26">
        <f>IF(OR(G562="Off",G562=""),0,Settings!$B$8)</f>
        <v>0</v>
      </c>
      <c r="K562" s="25" t="s">
        <v>111</v>
      </c>
      <c r="L562" s="26" t="str">
        <f>IF(A562="","",IF(COUNTIF(Public_Holidays!$A$4:$A$80,A562)&gt;0,"Y","N"))</f>
        <v>N</v>
      </c>
      <c r="M562" s="26" t="str">
        <f t="shared" si="26"/>
        <v>N</v>
      </c>
      <c r="N562" s="26" t="e">
        <f ca="1">IF(A562="","",_xludf.TEXTJOIN("; ",TRUE,IF(SUMIFS($J:$J,$C:$C,C562,$B:$B,B562)&gt;Settings!$B$9,"Weekly ordinary hrs &gt;45",""),IF(SUMIFS(Claims!$H:$H,Claims!$C:$C,C562,Claims!$B:$B,B562)&gt;Settings!$B$10,"Weekly OT &gt;10",""),IF(AND(G562&lt;&gt;"Off",COUNTIFS($C:$C,C562,$A:$A,A562-1,$G:$G,"Night")&gt;0),"Rest &lt;12h after night shift",""),IF(J562&gt;5,"Meal interval required","")))</f>
        <v>#NAME?</v>
      </c>
      <c r="O562" s="25" t="s">
        <v>112</v>
      </c>
      <c r="P562" s="25"/>
    </row>
    <row r="563" spans="1:16" x14ac:dyDescent="0.35">
      <c r="A563" s="31">
        <f>IF(27+1&lt;=Settings!$B$7,Settings!$B$6+27,"")</f>
        <v>46170</v>
      </c>
      <c r="B563" s="31">
        <f t="shared" si="24"/>
        <v>46167</v>
      </c>
      <c r="C563" s="26" t="str">
        <f>IF(Employees!A23="","",Employees!A23)</f>
        <v/>
      </c>
      <c r="D563" s="26" t="str">
        <f>IF(C563="","",Employees!B23)</f>
        <v/>
      </c>
      <c r="E563" s="26" t="str">
        <f>IF(C563="","",Employees!C23)</f>
        <v/>
      </c>
      <c r="F563" s="26">
        <f>IF(A563="","",MOD(A563-Settings!$B$6,4)+1)</f>
        <v>4</v>
      </c>
      <c r="G563" s="26" t="str">
        <f>IF(C563="","",INDEX(Rotation_Pattern!$B$4:$E$7,F563,MATCH(E563,{"A","B","C","D"},0)))</f>
        <v/>
      </c>
      <c r="H563" s="32" t="str">
        <f t="shared" si="25"/>
        <v/>
      </c>
      <c r="I563" s="32" t="str">
        <f>IF(OR(G563="Off",G563=""),"",H563+TIME(Settings!$B$8,0,0))</f>
        <v/>
      </c>
      <c r="J563" s="26">
        <f>IF(OR(G563="Off",G563=""),0,Settings!$B$8)</f>
        <v>0</v>
      </c>
      <c r="K563" s="25" t="s">
        <v>111</v>
      </c>
      <c r="L563" s="26" t="str">
        <f>IF(A563="","",IF(COUNTIF(Public_Holidays!$A$4:$A$80,A563)&gt;0,"Y","N"))</f>
        <v>N</v>
      </c>
      <c r="M563" s="26" t="str">
        <f t="shared" si="26"/>
        <v>N</v>
      </c>
      <c r="N563" s="26" t="e">
        <f ca="1">IF(A563="","",_xludf.TEXTJOIN("; ",TRUE,IF(SUMIFS($J:$J,$C:$C,C563,$B:$B,B563)&gt;Settings!$B$9,"Weekly ordinary hrs &gt;45",""),IF(SUMIFS(Claims!$H:$H,Claims!$C:$C,C563,Claims!$B:$B,B563)&gt;Settings!$B$10,"Weekly OT &gt;10",""),IF(AND(G563&lt;&gt;"Off",COUNTIFS($C:$C,C563,$A:$A,A563-1,$G:$G,"Night")&gt;0),"Rest &lt;12h after night shift",""),IF(J563&gt;5,"Meal interval required","")))</f>
        <v>#NAME?</v>
      </c>
      <c r="O563" s="25" t="s">
        <v>112</v>
      </c>
      <c r="P563" s="25"/>
    </row>
    <row r="564" spans="1:16" x14ac:dyDescent="0.35">
      <c r="A564" s="31">
        <f>IF(28+1&lt;=Settings!$B$7,Settings!$B$6+28,"")</f>
        <v>46171</v>
      </c>
      <c r="B564" s="31">
        <f t="shared" si="24"/>
        <v>46167</v>
      </c>
      <c r="C564" s="26" t="str">
        <f>IF(Employees!A4="","",Employees!A4)</f>
        <v>E001</v>
      </c>
      <c r="D564" s="26" t="str">
        <f>IF(C564="","",Employees!B4)</f>
        <v>Musiwa Khavalani</v>
      </c>
      <c r="E564" s="26">
        <f>IF(C564="","",Employees!C4)</f>
        <v>0</v>
      </c>
      <c r="F564" s="26">
        <f>IF(A564="","",MOD(A564-Settings!$B$6,4)+1)</f>
        <v>1</v>
      </c>
      <c r="G564" s="26" t="e">
        <f>IF(C564="","",INDEX(Rotation_Pattern!$B$4:$E$7,F564,MATCH(E564,{"A","B","C","D"},0)))</f>
        <v>#N/A</v>
      </c>
      <c r="H564" s="32" t="e">
        <f t="shared" si="25"/>
        <v>#N/A</v>
      </c>
      <c r="I564" s="32" t="e">
        <f>IF(OR(G564="Off",G564=""),"",H564+TIME(Settings!$B$8,0,0))</f>
        <v>#N/A</v>
      </c>
      <c r="J564" s="26" t="e">
        <f>IF(OR(G564="Off",G564=""),0,Settings!$B$8)</f>
        <v>#N/A</v>
      </c>
      <c r="K564" s="25" t="s">
        <v>111</v>
      </c>
      <c r="L564" s="26" t="str">
        <f>IF(A564="","",IF(COUNTIF(Public_Holidays!$A$4:$A$80,A564)&gt;0,"Y","N"))</f>
        <v>N</v>
      </c>
      <c r="M564" s="26" t="str">
        <f t="shared" si="26"/>
        <v>N</v>
      </c>
      <c r="N564" s="26" t="e">
        <f ca="1">IF(A564="","",_xludf.TEXTJOIN("; ",TRUE,IF(SUMIFS($J:$J,$C:$C,C564,$B:$B,B564)&gt;Settings!$B$9,"Weekly ordinary hrs &gt;45",""),IF(SUMIFS(Claims!$H:$H,Claims!$C:$C,C564,Claims!$B:$B,B564)&gt;Settings!$B$10,"Weekly OT &gt;10",""),IF(AND(G564&lt;&gt;"Off",COUNTIFS($C:$C,C564,$A:$A,A564-1,$G:$G,"Night")&gt;0),"Rest &lt;12h after night shift",""),IF(J564&gt;5,"Meal interval required","")))</f>
        <v>#NAME?</v>
      </c>
      <c r="O564" s="25" t="s">
        <v>112</v>
      </c>
      <c r="P564" s="25"/>
    </row>
    <row r="565" spans="1:16" x14ac:dyDescent="0.35">
      <c r="A565" s="31">
        <f>IF(28+1&lt;=Settings!$B$7,Settings!$B$6+28,"")</f>
        <v>46171</v>
      </c>
      <c r="B565" s="31">
        <f t="shared" si="24"/>
        <v>46167</v>
      </c>
      <c r="C565" s="26" t="str">
        <f>IF(Employees!A5="","",Employees!A5)</f>
        <v>E002</v>
      </c>
      <c r="D565" s="26" t="str">
        <f>IF(C565="","",Employees!B5)</f>
        <v>Mpho  Nembemhia</v>
      </c>
      <c r="E565" s="26" t="str">
        <f>IF(C565="","",Employees!C5)</f>
        <v>B</v>
      </c>
      <c r="F565" s="26">
        <f>IF(A565="","",MOD(A565-Settings!$B$6,4)+1)</f>
        <v>1</v>
      </c>
      <c r="G565" s="26" t="str">
        <f>IF(C565="","",INDEX(Rotation_Pattern!$B$4:$E$7,F565,MATCH(E565,{"A","B","C","D"},0)))</f>
        <v>Off</v>
      </c>
      <c r="H565" s="32" t="str">
        <f t="shared" si="25"/>
        <v/>
      </c>
      <c r="I565" s="32" t="str">
        <f>IF(OR(G565="Off",G565=""),"",H565+TIME(Settings!$B$8,0,0))</f>
        <v/>
      </c>
      <c r="J565" s="26">
        <f>IF(OR(G565="Off",G565=""),0,Settings!$B$8)</f>
        <v>0</v>
      </c>
      <c r="K565" s="25" t="s">
        <v>111</v>
      </c>
      <c r="L565" s="26" t="str">
        <f>IF(A565="","",IF(COUNTIF(Public_Holidays!$A$4:$A$80,A565)&gt;0,"Y","N"))</f>
        <v>N</v>
      </c>
      <c r="M565" s="26" t="str">
        <f t="shared" si="26"/>
        <v>N</v>
      </c>
      <c r="N565" s="26" t="e">
        <f ca="1">IF(A565="","",_xludf.TEXTJOIN("; ",TRUE,IF(SUMIFS($J:$J,$C:$C,C565,$B:$B,B565)&gt;Settings!$B$9,"Weekly ordinary hrs &gt;45",""),IF(SUMIFS(Claims!$H:$H,Claims!$C:$C,C565,Claims!$B:$B,B565)&gt;Settings!$B$10,"Weekly OT &gt;10",""),IF(AND(G565&lt;&gt;"Off",COUNTIFS($C:$C,C565,$A:$A,A565-1,$G:$G,"Night")&gt;0),"Rest &lt;12h after night shift",""),IF(J565&gt;5,"Meal interval required","")))</f>
        <v>#NAME?</v>
      </c>
      <c r="O565" s="25" t="s">
        <v>112</v>
      </c>
      <c r="P565" s="25"/>
    </row>
    <row r="566" spans="1:16" x14ac:dyDescent="0.35">
      <c r="A566" s="31">
        <f>IF(28+1&lt;=Settings!$B$7,Settings!$B$6+28,"")</f>
        <v>46171</v>
      </c>
      <c r="B566" s="31">
        <f t="shared" si="24"/>
        <v>46167</v>
      </c>
      <c r="C566" s="26" t="str">
        <f>IF(Employees!A6="","",Employees!A6)</f>
        <v>E003</v>
      </c>
      <c r="D566" s="26" t="str">
        <f>IF(C566="","",Employees!B6)</f>
        <v>Dimpho Makhafola</v>
      </c>
      <c r="E566" s="26" t="str">
        <f>IF(C566="","",Employees!C6)</f>
        <v>C</v>
      </c>
      <c r="F566" s="26">
        <f>IF(A566="","",MOD(A566-Settings!$B$6,4)+1)</f>
        <v>1</v>
      </c>
      <c r="G566" s="26" t="str">
        <f>IF(C566="","",INDEX(Rotation_Pattern!$B$4:$E$7,F566,MATCH(E566,{"A","B","C","D"},0)))</f>
        <v>Evening</v>
      </c>
      <c r="H566" s="32">
        <f t="shared" si="25"/>
        <v>0.58333333333333337</v>
      </c>
      <c r="I566" s="32">
        <f>IF(OR(G566="Off",G566=""),"",H566+TIME(Settings!$B$8,0,0))</f>
        <v>0.91666666666666674</v>
      </c>
      <c r="J566" s="26">
        <f>IF(OR(G566="Off",G566=""),0,Settings!$B$8)</f>
        <v>8</v>
      </c>
      <c r="K566" s="25" t="s">
        <v>111</v>
      </c>
      <c r="L566" s="26" t="str">
        <f>IF(A566="","",IF(COUNTIF(Public_Holidays!$A$4:$A$80,A566)&gt;0,"Y","N"))</f>
        <v>N</v>
      </c>
      <c r="M566" s="26" t="str">
        <f t="shared" si="26"/>
        <v>N</v>
      </c>
      <c r="N566" s="26" t="e">
        <f ca="1">IF(A566="","",_xludf.TEXTJOIN("; ",TRUE,IF(SUMIFS($J:$J,$C:$C,C566,$B:$B,B566)&gt;Settings!$B$9,"Weekly ordinary hrs &gt;45",""),IF(SUMIFS(Claims!$H:$H,Claims!$C:$C,C566,Claims!$B:$B,B566)&gt;Settings!$B$10,"Weekly OT &gt;10",""),IF(AND(G566&lt;&gt;"Off",COUNTIFS($C:$C,C566,$A:$A,A566-1,$G:$G,"Night")&gt;0),"Rest &lt;12h after night shift",""),IF(J566&gt;5,"Meal interval required","")))</f>
        <v>#NAME?</v>
      </c>
      <c r="O566" s="25" t="s">
        <v>112</v>
      </c>
      <c r="P566" s="25"/>
    </row>
    <row r="567" spans="1:16" x14ac:dyDescent="0.35">
      <c r="A567" s="31">
        <f>IF(28+1&lt;=Settings!$B$7,Settings!$B$6+28,"")</f>
        <v>46171</v>
      </c>
      <c r="B567" s="31">
        <f t="shared" si="24"/>
        <v>46167</v>
      </c>
      <c r="C567" s="26" t="str">
        <f>IF(Employees!A7="","",Employees!A7)</f>
        <v>E004</v>
      </c>
      <c r="D567" s="26" t="str">
        <f>IF(C567="","",Employees!B7)</f>
        <v>Bashii Fall</v>
      </c>
      <c r="E567" s="26" t="str">
        <f>IF(C567="","",Employees!C7)</f>
        <v>D</v>
      </c>
      <c r="F567" s="26">
        <f>IF(A567="","",MOD(A567-Settings!$B$6,4)+1)</f>
        <v>1</v>
      </c>
      <c r="G567" s="26" t="str">
        <f>IF(C567="","",INDEX(Rotation_Pattern!$B$4:$E$7,F567,MATCH(E567,{"A","B","C","D"},0)))</f>
        <v>Night</v>
      </c>
      <c r="H567" s="32">
        <f t="shared" si="25"/>
        <v>0.91666666666666663</v>
      </c>
      <c r="I567" s="32">
        <f>IF(OR(G567="Off",G567=""),"",H567+TIME(Settings!$B$8,0,0))</f>
        <v>1.25</v>
      </c>
      <c r="J567" s="26">
        <f>IF(OR(G567="Off",G567=""),0,Settings!$B$8)</f>
        <v>8</v>
      </c>
      <c r="K567" s="25" t="s">
        <v>111</v>
      </c>
      <c r="L567" s="26" t="str">
        <f>IF(A567="","",IF(COUNTIF(Public_Holidays!$A$4:$A$80,A567)&gt;0,"Y","N"))</f>
        <v>N</v>
      </c>
      <c r="M567" s="26" t="str">
        <f t="shared" si="26"/>
        <v>N</v>
      </c>
      <c r="N567" s="26" t="e">
        <f ca="1">IF(A567="","",_xludf.TEXTJOIN("; ",TRUE,IF(SUMIFS($J:$J,$C:$C,C567,$B:$B,B567)&gt;Settings!$B$9,"Weekly ordinary hrs &gt;45",""),IF(SUMIFS(Claims!$H:$H,Claims!$C:$C,C567,Claims!$B:$B,B567)&gt;Settings!$B$10,"Weekly OT &gt;10",""),IF(AND(G567&lt;&gt;"Off",COUNTIFS($C:$C,C567,$A:$A,A567-1,$G:$G,"Night")&gt;0),"Rest &lt;12h after night shift",""),IF(J567&gt;5,"Meal interval required","")))</f>
        <v>#NAME?</v>
      </c>
      <c r="O567" s="25" t="s">
        <v>112</v>
      </c>
      <c r="P567" s="25"/>
    </row>
    <row r="568" spans="1:16" x14ac:dyDescent="0.35">
      <c r="A568" s="31">
        <f>IF(28+1&lt;=Settings!$B$7,Settings!$B$6+28,"")</f>
        <v>46171</v>
      </c>
      <c r="B568" s="31">
        <f t="shared" si="24"/>
        <v>46167</v>
      </c>
      <c r="C568" s="26" t="str">
        <f>IF(Employees!A8="","",Employees!A8)</f>
        <v>E005</v>
      </c>
      <c r="D568" s="26" t="str">
        <f>IF(C568="","",Employees!B8)</f>
        <v>Lesego Aphane</v>
      </c>
      <c r="E568" s="26" t="str">
        <f>IF(C568="","",Employees!C8)</f>
        <v>A</v>
      </c>
      <c r="F568" s="26">
        <f>IF(A568="","",MOD(A568-Settings!$B$6,4)+1)</f>
        <v>1</v>
      </c>
      <c r="G568" s="26" t="str">
        <f>IF(C568="","",INDEX(Rotation_Pattern!$B$4:$E$7,F568,MATCH(E568,{"A","B","C","D"},0)))</f>
        <v>Day</v>
      </c>
      <c r="H568" s="32">
        <f t="shared" si="25"/>
        <v>0.25</v>
      </c>
      <c r="I568" s="32">
        <f>IF(OR(G568="Off",G568=""),"",H568+TIME(Settings!$B$8,0,0))</f>
        <v>0.58333333333333326</v>
      </c>
      <c r="J568" s="26">
        <f>IF(OR(G568="Off",G568=""),0,Settings!$B$8)</f>
        <v>8</v>
      </c>
      <c r="K568" s="25" t="s">
        <v>111</v>
      </c>
      <c r="L568" s="26" t="str">
        <f>IF(A568="","",IF(COUNTIF(Public_Holidays!$A$4:$A$80,A568)&gt;0,"Y","N"))</f>
        <v>N</v>
      </c>
      <c r="M568" s="26" t="str">
        <f t="shared" si="26"/>
        <v>N</v>
      </c>
      <c r="N568" s="26" t="e">
        <f ca="1">IF(A568="","",_xludf.TEXTJOIN("; ",TRUE,IF(SUMIFS($J:$J,$C:$C,C568,$B:$B,B568)&gt;Settings!$B$9,"Weekly ordinary hrs &gt;45",""),IF(SUMIFS(Claims!$H:$H,Claims!$C:$C,C568,Claims!$B:$B,B568)&gt;Settings!$B$10,"Weekly OT &gt;10",""),IF(AND(G568&lt;&gt;"Off",COUNTIFS($C:$C,C568,$A:$A,A568-1,$G:$G,"Night")&gt;0),"Rest &lt;12h after night shift",""),IF(J568&gt;5,"Meal interval required","")))</f>
        <v>#NAME?</v>
      </c>
      <c r="O568" s="25" t="s">
        <v>112</v>
      </c>
      <c r="P568" s="25"/>
    </row>
    <row r="569" spans="1:16" x14ac:dyDescent="0.35">
      <c r="A569" s="31">
        <f>IF(28+1&lt;=Settings!$B$7,Settings!$B$6+28,"")</f>
        <v>46171</v>
      </c>
      <c r="B569" s="31">
        <f t="shared" si="24"/>
        <v>46167</v>
      </c>
      <c r="C569" s="26" t="str">
        <f>IF(Employees!A9="","",Employees!A9)</f>
        <v>E006</v>
      </c>
      <c r="D569" s="26" t="str">
        <f>IF(C569="","",Employees!B9)</f>
        <v>Nhalnahla</v>
      </c>
      <c r="E569" s="26" t="str">
        <f>IF(C569="","",Employees!C9)</f>
        <v>B</v>
      </c>
      <c r="F569" s="26">
        <f>IF(A569="","",MOD(A569-Settings!$B$6,4)+1)</f>
        <v>1</v>
      </c>
      <c r="G569" s="26" t="str">
        <f>IF(C569="","",INDEX(Rotation_Pattern!$B$4:$E$7,F569,MATCH(E569,{"A","B","C","D"},0)))</f>
        <v>Off</v>
      </c>
      <c r="H569" s="32" t="str">
        <f t="shared" si="25"/>
        <v/>
      </c>
      <c r="I569" s="32" t="str">
        <f>IF(OR(G569="Off",G569=""),"",H569+TIME(Settings!$B$8,0,0))</f>
        <v/>
      </c>
      <c r="J569" s="26">
        <f>IF(OR(G569="Off",G569=""),0,Settings!$B$8)</f>
        <v>0</v>
      </c>
      <c r="K569" s="25" t="s">
        <v>111</v>
      </c>
      <c r="L569" s="26" t="str">
        <f>IF(A569="","",IF(COUNTIF(Public_Holidays!$A$4:$A$80,A569)&gt;0,"Y","N"))</f>
        <v>N</v>
      </c>
      <c r="M569" s="26" t="str">
        <f t="shared" si="26"/>
        <v>N</v>
      </c>
      <c r="N569" s="26" t="e">
        <f ca="1">IF(A569="","",_xludf.TEXTJOIN("; ",TRUE,IF(SUMIFS($J:$J,$C:$C,C569,$B:$B,B569)&gt;Settings!$B$9,"Weekly ordinary hrs &gt;45",""),IF(SUMIFS(Claims!$H:$H,Claims!$C:$C,C569,Claims!$B:$B,B569)&gt;Settings!$B$10,"Weekly OT &gt;10",""),IF(AND(G569&lt;&gt;"Off",COUNTIFS($C:$C,C569,$A:$A,A569-1,$G:$G,"Night")&gt;0),"Rest &lt;12h after night shift",""),IF(J569&gt;5,"Meal interval required","")))</f>
        <v>#NAME?</v>
      </c>
      <c r="O569" s="25" t="s">
        <v>112</v>
      </c>
      <c r="P569" s="25"/>
    </row>
    <row r="570" spans="1:16" x14ac:dyDescent="0.35">
      <c r="A570" s="31">
        <f>IF(28+1&lt;=Settings!$B$7,Settings!$B$6+28,"")</f>
        <v>46171</v>
      </c>
      <c r="B570" s="31">
        <f t="shared" si="24"/>
        <v>46167</v>
      </c>
      <c r="C570" s="26" t="str">
        <f>IF(Employees!A10="","",Employees!A10)</f>
        <v>E007</v>
      </c>
      <c r="D570" s="26" t="str">
        <f>IF(C570="","",Employees!B10)</f>
        <v>Joe</v>
      </c>
      <c r="E570" s="26" t="str">
        <f>IF(C570="","",Employees!C10)</f>
        <v>C</v>
      </c>
      <c r="F570" s="26">
        <f>IF(A570="","",MOD(A570-Settings!$B$6,4)+1)</f>
        <v>1</v>
      </c>
      <c r="G570" s="26" t="str">
        <f>IF(C570="","",INDEX(Rotation_Pattern!$B$4:$E$7,F570,MATCH(E570,{"A","B","C","D"},0)))</f>
        <v>Evening</v>
      </c>
      <c r="H570" s="32">
        <f t="shared" si="25"/>
        <v>0.58333333333333337</v>
      </c>
      <c r="I570" s="32">
        <f>IF(OR(G570="Off",G570=""),"",H570+TIME(Settings!$B$8,0,0))</f>
        <v>0.91666666666666674</v>
      </c>
      <c r="J570" s="26">
        <f>IF(OR(G570="Off",G570=""),0,Settings!$B$8)</f>
        <v>8</v>
      </c>
      <c r="K570" s="25" t="s">
        <v>111</v>
      </c>
      <c r="L570" s="26" t="str">
        <f>IF(A570="","",IF(COUNTIF(Public_Holidays!$A$4:$A$80,A570)&gt;0,"Y","N"))</f>
        <v>N</v>
      </c>
      <c r="M570" s="26" t="str">
        <f t="shared" si="26"/>
        <v>N</v>
      </c>
      <c r="N570" s="26" t="e">
        <f ca="1">IF(A570="","",_xludf.TEXTJOIN("; ",TRUE,IF(SUMIFS($J:$J,$C:$C,C570,$B:$B,B570)&gt;Settings!$B$9,"Weekly ordinary hrs &gt;45",""),IF(SUMIFS(Claims!$H:$H,Claims!$C:$C,C570,Claims!$B:$B,B570)&gt;Settings!$B$10,"Weekly OT &gt;10",""),IF(AND(G570&lt;&gt;"Off",COUNTIFS($C:$C,C570,$A:$A,A570-1,$G:$G,"Night")&gt;0),"Rest &lt;12h after night shift",""),IF(J570&gt;5,"Meal interval required","")))</f>
        <v>#NAME?</v>
      </c>
      <c r="O570" s="25" t="s">
        <v>112</v>
      </c>
      <c r="P570" s="25"/>
    </row>
    <row r="571" spans="1:16" x14ac:dyDescent="0.35">
      <c r="A571" s="31">
        <f>IF(28+1&lt;=Settings!$B$7,Settings!$B$6+28,"")</f>
        <v>46171</v>
      </c>
      <c r="B571" s="31">
        <f t="shared" si="24"/>
        <v>46167</v>
      </c>
      <c r="C571" s="26" t="str">
        <f>IF(Employees!A11="","",Employees!A11)</f>
        <v>E008</v>
      </c>
      <c r="D571" s="26" t="str">
        <f>IF(C571="","",Employees!B11)</f>
        <v>Tim</v>
      </c>
      <c r="E571" s="26" t="str">
        <f>IF(C571="","",Employees!C11)</f>
        <v>D</v>
      </c>
      <c r="F571" s="26">
        <f>IF(A571="","",MOD(A571-Settings!$B$6,4)+1)</f>
        <v>1</v>
      </c>
      <c r="G571" s="26" t="str">
        <f>IF(C571="","",INDEX(Rotation_Pattern!$B$4:$E$7,F571,MATCH(E571,{"A","B","C","D"},0)))</f>
        <v>Night</v>
      </c>
      <c r="H571" s="32">
        <f t="shared" si="25"/>
        <v>0.91666666666666663</v>
      </c>
      <c r="I571" s="32">
        <f>IF(OR(G571="Off",G571=""),"",H571+TIME(Settings!$B$8,0,0))</f>
        <v>1.25</v>
      </c>
      <c r="J571" s="26">
        <f>IF(OR(G571="Off",G571=""),0,Settings!$B$8)</f>
        <v>8</v>
      </c>
      <c r="K571" s="25" t="s">
        <v>111</v>
      </c>
      <c r="L571" s="26" t="str">
        <f>IF(A571="","",IF(COUNTIF(Public_Holidays!$A$4:$A$80,A571)&gt;0,"Y","N"))</f>
        <v>N</v>
      </c>
      <c r="M571" s="26" t="str">
        <f t="shared" si="26"/>
        <v>N</v>
      </c>
      <c r="N571" s="26" t="e">
        <f ca="1">IF(A571="","",_xludf.TEXTJOIN("; ",TRUE,IF(SUMIFS($J:$J,$C:$C,C571,$B:$B,B571)&gt;Settings!$B$9,"Weekly ordinary hrs &gt;45",""),IF(SUMIFS(Claims!$H:$H,Claims!$C:$C,C571,Claims!$B:$B,B571)&gt;Settings!$B$10,"Weekly OT &gt;10",""),IF(AND(G571&lt;&gt;"Off",COUNTIFS($C:$C,C571,$A:$A,A571-1,$G:$G,"Night")&gt;0),"Rest &lt;12h after night shift",""),IF(J571&gt;5,"Meal interval required","")))</f>
        <v>#NAME?</v>
      </c>
      <c r="O571" s="25" t="s">
        <v>112</v>
      </c>
      <c r="P571" s="25"/>
    </row>
    <row r="572" spans="1:16" x14ac:dyDescent="0.35">
      <c r="A572" s="31">
        <f>IF(28+1&lt;=Settings!$B$7,Settings!$B$6+28,"")</f>
        <v>46171</v>
      </c>
      <c r="B572" s="31">
        <f t="shared" si="24"/>
        <v>46167</v>
      </c>
      <c r="C572" s="26" t="str">
        <f>IF(Employees!A12="","",Employees!A12)</f>
        <v>E009</v>
      </c>
      <c r="D572" s="26" t="str">
        <f>IF(C572="","",Employees!B12)</f>
        <v>Frank</v>
      </c>
      <c r="E572" s="26" t="str">
        <f>IF(C572="","",Employees!C12)</f>
        <v>A</v>
      </c>
      <c r="F572" s="26">
        <f>IF(A572="","",MOD(A572-Settings!$B$6,4)+1)</f>
        <v>1</v>
      </c>
      <c r="G572" s="26" t="str">
        <f>IF(C572="","",INDEX(Rotation_Pattern!$B$4:$E$7,F572,MATCH(E572,{"A","B","C","D"},0)))</f>
        <v>Day</v>
      </c>
      <c r="H572" s="32">
        <f t="shared" si="25"/>
        <v>0.25</v>
      </c>
      <c r="I572" s="32">
        <f>IF(OR(G572="Off",G572=""),"",H572+TIME(Settings!$B$8,0,0))</f>
        <v>0.58333333333333326</v>
      </c>
      <c r="J572" s="26">
        <f>IF(OR(G572="Off",G572=""),0,Settings!$B$8)</f>
        <v>8</v>
      </c>
      <c r="K572" s="25" t="s">
        <v>111</v>
      </c>
      <c r="L572" s="26" t="str">
        <f>IF(A572="","",IF(COUNTIF(Public_Holidays!$A$4:$A$80,A572)&gt;0,"Y","N"))</f>
        <v>N</v>
      </c>
      <c r="M572" s="26" t="str">
        <f t="shared" si="26"/>
        <v>N</v>
      </c>
      <c r="N572" s="26" t="e">
        <f ca="1">IF(A572="","",_xludf.TEXTJOIN("; ",TRUE,IF(SUMIFS($J:$J,$C:$C,C572,$B:$B,B572)&gt;Settings!$B$9,"Weekly ordinary hrs &gt;45",""),IF(SUMIFS(Claims!$H:$H,Claims!$C:$C,C572,Claims!$B:$B,B572)&gt;Settings!$B$10,"Weekly OT &gt;10",""),IF(AND(G572&lt;&gt;"Off",COUNTIFS($C:$C,C572,$A:$A,A572-1,$G:$G,"Night")&gt;0),"Rest &lt;12h after night shift",""),IF(J572&gt;5,"Meal interval required","")))</f>
        <v>#NAME?</v>
      </c>
      <c r="O572" s="25" t="s">
        <v>112</v>
      </c>
      <c r="P572" s="25"/>
    </row>
    <row r="573" spans="1:16" x14ac:dyDescent="0.35">
      <c r="A573" s="31">
        <f>IF(28+1&lt;=Settings!$B$7,Settings!$B$6+28,"")</f>
        <v>46171</v>
      </c>
      <c r="B573" s="31">
        <f t="shared" si="24"/>
        <v>46167</v>
      </c>
      <c r="C573" s="26" t="str">
        <f>IF(Employees!A13="","",Employees!A13)</f>
        <v/>
      </c>
      <c r="D573" s="26" t="str">
        <f>IF(C573="","",Employees!B13)</f>
        <v/>
      </c>
      <c r="E573" s="26" t="str">
        <f>IF(C573="","",Employees!C13)</f>
        <v/>
      </c>
      <c r="F573" s="26">
        <f>IF(A573="","",MOD(A573-Settings!$B$6,4)+1)</f>
        <v>1</v>
      </c>
      <c r="G573" s="26" t="str">
        <f>IF(C573="","",INDEX(Rotation_Pattern!$B$4:$E$7,F573,MATCH(E573,{"A","B","C","D"},0)))</f>
        <v/>
      </c>
      <c r="H573" s="32" t="str">
        <f t="shared" si="25"/>
        <v/>
      </c>
      <c r="I573" s="32" t="str">
        <f>IF(OR(G573="Off",G573=""),"",H573+TIME(Settings!$B$8,0,0))</f>
        <v/>
      </c>
      <c r="J573" s="26">
        <f>IF(OR(G573="Off",G573=""),0,Settings!$B$8)</f>
        <v>0</v>
      </c>
      <c r="K573" s="25" t="s">
        <v>111</v>
      </c>
      <c r="L573" s="26" t="str">
        <f>IF(A573="","",IF(COUNTIF(Public_Holidays!$A$4:$A$80,A573)&gt;0,"Y","N"))</f>
        <v>N</v>
      </c>
      <c r="M573" s="26" t="str">
        <f t="shared" si="26"/>
        <v>N</v>
      </c>
      <c r="N573" s="26" t="e">
        <f ca="1">IF(A573="","",_xludf.TEXTJOIN("; ",TRUE,IF(SUMIFS($J:$J,$C:$C,C573,$B:$B,B573)&gt;Settings!$B$9,"Weekly ordinary hrs &gt;45",""),IF(SUMIFS(Claims!$H:$H,Claims!$C:$C,C573,Claims!$B:$B,B573)&gt;Settings!$B$10,"Weekly OT &gt;10",""),IF(AND(G573&lt;&gt;"Off",COUNTIFS($C:$C,C573,$A:$A,A573-1,$G:$G,"Night")&gt;0),"Rest &lt;12h after night shift",""),IF(J573&gt;5,"Meal interval required","")))</f>
        <v>#NAME?</v>
      </c>
      <c r="O573" s="25" t="s">
        <v>112</v>
      </c>
      <c r="P573" s="25"/>
    </row>
    <row r="574" spans="1:16" x14ac:dyDescent="0.35">
      <c r="A574" s="31">
        <f>IF(28+1&lt;=Settings!$B$7,Settings!$B$6+28,"")</f>
        <v>46171</v>
      </c>
      <c r="B574" s="31">
        <f t="shared" si="24"/>
        <v>46167</v>
      </c>
      <c r="C574" s="26" t="str">
        <f>IF(Employees!A14="","",Employees!A14)</f>
        <v/>
      </c>
      <c r="D574" s="26" t="str">
        <f>IF(C574="","",Employees!B14)</f>
        <v/>
      </c>
      <c r="E574" s="26" t="str">
        <f>IF(C574="","",Employees!C14)</f>
        <v/>
      </c>
      <c r="F574" s="26">
        <f>IF(A574="","",MOD(A574-Settings!$B$6,4)+1)</f>
        <v>1</v>
      </c>
      <c r="G574" s="26" t="str">
        <f>IF(C574="","",INDEX(Rotation_Pattern!$B$4:$E$7,F574,MATCH(E574,{"A","B","C","D"},0)))</f>
        <v/>
      </c>
      <c r="H574" s="32" t="str">
        <f t="shared" si="25"/>
        <v/>
      </c>
      <c r="I574" s="32" t="str">
        <f>IF(OR(G574="Off",G574=""),"",H574+TIME(Settings!$B$8,0,0))</f>
        <v/>
      </c>
      <c r="J574" s="26">
        <f>IF(OR(G574="Off",G574=""),0,Settings!$B$8)</f>
        <v>0</v>
      </c>
      <c r="K574" s="25" t="s">
        <v>111</v>
      </c>
      <c r="L574" s="26" t="str">
        <f>IF(A574="","",IF(COUNTIF(Public_Holidays!$A$4:$A$80,A574)&gt;0,"Y","N"))</f>
        <v>N</v>
      </c>
      <c r="M574" s="26" t="str">
        <f t="shared" si="26"/>
        <v>N</v>
      </c>
      <c r="N574" s="26" t="e">
        <f ca="1">IF(A574="","",_xludf.TEXTJOIN("; ",TRUE,IF(SUMIFS($J:$J,$C:$C,C574,$B:$B,B574)&gt;Settings!$B$9,"Weekly ordinary hrs &gt;45",""),IF(SUMIFS(Claims!$H:$H,Claims!$C:$C,C574,Claims!$B:$B,B574)&gt;Settings!$B$10,"Weekly OT &gt;10",""),IF(AND(G574&lt;&gt;"Off",COUNTIFS($C:$C,C574,$A:$A,A574-1,$G:$G,"Night")&gt;0),"Rest &lt;12h after night shift",""),IF(J574&gt;5,"Meal interval required","")))</f>
        <v>#NAME?</v>
      </c>
      <c r="O574" s="25" t="s">
        <v>112</v>
      </c>
      <c r="P574" s="25"/>
    </row>
    <row r="575" spans="1:16" x14ac:dyDescent="0.35">
      <c r="A575" s="31">
        <f>IF(28+1&lt;=Settings!$B$7,Settings!$B$6+28,"")</f>
        <v>46171</v>
      </c>
      <c r="B575" s="31">
        <f t="shared" si="24"/>
        <v>46167</v>
      </c>
      <c r="C575" s="26" t="str">
        <f>IF(Employees!A15="","",Employees!A15)</f>
        <v/>
      </c>
      <c r="D575" s="26" t="str">
        <f>IF(C575="","",Employees!B15)</f>
        <v/>
      </c>
      <c r="E575" s="26" t="str">
        <f>IF(C575="","",Employees!C15)</f>
        <v/>
      </c>
      <c r="F575" s="26">
        <f>IF(A575="","",MOD(A575-Settings!$B$6,4)+1)</f>
        <v>1</v>
      </c>
      <c r="G575" s="26" t="str">
        <f>IF(C575="","",INDEX(Rotation_Pattern!$B$4:$E$7,F575,MATCH(E575,{"A","B","C","D"},0)))</f>
        <v/>
      </c>
      <c r="H575" s="32" t="str">
        <f t="shared" si="25"/>
        <v/>
      </c>
      <c r="I575" s="32" t="str">
        <f>IF(OR(G575="Off",G575=""),"",H575+TIME(Settings!$B$8,0,0))</f>
        <v/>
      </c>
      <c r="J575" s="26">
        <f>IF(OR(G575="Off",G575=""),0,Settings!$B$8)</f>
        <v>0</v>
      </c>
      <c r="K575" s="25" t="s">
        <v>111</v>
      </c>
      <c r="L575" s="26" t="str">
        <f>IF(A575="","",IF(COUNTIF(Public_Holidays!$A$4:$A$80,A575)&gt;0,"Y","N"))</f>
        <v>N</v>
      </c>
      <c r="M575" s="26" t="str">
        <f t="shared" si="26"/>
        <v>N</v>
      </c>
      <c r="N575" s="26" t="e">
        <f ca="1">IF(A575="","",_xludf.TEXTJOIN("; ",TRUE,IF(SUMIFS($J:$J,$C:$C,C575,$B:$B,B575)&gt;Settings!$B$9,"Weekly ordinary hrs &gt;45",""),IF(SUMIFS(Claims!$H:$H,Claims!$C:$C,C575,Claims!$B:$B,B575)&gt;Settings!$B$10,"Weekly OT &gt;10",""),IF(AND(G575&lt;&gt;"Off",COUNTIFS($C:$C,C575,$A:$A,A575-1,$G:$G,"Night")&gt;0),"Rest &lt;12h after night shift",""),IF(J575&gt;5,"Meal interval required","")))</f>
        <v>#NAME?</v>
      </c>
      <c r="O575" s="25" t="s">
        <v>112</v>
      </c>
      <c r="P575" s="25"/>
    </row>
    <row r="576" spans="1:16" x14ac:dyDescent="0.35">
      <c r="A576" s="31">
        <f>IF(28+1&lt;=Settings!$B$7,Settings!$B$6+28,"")</f>
        <v>46171</v>
      </c>
      <c r="B576" s="31">
        <f t="shared" si="24"/>
        <v>46167</v>
      </c>
      <c r="C576" s="26" t="str">
        <f>IF(Employees!A16="","",Employees!A16)</f>
        <v/>
      </c>
      <c r="D576" s="26" t="str">
        <f>IF(C576="","",Employees!B16)</f>
        <v/>
      </c>
      <c r="E576" s="26" t="str">
        <f>IF(C576="","",Employees!C16)</f>
        <v/>
      </c>
      <c r="F576" s="26">
        <f>IF(A576="","",MOD(A576-Settings!$B$6,4)+1)</f>
        <v>1</v>
      </c>
      <c r="G576" s="26" t="str">
        <f>IF(C576="","",INDEX(Rotation_Pattern!$B$4:$E$7,F576,MATCH(E576,{"A","B","C","D"},0)))</f>
        <v/>
      </c>
      <c r="H576" s="32" t="str">
        <f t="shared" si="25"/>
        <v/>
      </c>
      <c r="I576" s="32" t="str">
        <f>IF(OR(G576="Off",G576=""),"",H576+TIME(Settings!$B$8,0,0))</f>
        <v/>
      </c>
      <c r="J576" s="26">
        <f>IF(OR(G576="Off",G576=""),0,Settings!$B$8)</f>
        <v>0</v>
      </c>
      <c r="K576" s="25" t="s">
        <v>111</v>
      </c>
      <c r="L576" s="26" t="str">
        <f>IF(A576="","",IF(COUNTIF(Public_Holidays!$A$4:$A$80,A576)&gt;0,"Y","N"))</f>
        <v>N</v>
      </c>
      <c r="M576" s="26" t="str">
        <f t="shared" si="26"/>
        <v>N</v>
      </c>
      <c r="N576" s="26" t="e">
        <f ca="1">IF(A576="","",_xludf.TEXTJOIN("; ",TRUE,IF(SUMIFS($J:$J,$C:$C,C576,$B:$B,B576)&gt;Settings!$B$9,"Weekly ordinary hrs &gt;45",""),IF(SUMIFS(Claims!$H:$H,Claims!$C:$C,C576,Claims!$B:$B,B576)&gt;Settings!$B$10,"Weekly OT &gt;10",""),IF(AND(G576&lt;&gt;"Off",COUNTIFS($C:$C,C576,$A:$A,A576-1,$G:$G,"Night")&gt;0),"Rest &lt;12h after night shift",""),IF(J576&gt;5,"Meal interval required","")))</f>
        <v>#NAME?</v>
      </c>
      <c r="O576" s="25" t="s">
        <v>112</v>
      </c>
      <c r="P576" s="25"/>
    </row>
    <row r="577" spans="1:16" x14ac:dyDescent="0.35">
      <c r="A577" s="31">
        <f>IF(28+1&lt;=Settings!$B$7,Settings!$B$6+28,"")</f>
        <v>46171</v>
      </c>
      <c r="B577" s="31">
        <f t="shared" si="24"/>
        <v>46167</v>
      </c>
      <c r="C577" s="26" t="str">
        <f>IF(Employees!A17="","",Employees!A17)</f>
        <v/>
      </c>
      <c r="D577" s="26" t="str">
        <f>IF(C577="","",Employees!B17)</f>
        <v/>
      </c>
      <c r="E577" s="26" t="str">
        <f>IF(C577="","",Employees!C17)</f>
        <v/>
      </c>
      <c r="F577" s="26">
        <f>IF(A577="","",MOD(A577-Settings!$B$6,4)+1)</f>
        <v>1</v>
      </c>
      <c r="G577" s="26" t="str">
        <f>IF(C577="","",INDEX(Rotation_Pattern!$B$4:$E$7,F577,MATCH(E577,{"A","B","C","D"},0)))</f>
        <v/>
      </c>
      <c r="H577" s="32" t="str">
        <f t="shared" si="25"/>
        <v/>
      </c>
      <c r="I577" s="32" t="str">
        <f>IF(OR(G577="Off",G577=""),"",H577+TIME(Settings!$B$8,0,0))</f>
        <v/>
      </c>
      <c r="J577" s="26">
        <f>IF(OR(G577="Off",G577=""),0,Settings!$B$8)</f>
        <v>0</v>
      </c>
      <c r="K577" s="25" t="s">
        <v>111</v>
      </c>
      <c r="L577" s="26" t="str">
        <f>IF(A577="","",IF(COUNTIF(Public_Holidays!$A$4:$A$80,A577)&gt;0,"Y","N"))</f>
        <v>N</v>
      </c>
      <c r="M577" s="26" t="str">
        <f t="shared" si="26"/>
        <v>N</v>
      </c>
      <c r="N577" s="26" t="e">
        <f ca="1">IF(A577="","",_xludf.TEXTJOIN("; ",TRUE,IF(SUMIFS($J:$J,$C:$C,C577,$B:$B,B577)&gt;Settings!$B$9,"Weekly ordinary hrs &gt;45",""),IF(SUMIFS(Claims!$H:$H,Claims!$C:$C,C577,Claims!$B:$B,B577)&gt;Settings!$B$10,"Weekly OT &gt;10",""),IF(AND(G577&lt;&gt;"Off",COUNTIFS($C:$C,C577,$A:$A,A577-1,$G:$G,"Night")&gt;0),"Rest &lt;12h after night shift",""),IF(J577&gt;5,"Meal interval required","")))</f>
        <v>#NAME?</v>
      </c>
      <c r="O577" s="25" t="s">
        <v>112</v>
      </c>
      <c r="P577" s="25"/>
    </row>
    <row r="578" spans="1:16" x14ac:dyDescent="0.35">
      <c r="A578" s="31">
        <f>IF(28+1&lt;=Settings!$B$7,Settings!$B$6+28,"")</f>
        <v>46171</v>
      </c>
      <c r="B578" s="31">
        <f t="shared" si="24"/>
        <v>46167</v>
      </c>
      <c r="C578" s="26" t="str">
        <f>IF(Employees!A18="","",Employees!A18)</f>
        <v/>
      </c>
      <c r="D578" s="26" t="str">
        <f>IF(C578="","",Employees!B18)</f>
        <v/>
      </c>
      <c r="E578" s="26" t="str">
        <f>IF(C578="","",Employees!C18)</f>
        <v/>
      </c>
      <c r="F578" s="26">
        <f>IF(A578="","",MOD(A578-Settings!$B$6,4)+1)</f>
        <v>1</v>
      </c>
      <c r="G578" s="26" t="str">
        <f>IF(C578="","",INDEX(Rotation_Pattern!$B$4:$E$7,F578,MATCH(E578,{"A","B","C","D"},0)))</f>
        <v/>
      </c>
      <c r="H578" s="32" t="str">
        <f t="shared" si="25"/>
        <v/>
      </c>
      <c r="I578" s="32" t="str">
        <f>IF(OR(G578="Off",G578=""),"",H578+TIME(Settings!$B$8,0,0))</f>
        <v/>
      </c>
      <c r="J578" s="26">
        <f>IF(OR(G578="Off",G578=""),0,Settings!$B$8)</f>
        <v>0</v>
      </c>
      <c r="K578" s="25" t="s">
        <v>111</v>
      </c>
      <c r="L578" s="26" t="str">
        <f>IF(A578="","",IF(COUNTIF(Public_Holidays!$A$4:$A$80,A578)&gt;0,"Y","N"))</f>
        <v>N</v>
      </c>
      <c r="M578" s="26" t="str">
        <f t="shared" si="26"/>
        <v>N</v>
      </c>
      <c r="N578" s="26" t="e">
        <f ca="1">IF(A578="","",_xludf.TEXTJOIN("; ",TRUE,IF(SUMIFS($J:$J,$C:$C,C578,$B:$B,B578)&gt;Settings!$B$9,"Weekly ordinary hrs &gt;45",""),IF(SUMIFS(Claims!$H:$H,Claims!$C:$C,C578,Claims!$B:$B,B578)&gt;Settings!$B$10,"Weekly OT &gt;10",""),IF(AND(G578&lt;&gt;"Off",COUNTIFS($C:$C,C578,$A:$A,A578-1,$G:$G,"Night")&gt;0),"Rest &lt;12h after night shift",""),IF(J578&gt;5,"Meal interval required","")))</f>
        <v>#NAME?</v>
      </c>
      <c r="O578" s="25" t="s">
        <v>112</v>
      </c>
      <c r="P578" s="25"/>
    </row>
    <row r="579" spans="1:16" x14ac:dyDescent="0.35">
      <c r="A579" s="31">
        <f>IF(28+1&lt;=Settings!$B$7,Settings!$B$6+28,"")</f>
        <v>46171</v>
      </c>
      <c r="B579" s="31">
        <f t="shared" si="24"/>
        <v>46167</v>
      </c>
      <c r="C579" s="26" t="str">
        <f>IF(Employees!A19="","",Employees!A19)</f>
        <v/>
      </c>
      <c r="D579" s="26" t="str">
        <f>IF(C579="","",Employees!B19)</f>
        <v/>
      </c>
      <c r="E579" s="26" t="str">
        <f>IF(C579="","",Employees!C19)</f>
        <v/>
      </c>
      <c r="F579" s="26">
        <f>IF(A579="","",MOD(A579-Settings!$B$6,4)+1)</f>
        <v>1</v>
      </c>
      <c r="G579" s="26" t="str">
        <f>IF(C579="","",INDEX(Rotation_Pattern!$B$4:$E$7,F579,MATCH(E579,{"A","B","C","D"},0)))</f>
        <v/>
      </c>
      <c r="H579" s="32" t="str">
        <f t="shared" si="25"/>
        <v/>
      </c>
      <c r="I579" s="32" t="str">
        <f>IF(OR(G579="Off",G579=""),"",H579+TIME(Settings!$B$8,0,0))</f>
        <v/>
      </c>
      <c r="J579" s="26">
        <f>IF(OR(G579="Off",G579=""),0,Settings!$B$8)</f>
        <v>0</v>
      </c>
      <c r="K579" s="25" t="s">
        <v>111</v>
      </c>
      <c r="L579" s="26" t="str">
        <f>IF(A579="","",IF(COUNTIF(Public_Holidays!$A$4:$A$80,A579)&gt;0,"Y","N"))</f>
        <v>N</v>
      </c>
      <c r="M579" s="26" t="str">
        <f t="shared" si="26"/>
        <v>N</v>
      </c>
      <c r="N579" s="26" t="e">
        <f ca="1">IF(A579="","",_xludf.TEXTJOIN("; ",TRUE,IF(SUMIFS($J:$J,$C:$C,C579,$B:$B,B579)&gt;Settings!$B$9,"Weekly ordinary hrs &gt;45",""),IF(SUMIFS(Claims!$H:$H,Claims!$C:$C,C579,Claims!$B:$B,B579)&gt;Settings!$B$10,"Weekly OT &gt;10",""),IF(AND(G579&lt;&gt;"Off",COUNTIFS($C:$C,C579,$A:$A,A579-1,$G:$G,"Night")&gt;0),"Rest &lt;12h after night shift",""),IF(J579&gt;5,"Meal interval required","")))</f>
        <v>#NAME?</v>
      </c>
      <c r="O579" s="25" t="s">
        <v>112</v>
      </c>
      <c r="P579" s="25"/>
    </row>
    <row r="580" spans="1:16" x14ac:dyDescent="0.35">
      <c r="A580" s="31">
        <f>IF(28+1&lt;=Settings!$B$7,Settings!$B$6+28,"")</f>
        <v>46171</v>
      </c>
      <c r="B580" s="31">
        <f t="shared" ref="B580:B623" si="27">IF(A580="","",A580-WEEKDAY(A580,2)+1)</f>
        <v>46167</v>
      </c>
      <c r="C580" s="26" t="str">
        <f>IF(Employees!A20="","",Employees!A20)</f>
        <v/>
      </c>
      <c r="D580" s="26" t="str">
        <f>IF(C580="","",Employees!B20)</f>
        <v/>
      </c>
      <c r="E580" s="26" t="str">
        <f>IF(C580="","",Employees!C20)</f>
        <v/>
      </c>
      <c r="F580" s="26">
        <f>IF(A580="","",MOD(A580-Settings!$B$6,4)+1)</f>
        <v>1</v>
      </c>
      <c r="G580" s="26" t="str">
        <f>IF(C580="","",INDEX(Rotation_Pattern!$B$4:$E$7,F580,MATCH(E580,{"A","B","C","D"},0)))</f>
        <v/>
      </c>
      <c r="H580" s="32" t="str">
        <f t="shared" ref="H580:H623" si="28">IF(OR(G580="Off",G580=""),"",IF(G580="Day",TIME(6,0,0),IF(G580="Evening",TIME(14,0,0),TIME(22,0,0))))</f>
        <v/>
      </c>
      <c r="I580" s="32" t="str">
        <f>IF(OR(G580="Off",G580=""),"",H580+TIME(Settings!$B$8,0,0))</f>
        <v/>
      </c>
      <c r="J580" s="26">
        <f>IF(OR(G580="Off",G580=""),0,Settings!$B$8)</f>
        <v>0</v>
      </c>
      <c r="K580" s="25" t="s">
        <v>111</v>
      </c>
      <c r="L580" s="26" t="str">
        <f>IF(A580="","",IF(COUNTIF(Public_Holidays!$A$4:$A$80,A580)&gt;0,"Y","N"))</f>
        <v>N</v>
      </c>
      <c r="M580" s="26" t="str">
        <f t="shared" ref="M580:M623" si="29">IF(A580="","",IF(WEEKDAY(A580,2)=7,"Y","N"))</f>
        <v>N</v>
      </c>
      <c r="N580" s="26" t="e">
        <f ca="1">IF(A580="","",_xludf.TEXTJOIN("; ",TRUE,IF(SUMIFS($J:$J,$C:$C,C580,$B:$B,B580)&gt;Settings!$B$9,"Weekly ordinary hrs &gt;45",""),IF(SUMIFS(Claims!$H:$H,Claims!$C:$C,C580,Claims!$B:$B,B580)&gt;Settings!$B$10,"Weekly OT &gt;10",""),IF(AND(G580&lt;&gt;"Off",COUNTIFS($C:$C,C580,$A:$A,A580-1,$G:$G,"Night")&gt;0),"Rest &lt;12h after night shift",""),IF(J580&gt;5,"Meal interval required","")))</f>
        <v>#NAME?</v>
      </c>
      <c r="O580" s="25" t="s">
        <v>112</v>
      </c>
      <c r="P580" s="25"/>
    </row>
    <row r="581" spans="1:16" x14ac:dyDescent="0.35">
      <c r="A581" s="31">
        <f>IF(28+1&lt;=Settings!$B$7,Settings!$B$6+28,"")</f>
        <v>46171</v>
      </c>
      <c r="B581" s="31">
        <f t="shared" si="27"/>
        <v>46167</v>
      </c>
      <c r="C581" s="26" t="str">
        <f>IF(Employees!A21="","",Employees!A21)</f>
        <v/>
      </c>
      <c r="D581" s="26" t="str">
        <f>IF(C581="","",Employees!B21)</f>
        <v/>
      </c>
      <c r="E581" s="26" t="str">
        <f>IF(C581="","",Employees!C21)</f>
        <v/>
      </c>
      <c r="F581" s="26">
        <f>IF(A581="","",MOD(A581-Settings!$B$6,4)+1)</f>
        <v>1</v>
      </c>
      <c r="G581" s="26" t="str">
        <f>IF(C581="","",INDEX(Rotation_Pattern!$B$4:$E$7,F581,MATCH(E581,{"A","B","C","D"},0)))</f>
        <v/>
      </c>
      <c r="H581" s="32" t="str">
        <f t="shared" si="28"/>
        <v/>
      </c>
      <c r="I581" s="32" t="str">
        <f>IF(OR(G581="Off",G581=""),"",H581+TIME(Settings!$B$8,0,0))</f>
        <v/>
      </c>
      <c r="J581" s="26">
        <f>IF(OR(G581="Off",G581=""),0,Settings!$B$8)</f>
        <v>0</v>
      </c>
      <c r="K581" s="25" t="s">
        <v>111</v>
      </c>
      <c r="L581" s="26" t="str">
        <f>IF(A581="","",IF(COUNTIF(Public_Holidays!$A$4:$A$80,A581)&gt;0,"Y","N"))</f>
        <v>N</v>
      </c>
      <c r="M581" s="26" t="str">
        <f t="shared" si="29"/>
        <v>N</v>
      </c>
      <c r="N581" s="26" t="e">
        <f ca="1">IF(A581="","",_xludf.TEXTJOIN("; ",TRUE,IF(SUMIFS($J:$J,$C:$C,C581,$B:$B,B581)&gt;Settings!$B$9,"Weekly ordinary hrs &gt;45",""),IF(SUMIFS(Claims!$H:$H,Claims!$C:$C,C581,Claims!$B:$B,B581)&gt;Settings!$B$10,"Weekly OT &gt;10",""),IF(AND(G581&lt;&gt;"Off",COUNTIFS($C:$C,C581,$A:$A,A581-1,$G:$G,"Night")&gt;0),"Rest &lt;12h after night shift",""),IF(J581&gt;5,"Meal interval required","")))</f>
        <v>#NAME?</v>
      </c>
      <c r="O581" s="25" t="s">
        <v>112</v>
      </c>
      <c r="P581" s="25"/>
    </row>
    <row r="582" spans="1:16" x14ac:dyDescent="0.35">
      <c r="A582" s="31">
        <f>IF(28+1&lt;=Settings!$B$7,Settings!$B$6+28,"")</f>
        <v>46171</v>
      </c>
      <c r="B582" s="31">
        <f t="shared" si="27"/>
        <v>46167</v>
      </c>
      <c r="C582" s="26" t="str">
        <f>IF(Employees!A22="","",Employees!A22)</f>
        <v/>
      </c>
      <c r="D582" s="26" t="str">
        <f>IF(C582="","",Employees!B22)</f>
        <v/>
      </c>
      <c r="E582" s="26" t="str">
        <f>IF(C582="","",Employees!C22)</f>
        <v/>
      </c>
      <c r="F582" s="26">
        <f>IF(A582="","",MOD(A582-Settings!$B$6,4)+1)</f>
        <v>1</v>
      </c>
      <c r="G582" s="26" t="str">
        <f>IF(C582="","",INDEX(Rotation_Pattern!$B$4:$E$7,F582,MATCH(E582,{"A","B","C","D"},0)))</f>
        <v/>
      </c>
      <c r="H582" s="32" t="str">
        <f t="shared" si="28"/>
        <v/>
      </c>
      <c r="I582" s="32" t="str">
        <f>IF(OR(G582="Off",G582=""),"",H582+TIME(Settings!$B$8,0,0))</f>
        <v/>
      </c>
      <c r="J582" s="26">
        <f>IF(OR(G582="Off",G582=""),0,Settings!$B$8)</f>
        <v>0</v>
      </c>
      <c r="K582" s="25" t="s">
        <v>111</v>
      </c>
      <c r="L582" s="26" t="str">
        <f>IF(A582="","",IF(COUNTIF(Public_Holidays!$A$4:$A$80,A582)&gt;0,"Y","N"))</f>
        <v>N</v>
      </c>
      <c r="M582" s="26" t="str">
        <f t="shared" si="29"/>
        <v>N</v>
      </c>
      <c r="N582" s="26" t="e">
        <f ca="1">IF(A582="","",_xludf.TEXTJOIN("; ",TRUE,IF(SUMIFS($J:$J,$C:$C,C582,$B:$B,B582)&gt;Settings!$B$9,"Weekly ordinary hrs &gt;45",""),IF(SUMIFS(Claims!$H:$H,Claims!$C:$C,C582,Claims!$B:$B,B582)&gt;Settings!$B$10,"Weekly OT &gt;10",""),IF(AND(G582&lt;&gt;"Off",COUNTIFS($C:$C,C582,$A:$A,A582-1,$G:$G,"Night")&gt;0),"Rest &lt;12h after night shift",""),IF(J582&gt;5,"Meal interval required","")))</f>
        <v>#NAME?</v>
      </c>
      <c r="O582" s="25" t="s">
        <v>112</v>
      </c>
      <c r="P582" s="25"/>
    </row>
    <row r="583" spans="1:16" x14ac:dyDescent="0.35">
      <c r="A583" s="31">
        <f>IF(28+1&lt;=Settings!$B$7,Settings!$B$6+28,"")</f>
        <v>46171</v>
      </c>
      <c r="B583" s="31">
        <f t="shared" si="27"/>
        <v>46167</v>
      </c>
      <c r="C583" s="26" t="str">
        <f>IF(Employees!A23="","",Employees!A23)</f>
        <v/>
      </c>
      <c r="D583" s="26" t="str">
        <f>IF(C583="","",Employees!B23)</f>
        <v/>
      </c>
      <c r="E583" s="26" t="str">
        <f>IF(C583="","",Employees!C23)</f>
        <v/>
      </c>
      <c r="F583" s="26">
        <f>IF(A583="","",MOD(A583-Settings!$B$6,4)+1)</f>
        <v>1</v>
      </c>
      <c r="G583" s="26" t="str">
        <f>IF(C583="","",INDEX(Rotation_Pattern!$B$4:$E$7,F583,MATCH(E583,{"A","B","C","D"},0)))</f>
        <v/>
      </c>
      <c r="H583" s="32" t="str">
        <f t="shared" si="28"/>
        <v/>
      </c>
      <c r="I583" s="32" t="str">
        <f>IF(OR(G583="Off",G583=""),"",H583+TIME(Settings!$B$8,0,0))</f>
        <v/>
      </c>
      <c r="J583" s="26">
        <f>IF(OR(G583="Off",G583=""),0,Settings!$B$8)</f>
        <v>0</v>
      </c>
      <c r="K583" s="25" t="s">
        <v>111</v>
      </c>
      <c r="L583" s="26" t="str">
        <f>IF(A583="","",IF(COUNTIF(Public_Holidays!$A$4:$A$80,A583)&gt;0,"Y","N"))</f>
        <v>N</v>
      </c>
      <c r="M583" s="26" t="str">
        <f t="shared" si="29"/>
        <v>N</v>
      </c>
      <c r="N583" s="26" t="e">
        <f ca="1">IF(A583="","",_xludf.TEXTJOIN("; ",TRUE,IF(SUMIFS($J:$J,$C:$C,C583,$B:$B,B583)&gt;Settings!$B$9,"Weekly ordinary hrs &gt;45",""),IF(SUMIFS(Claims!$H:$H,Claims!$C:$C,C583,Claims!$B:$B,B583)&gt;Settings!$B$10,"Weekly OT &gt;10",""),IF(AND(G583&lt;&gt;"Off",COUNTIFS($C:$C,C583,$A:$A,A583-1,$G:$G,"Night")&gt;0),"Rest &lt;12h after night shift",""),IF(J583&gt;5,"Meal interval required","")))</f>
        <v>#NAME?</v>
      </c>
      <c r="O583" s="25" t="s">
        <v>112</v>
      </c>
      <c r="P583" s="25"/>
    </row>
    <row r="584" spans="1:16" x14ac:dyDescent="0.35">
      <c r="A584" s="31">
        <f>IF(29+1&lt;=Settings!$B$7,Settings!$B$6+29,"")</f>
        <v>46172</v>
      </c>
      <c r="B584" s="31">
        <f t="shared" si="27"/>
        <v>46167</v>
      </c>
      <c r="C584" s="26" t="str">
        <f>IF(Employees!A4="","",Employees!A4)</f>
        <v>E001</v>
      </c>
      <c r="D584" s="26" t="str">
        <f>IF(C584="","",Employees!B4)</f>
        <v>Musiwa Khavalani</v>
      </c>
      <c r="E584" s="26">
        <f>IF(C584="","",Employees!C4)</f>
        <v>0</v>
      </c>
      <c r="F584" s="26">
        <f>IF(A584="","",MOD(A584-Settings!$B$6,4)+1)</f>
        <v>2</v>
      </c>
      <c r="G584" s="26" t="e">
        <f>IF(C584="","",INDEX(Rotation_Pattern!$B$4:$E$7,F584,MATCH(E584,{"A","B","C","D"},0)))</f>
        <v>#N/A</v>
      </c>
      <c r="H584" s="32" t="e">
        <f t="shared" si="28"/>
        <v>#N/A</v>
      </c>
      <c r="I584" s="32" t="e">
        <f>IF(OR(G584="Off",G584=""),"",H584+TIME(Settings!$B$8,0,0))</f>
        <v>#N/A</v>
      </c>
      <c r="J584" s="26" t="e">
        <f>IF(OR(G584="Off",G584=""),0,Settings!$B$8)</f>
        <v>#N/A</v>
      </c>
      <c r="K584" s="25" t="s">
        <v>111</v>
      </c>
      <c r="L584" s="26" t="str">
        <f>IF(A584="","",IF(COUNTIF(Public_Holidays!$A$4:$A$80,A584)&gt;0,"Y","N"))</f>
        <v>N</v>
      </c>
      <c r="M584" s="26" t="str">
        <f t="shared" si="29"/>
        <v>N</v>
      </c>
      <c r="N584" s="26" t="e">
        <f ca="1">IF(A584="","",_xludf.TEXTJOIN("; ",TRUE,IF(SUMIFS($J:$J,$C:$C,C584,$B:$B,B584)&gt;Settings!$B$9,"Weekly ordinary hrs &gt;45",""),IF(SUMIFS(Claims!$H:$H,Claims!$C:$C,C584,Claims!$B:$B,B584)&gt;Settings!$B$10,"Weekly OT &gt;10",""),IF(AND(G584&lt;&gt;"Off",COUNTIFS($C:$C,C584,$A:$A,A584-1,$G:$G,"Night")&gt;0),"Rest &lt;12h after night shift",""),IF(J584&gt;5,"Meal interval required","")))</f>
        <v>#NAME?</v>
      </c>
      <c r="O584" s="25" t="s">
        <v>112</v>
      </c>
      <c r="P584" s="25"/>
    </row>
    <row r="585" spans="1:16" x14ac:dyDescent="0.35">
      <c r="A585" s="31">
        <f>IF(29+1&lt;=Settings!$B$7,Settings!$B$6+29,"")</f>
        <v>46172</v>
      </c>
      <c r="B585" s="31">
        <f t="shared" si="27"/>
        <v>46167</v>
      </c>
      <c r="C585" s="26" t="str">
        <f>IF(Employees!A5="","",Employees!A5)</f>
        <v>E002</v>
      </c>
      <c r="D585" s="26" t="str">
        <f>IF(C585="","",Employees!B5)</f>
        <v>Mpho  Nembemhia</v>
      </c>
      <c r="E585" s="26" t="str">
        <f>IF(C585="","",Employees!C5)</f>
        <v>B</v>
      </c>
      <c r="F585" s="26">
        <f>IF(A585="","",MOD(A585-Settings!$B$6,4)+1)</f>
        <v>2</v>
      </c>
      <c r="G585" s="26" t="str">
        <f>IF(C585="","",INDEX(Rotation_Pattern!$B$4:$E$7,F585,MATCH(E585,{"A","B","C","D"},0)))</f>
        <v>Day</v>
      </c>
      <c r="H585" s="32">
        <f t="shared" si="28"/>
        <v>0.25</v>
      </c>
      <c r="I585" s="32">
        <f>IF(OR(G585="Off",G585=""),"",H585+TIME(Settings!$B$8,0,0))</f>
        <v>0.58333333333333326</v>
      </c>
      <c r="J585" s="26">
        <f>IF(OR(G585="Off",G585=""),0,Settings!$B$8)</f>
        <v>8</v>
      </c>
      <c r="K585" s="25" t="s">
        <v>111</v>
      </c>
      <c r="L585" s="26" t="str">
        <f>IF(A585="","",IF(COUNTIF(Public_Holidays!$A$4:$A$80,A585)&gt;0,"Y","N"))</f>
        <v>N</v>
      </c>
      <c r="M585" s="26" t="str">
        <f t="shared" si="29"/>
        <v>N</v>
      </c>
      <c r="N585" s="26" t="e">
        <f ca="1">IF(A585="","",_xludf.TEXTJOIN("; ",TRUE,IF(SUMIFS($J:$J,$C:$C,C585,$B:$B,B585)&gt;Settings!$B$9,"Weekly ordinary hrs &gt;45",""),IF(SUMIFS(Claims!$H:$H,Claims!$C:$C,C585,Claims!$B:$B,B585)&gt;Settings!$B$10,"Weekly OT &gt;10",""),IF(AND(G585&lt;&gt;"Off",COUNTIFS($C:$C,C585,$A:$A,A585-1,$G:$G,"Night")&gt;0),"Rest &lt;12h after night shift",""),IF(J585&gt;5,"Meal interval required","")))</f>
        <v>#NAME?</v>
      </c>
      <c r="O585" s="25" t="s">
        <v>112</v>
      </c>
      <c r="P585" s="25"/>
    </row>
    <row r="586" spans="1:16" x14ac:dyDescent="0.35">
      <c r="A586" s="31">
        <f>IF(29+1&lt;=Settings!$B$7,Settings!$B$6+29,"")</f>
        <v>46172</v>
      </c>
      <c r="B586" s="31">
        <f t="shared" si="27"/>
        <v>46167</v>
      </c>
      <c r="C586" s="26" t="str">
        <f>IF(Employees!A6="","",Employees!A6)</f>
        <v>E003</v>
      </c>
      <c r="D586" s="26" t="str">
        <f>IF(C586="","",Employees!B6)</f>
        <v>Dimpho Makhafola</v>
      </c>
      <c r="E586" s="26" t="str">
        <f>IF(C586="","",Employees!C6)</f>
        <v>C</v>
      </c>
      <c r="F586" s="26">
        <f>IF(A586="","",MOD(A586-Settings!$B$6,4)+1)</f>
        <v>2</v>
      </c>
      <c r="G586" s="26" t="str">
        <f>IF(C586="","",INDEX(Rotation_Pattern!$B$4:$E$7,F586,MATCH(E586,{"A","B","C","D"},0)))</f>
        <v>Off</v>
      </c>
      <c r="H586" s="32" t="str">
        <f t="shared" si="28"/>
        <v/>
      </c>
      <c r="I586" s="32" t="str">
        <f>IF(OR(G586="Off",G586=""),"",H586+TIME(Settings!$B$8,0,0))</f>
        <v/>
      </c>
      <c r="J586" s="26">
        <f>IF(OR(G586="Off",G586=""),0,Settings!$B$8)</f>
        <v>0</v>
      </c>
      <c r="K586" s="25" t="s">
        <v>111</v>
      </c>
      <c r="L586" s="26" t="str">
        <f>IF(A586="","",IF(COUNTIF(Public_Holidays!$A$4:$A$80,A586)&gt;0,"Y","N"))</f>
        <v>N</v>
      </c>
      <c r="M586" s="26" t="str">
        <f t="shared" si="29"/>
        <v>N</v>
      </c>
      <c r="N586" s="26" t="e">
        <f ca="1">IF(A586="","",_xludf.TEXTJOIN("; ",TRUE,IF(SUMIFS($J:$J,$C:$C,C586,$B:$B,B586)&gt;Settings!$B$9,"Weekly ordinary hrs &gt;45",""),IF(SUMIFS(Claims!$H:$H,Claims!$C:$C,C586,Claims!$B:$B,B586)&gt;Settings!$B$10,"Weekly OT &gt;10",""),IF(AND(G586&lt;&gt;"Off",COUNTIFS($C:$C,C586,$A:$A,A586-1,$G:$G,"Night")&gt;0),"Rest &lt;12h after night shift",""),IF(J586&gt;5,"Meal interval required","")))</f>
        <v>#NAME?</v>
      </c>
      <c r="O586" s="25" t="s">
        <v>112</v>
      </c>
      <c r="P586" s="25"/>
    </row>
    <row r="587" spans="1:16" x14ac:dyDescent="0.35">
      <c r="A587" s="31">
        <f>IF(29+1&lt;=Settings!$B$7,Settings!$B$6+29,"")</f>
        <v>46172</v>
      </c>
      <c r="B587" s="31">
        <f t="shared" si="27"/>
        <v>46167</v>
      </c>
      <c r="C587" s="26" t="str">
        <f>IF(Employees!A7="","",Employees!A7)</f>
        <v>E004</v>
      </c>
      <c r="D587" s="26" t="str">
        <f>IF(C587="","",Employees!B7)</f>
        <v>Bashii Fall</v>
      </c>
      <c r="E587" s="26" t="str">
        <f>IF(C587="","",Employees!C7)</f>
        <v>D</v>
      </c>
      <c r="F587" s="26">
        <f>IF(A587="","",MOD(A587-Settings!$B$6,4)+1)</f>
        <v>2</v>
      </c>
      <c r="G587" s="26" t="str">
        <f>IF(C587="","",INDEX(Rotation_Pattern!$B$4:$E$7,F587,MATCH(E587,{"A","B","C","D"},0)))</f>
        <v>Night</v>
      </c>
      <c r="H587" s="32">
        <f t="shared" si="28"/>
        <v>0.91666666666666663</v>
      </c>
      <c r="I587" s="32">
        <f>IF(OR(G587="Off",G587=""),"",H587+TIME(Settings!$B$8,0,0))</f>
        <v>1.25</v>
      </c>
      <c r="J587" s="26">
        <f>IF(OR(G587="Off",G587=""),0,Settings!$B$8)</f>
        <v>8</v>
      </c>
      <c r="K587" s="25" t="s">
        <v>111</v>
      </c>
      <c r="L587" s="26" t="str">
        <f>IF(A587="","",IF(COUNTIF(Public_Holidays!$A$4:$A$80,A587)&gt;0,"Y","N"))</f>
        <v>N</v>
      </c>
      <c r="M587" s="26" t="str">
        <f t="shared" si="29"/>
        <v>N</v>
      </c>
      <c r="N587" s="26" t="e">
        <f ca="1">IF(A587="","",_xludf.TEXTJOIN("; ",TRUE,IF(SUMIFS($J:$J,$C:$C,C587,$B:$B,B587)&gt;Settings!$B$9,"Weekly ordinary hrs &gt;45",""),IF(SUMIFS(Claims!$H:$H,Claims!$C:$C,C587,Claims!$B:$B,B587)&gt;Settings!$B$10,"Weekly OT &gt;10",""),IF(AND(G587&lt;&gt;"Off",COUNTIFS($C:$C,C587,$A:$A,A587-1,$G:$G,"Night")&gt;0),"Rest &lt;12h after night shift",""),IF(J587&gt;5,"Meal interval required","")))</f>
        <v>#NAME?</v>
      </c>
      <c r="O587" s="25" t="s">
        <v>112</v>
      </c>
      <c r="P587" s="25"/>
    </row>
    <row r="588" spans="1:16" x14ac:dyDescent="0.35">
      <c r="A588" s="31">
        <f>IF(29+1&lt;=Settings!$B$7,Settings!$B$6+29,"")</f>
        <v>46172</v>
      </c>
      <c r="B588" s="31">
        <f t="shared" si="27"/>
        <v>46167</v>
      </c>
      <c r="C588" s="26" t="str">
        <f>IF(Employees!A8="","",Employees!A8)</f>
        <v>E005</v>
      </c>
      <c r="D588" s="26" t="str">
        <f>IF(C588="","",Employees!B8)</f>
        <v>Lesego Aphane</v>
      </c>
      <c r="E588" s="26" t="str">
        <f>IF(C588="","",Employees!C8)</f>
        <v>A</v>
      </c>
      <c r="F588" s="26">
        <f>IF(A588="","",MOD(A588-Settings!$B$6,4)+1)</f>
        <v>2</v>
      </c>
      <c r="G588" s="26" t="str">
        <f>IF(C588="","",INDEX(Rotation_Pattern!$B$4:$E$7,F588,MATCH(E588,{"A","B","C","D"},0)))</f>
        <v>Evening</v>
      </c>
      <c r="H588" s="32">
        <f t="shared" si="28"/>
        <v>0.58333333333333337</v>
      </c>
      <c r="I588" s="32">
        <f>IF(OR(G588="Off",G588=""),"",H588+TIME(Settings!$B$8,0,0))</f>
        <v>0.91666666666666674</v>
      </c>
      <c r="J588" s="26">
        <f>IF(OR(G588="Off",G588=""),0,Settings!$B$8)</f>
        <v>8</v>
      </c>
      <c r="K588" s="25" t="s">
        <v>111</v>
      </c>
      <c r="L588" s="26" t="str">
        <f>IF(A588="","",IF(COUNTIF(Public_Holidays!$A$4:$A$80,A588)&gt;0,"Y","N"))</f>
        <v>N</v>
      </c>
      <c r="M588" s="26" t="str">
        <f t="shared" si="29"/>
        <v>N</v>
      </c>
      <c r="N588" s="26" t="e">
        <f ca="1">IF(A588="","",_xludf.TEXTJOIN("; ",TRUE,IF(SUMIFS($J:$J,$C:$C,C588,$B:$B,B588)&gt;Settings!$B$9,"Weekly ordinary hrs &gt;45",""),IF(SUMIFS(Claims!$H:$H,Claims!$C:$C,C588,Claims!$B:$B,B588)&gt;Settings!$B$10,"Weekly OT &gt;10",""),IF(AND(G588&lt;&gt;"Off",COUNTIFS($C:$C,C588,$A:$A,A588-1,$G:$G,"Night")&gt;0),"Rest &lt;12h after night shift",""),IF(J588&gt;5,"Meal interval required","")))</f>
        <v>#NAME?</v>
      </c>
      <c r="O588" s="25" t="s">
        <v>112</v>
      </c>
      <c r="P588" s="25"/>
    </row>
    <row r="589" spans="1:16" x14ac:dyDescent="0.35">
      <c r="A589" s="31">
        <f>IF(29+1&lt;=Settings!$B$7,Settings!$B$6+29,"")</f>
        <v>46172</v>
      </c>
      <c r="B589" s="31">
        <f t="shared" si="27"/>
        <v>46167</v>
      </c>
      <c r="C589" s="26" t="str">
        <f>IF(Employees!A9="","",Employees!A9)</f>
        <v>E006</v>
      </c>
      <c r="D589" s="26" t="str">
        <f>IF(C589="","",Employees!B9)</f>
        <v>Nhalnahla</v>
      </c>
      <c r="E589" s="26" t="str">
        <f>IF(C589="","",Employees!C9)</f>
        <v>B</v>
      </c>
      <c r="F589" s="26">
        <f>IF(A589="","",MOD(A589-Settings!$B$6,4)+1)</f>
        <v>2</v>
      </c>
      <c r="G589" s="26" t="str">
        <f>IF(C589="","",INDEX(Rotation_Pattern!$B$4:$E$7,F589,MATCH(E589,{"A","B","C","D"},0)))</f>
        <v>Day</v>
      </c>
      <c r="H589" s="32">
        <f t="shared" si="28"/>
        <v>0.25</v>
      </c>
      <c r="I589" s="32">
        <f>IF(OR(G589="Off",G589=""),"",H589+TIME(Settings!$B$8,0,0))</f>
        <v>0.58333333333333326</v>
      </c>
      <c r="J589" s="26">
        <f>IF(OR(G589="Off",G589=""),0,Settings!$B$8)</f>
        <v>8</v>
      </c>
      <c r="K589" s="25" t="s">
        <v>111</v>
      </c>
      <c r="L589" s="26" t="str">
        <f>IF(A589="","",IF(COUNTIF(Public_Holidays!$A$4:$A$80,A589)&gt;0,"Y","N"))</f>
        <v>N</v>
      </c>
      <c r="M589" s="26" t="str">
        <f t="shared" si="29"/>
        <v>N</v>
      </c>
      <c r="N589" s="26" t="e">
        <f ca="1">IF(A589="","",_xludf.TEXTJOIN("; ",TRUE,IF(SUMIFS($J:$J,$C:$C,C589,$B:$B,B589)&gt;Settings!$B$9,"Weekly ordinary hrs &gt;45",""),IF(SUMIFS(Claims!$H:$H,Claims!$C:$C,C589,Claims!$B:$B,B589)&gt;Settings!$B$10,"Weekly OT &gt;10",""),IF(AND(G589&lt;&gt;"Off",COUNTIFS($C:$C,C589,$A:$A,A589-1,$G:$G,"Night")&gt;0),"Rest &lt;12h after night shift",""),IF(J589&gt;5,"Meal interval required","")))</f>
        <v>#NAME?</v>
      </c>
      <c r="O589" s="25" t="s">
        <v>112</v>
      </c>
      <c r="P589" s="25"/>
    </row>
    <row r="590" spans="1:16" x14ac:dyDescent="0.35">
      <c r="A590" s="31">
        <f>IF(29+1&lt;=Settings!$B$7,Settings!$B$6+29,"")</f>
        <v>46172</v>
      </c>
      <c r="B590" s="31">
        <f t="shared" si="27"/>
        <v>46167</v>
      </c>
      <c r="C590" s="26" t="str">
        <f>IF(Employees!A10="","",Employees!A10)</f>
        <v>E007</v>
      </c>
      <c r="D590" s="26" t="str">
        <f>IF(C590="","",Employees!B10)</f>
        <v>Joe</v>
      </c>
      <c r="E590" s="26" t="str">
        <f>IF(C590="","",Employees!C10)</f>
        <v>C</v>
      </c>
      <c r="F590" s="26">
        <f>IF(A590="","",MOD(A590-Settings!$B$6,4)+1)</f>
        <v>2</v>
      </c>
      <c r="G590" s="26" t="str">
        <f>IF(C590="","",INDEX(Rotation_Pattern!$B$4:$E$7,F590,MATCH(E590,{"A","B","C","D"},0)))</f>
        <v>Off</v>
      </c>
      <c r="H590" s="32" t="str">
        <f t="shared" si="28"/>
        <v/>
      </c>
      <c r="I590" s="32" t="str">
        <f>IF(OR(G590="Off",G590=""),"",H590+TIME(Settings!$B$8,0,0))</f>
        <v/>
      </c>
      <c r="J590" s="26">
        <f>IF(OR(G590="Off",G590=""),0,Settings!$B$8)</f>
        <v>0</v>
      </c>
      <c r="K590" s="25" t="s">
        <v>111</v>
      </c>
      <c r="L590" s="26" t="str">
        <f>IF(A590="","",IF(COUNTIF(Public_Holidays!$A$4:$A$80,A590)&gt;0,"Y","N"))</f>
        <v>N</v>
      </c>
      <c r="M590" s="26" t="str">
        <f t="shared" si="29"/>
        <v>N</v>
      </c>
      <c r="N590" s="26" t="e">
        <f ca="1">IF(A590="","",_xludf.TEXTJOIN("; ",TRUE,IF(SUMIFS($J:$J,$C:$C,C590,$B:$B,B590)&gt;Settings!$B$9,"Weekly ordinary hrs &gt;45",""),IF(SUMIFS(Claims!$H:$H,Claims!$C:$C,C590,Claims!$B:$B,B590)&gt;Settings!$B$10,"Weekly OT &gt;10",""),IF(AND(G590&lt;&gt;"Off",COUNTIFS($C:$C,C590,$A:$A,A590-1,$G:$G,"Night")&gt;0),"Rest &lt;12h after night shift",""),IF(J590&gt;5,"Meal interval required","")))</f>
        <v>#NAME?</v>
      </c>
      <c r="O590" s="25" t="s">
        <v>112</v>
      </c>
      <c r="P590" s="25"/>
    </row>
    <row r="591" spans="1:16" x14ac:dyDescent="0.35">
      <c r="A591" s="31">
        <f>IF(29+1&lt;=Settings!$B$7,Settings!$B$6+29,"")</f>
        <v>46172</v>
      </c>
      <c r="B591" s="31">
        <f t="shared" si="27"/>
        <v>46167</v>
      </c>
      <c r="C591" s="26" t="str">
        <f>IF(Employees!A11="","",Employees!A11)</f>
        <v>E008</v>
      </c>
      <c r="D591" s="26" t="str">
        <f>IF(C591="","",Employees!B11)</f>
        <v>Tim</v>
      </c>
      <c r="E591" s="26" t="str">
        <f>IF(C591="","",Employees!C11)</f>
        <v>D</v>
      </c>
      <c r="F591" s="26">
        <f>IF(A591="","",MOD(A591-Settings!$B$6,4)+1)</f>
        <v>2</v>
      </c>
      <c r="G591" s="26" t="str">
        <f>IF(C591="","",INDEX(Rotation_Pattern!$B$4:$E$7,F591,MATCH(E591,{"A","B","C","D"},0)))</f>
        <v>Night</v>
      </c>
      <c r="H591" s="32">
        <f t="shared" si="28"/>
        <v>0.91666666666666663</v>
      </c>
      <c r="I591" s="32">
        <f>IF(OR(G591="Off",G591=""),"",H591+TIME(Settings!$B$8,0,0))</f>
        <v>1.25</v>
      </c>
      <c r="J591" s="26">
        <f>IF(OR(G591="Off",G591=""),0,Settings!$B$8)</f>
        <v>8</v>
      </c>
      <c r="K591" s="25" t="s">
        <v>111</v>
      </c>
      <c r="L591" s="26" t="str">
        <f>IF(A591="","",IF(COUNTIF(Public_Holidays!$A$4:$A$80,A591)&gt;0,"Y","N"))</f>
        <v>N</v>
      </c>
      <c r="M591" s="26" t="str">
        <f t="shared" si="29"/>
        <v>N</v>
      </c>
      <c r="N591" s="26" t="e">
        <f ca="1">IF(A591="","",_xludf.TEXTJOIN("; ",TRUE,IF(SUMIFS($J:$J,$C:$C,C591,$B:$B,B591)&gt;Settings!$B$9,"Weekly ordinary hrs &gt;45",""),IF(SUMIFS(Claims!$H:$H,Claims!$C:$C,C591,Claims!$B:$B,B591)&gt;Settings!$B$10,"Weekly OT &gt;10",""),IF(AND(G591&lt;&gt;"Off",COUNTIFS($C:$C,C591,$A:$A,A591-1,$G:$G,"Night")&gt;0),"Rest &lt;12h after night shift",""),IF(J591&gt;5,"Meal interval required","")))</f>
        <v>#NAME?</v>
      </c>
      <c r="O591" s="25" t="s">
        <v>112</v>
      </c>
      <c r="P591" s="25"/>
    </row>
    <row r="592" spans="1:16" x14ac:dyDescent="0.35">
      <c r="A592" s="31">
        <f>IF(29+1&lt;=Settings!$B$7,Settings!$B$6+29,"")</f>
        <v>46172</v>
      </c>
      <c r="B592" s="31">
        <f t="shared" si="27"/>
        <v>46167</v>
      </c>
      <c r="C592" s="26" t="str">
        <f>IF(Employees!A12="","",Employees!A12)</f>
        <v>E009</v>
      </c>
      <c r="D592" s="26" t="str">
        <f>IF(C592="","",Employees!B12)</f>
        <v>Frank</v>
      </c>
      <c r="E592" s="26" t="str">
        <f>IF(C592="","",Employees!C12)</f>
        <v>A</v>
      </c>
      <c r="F592" s="26">
        <f>IF(A592="","",MOD(A592-Settings!$B$6,4)+1)</f>
        <v>2</v>
      </c>
      <c r="G592" s="26" t="str">
        <f>IF(C592="","",INDEX(Rotation_Pattern!$B$4:$E$7,F592,MATCH(E592,{"A","B","C","D"},0)))</f>
        <v>Evening</v>
      </c>
      <c r="H592" s="32">
        <f t="shared" si="28"/>
        <v>0.58333333333333337</v>
      </c>
      <c r="I592" s="32">
        <f>IF(OR(G592="Off",G592=""),"",H592+TIME(Settings!$B$8,0,0))</f>
        <v>0.91666666666666674</v>
      </c>
      <c r="J592" s="26">
        <f>IF(OR(G592="Off",G592=""),0,Settings!$B$8)</f>
        <v>8</v>
      </c>
      <c r="K592" s="25" t="s">
        <v>111</v>
      </c>
      <c r="L592" s="26" t="str">
        <f>IF(A592="","",IF(COUNTIF(Public_Holidays!$A$4:$A$80,A592)&gt;0,"Y","N"))</f>
        <v>N</v>
      </c>
      <c r="M592" s="26" t="str">
        <f t="shared" si="29"/>
        <v>N</v>
      </c>
      <c r="N592" s="26" t="e">
        <f ca="1">IF(A592="","",_xludf.TEXTJOIN("; ",TRUE,IF(SUMIFS($J:$J,$C:$C,C592,$B:$B,B592)&gt;Settings!$B$9,"Weekly ordinary hrs &gt;45",""),IF(SUMIFS(Claims!$H:$H,Claims!$C:$C,C592,Claims!$B:$B,B592)&gt;Settings!$B$10,"Weekly OT &gt;10",""),IF(AND(G592&lt;&gt;"Off",COUNTIFS($C:$C,C592,$A:$A,A592-1,$G:$G,"Night")&gt;0),"Rest &lt;12h after night shift",""),IF(J592&gt;5,"Meal interval required","")))</f>
        <v>#NAME?</v>
      </c>
      <c r="O592" s="25" t="s">
        <v>112</v>
      </c>
      <c r="P592" s="25"/>
    </row>
    <row r="593" spans="1:16" x14ac:dyDescent="0.35">
      <c r="A593" s="31">
        <f>IF(29+1&lt;=Settings!$B$7,Settings!$B$6+29,"")</f>
        <v>46172</v>
      </c>
      <c r="B593" s="31">
        <f t="shared" si="27"/>
        <v>46167</v>
      </c>
      <c r="C593" s="26" t="str">
        <f>IF(Employees!A13="","",Employees!A13)</f>
        <v/>
      </c>
      <c r="D593" s="26" t="str">
        <f>IF(C593="","",Employees!B13)</f>
        <v/>
      </c>
      <c r="E593" s="26" t="str">
        <f>IF(C593="","",Employees!C13)</f>
        <v/>
      </c>
      <c r="F593" s="26">
        <f>IF(A593="","",MOD(A593-Settings!$B$6,4)+1)</f>
        <v>2</v>
      </c>
      <c r="G593" s="26" t="str">
        <f>IF(C593="","",INDEX(Rotation_Pattern!$B$4:$E$7,F593,MATCH(E593,{"A","B","C","D"},0)))</f>
        <v/>
      </c>
      <c r="H593" s="32" t="str">
        <f t="shared" si="28"/>
        <v/>
      </c>
      <c r="I593" s="32" t="str">
        <f>IF(OR(G593="Off",G593=""),"",H593+TIME(Settings!$B$8,0,0))</f>
        <v/>
      </c>
      <c r="J593" s="26">
        <f>IF(OR(G593="Off",G593=""),0,Settings!$B$8)</f>
        <v>0</v>
      </c>
      <c r="K593" s="25" t="s">
        <v>111</v>
      </c>
      <c r="L593" s="26" t="str">
        <f>IF(A593="","",IF(COUNTIF(Public_Holidays!$A$4:$A$80,A593)&gt;0,"Y","N"))</f>
        <v>N</v>
      </c>
      <c r="M593" s="26" t="str">
        <f t="shared" si="29"/>
        <v>N</v>
      </c>
      <c r="N593" s="26" t="e">
        <f ca="1">IF(A593="","",_xludf.TEXTJOIN("; ",TRUE,IF(SUMIFS($J:$J,$C:$C,C593,$B:$B,B593)&gt;Settings!$B$9,"Weekly ordinary hrs &gt;45",""),IF(SUMIFS(Claims!$H:$H,Claims!$C:$C,C593,Claims!$B:$B,B593)&gt;Settings!$B$10,"Weekly OT &gt;10",""),IF(AND(G593&lt;&gt;"Off",COUNTIFS($C:$C,C593,$A:$A,A593-1,$G:$G,"Night")&gt;0),"Rest &lt;12h after night shift",""),IF(J593&gt;5,"Meal interval required","")))</f>
        <v>#NAME?</v>
      </c>
      <c r="O593" s="25" t="s">
        <v>112</v>
      </c>
      <c r="P593" s="25"/>
    </row>
    <row r="594" spans="1:16" x14ac:dyDescent="0.35">
      <c r="A594" s="31">
        <f>IF(29+1&lt;=Settings!$B$7,Settings!$B$6+29,"")</f>
        <v>46172</v>
      </c>
      <c r="B594" s="31">
        <f t="shared" si="27"/>
        <v>46167</v>
      </c>
      <c r="C594" s="26" t="str">
        <f>IF(Employees!A14="","",Employees!A14)</f>
        <v/>
      </c>
      <c r="D594" s="26" t="str">
        <f>IF(C594="","",Employees!B14)</f>
        <v/>
      </c>
      <c r="E594" s="26" t="str">
        <f>IF(C594="","",Employees!C14)</f>
        <v/>
      </c>
      <c r="F594" s="26">
        <f>IF(A594="","",MOD(A594-Settings!$B$6,4)+1)</f>
        <v>2</v>
      </c>
      <c r="G594" s="26" t="str">
        <f>IF(C594="","",INDEX(Rotation_Pattern!$B$4:$E$7,F594,MATCH(E594,{"A","B","C","D"},0)))</f>
        <v/>
      </c>
      <c r="H594" s="32" t="str">
        <f t="shared" si="28"/>
        <v/>
      </c>
      <c r="I594" s="32" t="str">
        <f>IF(OR(G594="Off",G594=""),"",H594+TIME(Settings!$B$8,0,0))</f>
        <v/>
      </c>
      <c r="J594" s="26">
        <f>IF(OR(G594="Off",G594=""),0,Settings!$B$8)</f>
        <v>0</v>
      </c>
      <c r="K594" s="25" t="s">
        <v>111</v>
      </c>
      <c r="L594" s="26" t="str">
        <f>IF(A594="","",IF(COUNTIF(Public_Holidays!$A$4:$A$80,A594)&gt;0,"Y","N"))</f>
        <v>N</v>
      </c>
      <c r="M594" s="26" t="str">
        <f t="shared" si="29"/>
        <v>N</v>
      </c>
      <c r="N594" s="26" t="e">
        <f ca="1">IF(A594="","",_xludf.TEXTJOIN("; ",TRUE,IF(SUMIFS($J:$J,$C:$C,C594,$B:$B,B594)&gt;Settings!$B$9,"Weekly ordinary hrs &gt;45",""),IF(SUMIFS(Claims!$H:$H,Claims!$C:$C,C594,Claims!$B:$B,B594)&gt;Settings!$B$10,"Weekly OT &gt;10",""),IF(AND(G594&lt;&gt;"Off",COUNTIFS($C:$C,C594,$A:$A,A594-1,$G:$G,"Night")&gt;0),"Rest &lt;12h after night shift",""),IF(J594&gt;5,"Meal interval required","")))</f>
        <v>#NAME?</v>
      </c>
      <c r="O594" s="25" t="s">
        <v>112</v>
      </c>
      <c r="P594" s="25"/>
    </row>
    <row r="595" spans="1:16" x14ac:dyDescent="0.35">
      <c r="A595" s="31">
        <f>IF(29+1&lt;=Settings!$B$7,Settings!$B$6+29,"")</f>
        <v>46172</v>
      </c>
      <c r="B595" s="31">
        <f t="shared" si="27"/>
        <v>46167</v>
      </c>
      <c r="C595" s="26" t="str">
        <f>IF(Employees!A15="","",Employees!A15)</f>
        <v/>
      </c>
      <c r="D595" s="26" t="str">
        <f>IF(C595="","",Employees!B15)</f>
        <v/>
      </c>
      <c r="E595" s="26" t="str">
        <f>IF(C595="","",Employees!C15)</f>
        <v/>
      </c>
      <c r="F595" s="26">
        <f>IF(A595="","",MOD(A595-Settings!$B$6,4)+1)</f>
        <v>2</v>
      </c>
      <c r="G595" s="26" t="str">
        <f>IF(C595="","",INDEX(Rotation_Pattern!$B$4:$E$7,F595,MATCH(E595,{"A","B","C","D"},0)))</f>
        <v/>
      </c>
      <c r="H595" s="32" t="str">
        <f t="shared" si="28"/>
        <v/>
      </c>
      <c r="I595" s="32" t="str">
        <f>IF(OR(G595="Off",G595=""),"",H595+TIME(Settings!$B$8,0,0))</f>
        <v/>
      </c>
      <c r="J595" s="26">
        <f>IF(OR(G595="Off",G595=""),0,Settings!$B$8)</f>
        <v>0</v>
      </c>
      <c r="K595" s="25" t="s">
        <v>111</v>
      </c>
      <c r="L595" s="26" t="str">
        <f>IF(A595="","",IF(COUNTIF(Public_Holidays!$A$4:$A$80,A595)&gt;0,"Y","N"))</f>
        <v>N</v>
      </c>
      <c r="M595" s="26" t="str">
        <f t="shared" si="29"/>
        <v>N</v>
      </c>
      <c r="N595" s="26" t="e">
        <f ca="1">IF(A595="","",_xludf.TEXTJOIN("; ",TRUE,IF(SUMIFS($J:$J,$C:$C,C595,$B:$B,B595)&gt;Settings!$B$9,"Weekly ordinary hrs &gt;45",""),IF(SUMIFS(Claims!$H:$H,Claims!$C:$C,C595,Claims!$B:$B,B595)&gt;Settings!$B$10,"Weekly OT &gt;10",""),IF(AND(G595&lt;&gt;"Off",COUNTIFS($C:$C,C595,$A:$A,A595-1,$G:$G,"Night")&gt;0),"Rest &lt;12h after night shift",""),IF(J595&gt;5,"Meal interval required","")))</f>
        <v>#NAME?</v>
      </c>
      <c r="O595" s="25" t="s">
        <v>112</v>
      </c>
      <c r="P595" s="25"/>
    </row>
    <row r="596" spans="1:16" x14ac:dyDescent="0.35">
      <c r="A596" s="31">
        <f>IF(29+1&lt;=Settings!$B$7,Settings!$B$6+29,"")</f>
        <v>46172</v>
      </c>
      <c r="B596" s="31">
        <f t="shared" si="27"/>
        <v>46167</v>
      </c>
      <c r="C596" s="26" t="str">
        <f>IF(Employees!A16="","",Employees!A16)</f>
        <v/>
      </c>
      <c r="D596" s="26" t="str">
        <f>IF(C596="","",Employees!B16)</f>
        <v/>
      </c>
      <c r="E596" s="26" t="str">
        <f>IF(C596="","",Employees!C16)</f>
        <v/>
      </c>
      <c r="F596" s="26">
        <f>IF(A596="","",MOD(A596-Settings!$B$6,4)+1)</f>
        <v>2</v>
      </c>
      <c r="G596" s="26" t="str">
        <f>IF(C596="","",INDEX(Rotation_Pattern!$B$4:$E$7,F596,MATCH(E596,{"A","B","C","D"},0)))</f>
        <v/>
      </c>
      <c r="H596" s="32" t="str">
        <f t="shared" si="28"/>
        <v/>
      </c>
      <c r="I596" s="32" t="str">
        <f>IF(OR(G596="Off",G596=""),"",H596+TIME(Settings!$B$8,0,0))</f>
        <v/>
      </c>
      <c r="J596" s="26">
        <f>IF(OR(G596="Off",G596=""),0,Settings!$B$8)</f>
        <v>0</v>
      </c>
      <c r="K596" s="25" t="s">
        <v>111</v>
      </c>
      <c r="L596" s="26" t="str">
        <f>IF(A596="","",IF(COUNTIF(Public_Holidays!$A$4:$A$80,A596)&gt;0,"Y","N"))</f>
        <v>N</v>
      </c>
      <c r="M596" s="26" t="str">
        <f t="shared" si="29"/>
        <v>N</v>
      </c>
      <c r="N596" s="26" t="e">
        <f ca="1">IF(A596="","",_xludf.TEXTJOIN("; ",TRUE,IF(SUMIFS($J:$J,$C:$C,C596,$B:$B,B596)&gt;Settings!$B$9,"Weekly ordinary hrs &gt;45",""),IF(SUMIFS(Claims!$H:$H,Claims!$C:$C,C596,Claims!$B:$B,B596)&gt;Settings!$B$10,"Weekly OT &gt;10",""),IF(AND(G596&lt;&gt;"Off",COUNTIFS($C:$C,C596,$A:$A,A596-1,$G:$G,"Night")&gt;0),"Rest &lt;12h after night shift",""),IF(J596&gt;5,"Meal interval required","")))</f>
        <v>#NAME?</v>
      </c>
      <c r="O596" s="25" t="s">
        <v>112</v>
      </c>
      <c r="P596" s="25"/>
    </row>
    <row r="597" spans="1:16" x14ac:dyDescent="0.35">
      <c r="A597" s="31">
        <f>IF(29+1&lt;=Settings!$B$7,Settings!$B$6+29,"")</f>
        <v>46172</v>
      </c>
      <c r="B597" s="31">
        <f t="shared" si="27"/>
        <v>46167</v>
      </c>
      <c r="C597" s="26" t="str">
        <f>IF(Employees!A17="","",Employees!A17)</f>
        <v/>
      </c>
      <c r="D597" s="26" t="str">
        <f>IF(C597="","",Employees!B17)</f>
        <v/>
      </c>
      <c r="E597" s="26" t="str">
        <f>IF(C597="","",Employees!C17)</f>
        <v/>
      </c>
      <c r="F597" s="26">
        <f>IF(A597="","",MOD(A597-Settings!$B$6,4)+1)</f>
        <v>2</v>
      </c>
      <c r="G597" s="26" t="str">
        <f>IF(C597="","",INDEX(Rotation_Pattern!$B$4:$E$7,F597,MATCH(E597,{"A","B","C","D"},0)))</f>
        <v/>
      </c>
      <c r="H597" s="32" t="str">
        <f t="shared" si="28"/>
        <v/>
      </c>
      <c r="I597" s="32" t="str">
        <f>IF(OR(G597="Off",G597=""),"",H597+TIME(Settings!$B$8,0,0))</f>
        <v/>
      </c>
      <c r="J597" s="26">
        <f>IF(OR(G597="Off",G597=""),0,Settings!$B$8)</f>
        <v>0</v>
      </c>
      <c r="K597" s="25" t="s">
        <v>111</v>
      </c>
      <c r="L597" s="26" t="str">
        <f>IF(A597="","",IF(COUNTIF(Public_Holidays!$A$4:$A$80,A597)&gt;0,"Y","N"))</f>
        <v>N</v>
      </c>
      <c r="M597" s="26" t="str">
        <f t="shared" si="29"/>
        <v>N</v>
      </c>
      <c r="N597" s="26" t="e">
        <f ca="1">IF(A597="","",_xludf.TEXTJOIN("; ",TRUE,IF(SUMIFS($J:$J,$C:$C,C597,$B:$B,B597)&gt;Settings!$B$9,"Weekly ordinary hrs &gt;45",""),IF(SUMIFS(Claims!$H:$H,Claims!$C:$C,C597,Claims!$B:$B,B597)&gt;Settings!$B$10,"Weekly OT &gt;10",""),IF(AND(G597&lt;&gt;"Off",COUNTIFS($C:$C,C597,$A:$A,A597-1,$G:$G,"Night")&gt;0),"Rest &lt;12h after night shift",""),IF(J597&gt;5,"Meal interval required","")))</f>
        <v>#NAME?</v>
      </c>
      <c r="O597" s="25" t="s">
        <v>112</v>
      </c>
      <c r="P597" s="25"/>
    </row>
    <row r="598" spans="1:16" x14ac:dyDescent="0.35">
      <c r="A598" s="31">
        <f>IF(29+1&lt;=Settings!$B$7,Settings!$B$6+29,"")</f>
        <v>46172</v>
      </c>
      <c r="B598" s="31">
        <f t="shared" si="27"/>
        <v>46167</v>
      </c>
      <c r="C598" s="26" t="str">
        <f>IF(Employees!A18="","",Employees!A18)</f>
        <v/>
      </c>
      <c r="D598" s="26" t="str">
        <f>IF(C598="","",Employees!B18)</f>
        <v/>
      </c>
      <c r="E598" s="26" t="str">
        <f>IF(C598="","",Employees!C18)</f>
        <v/>
      </c>
      <c r="F598" s="26">
        <f>IF(A598="","",MOD(A598-Settings!$B$6,4)+1)</f>
        <v>2</v>
      </c>
      <c r="G598" s="26" t="str">
        <f>IF(C598="","",INDEX(Rotation_Pattern!$B$4:$E$7,F598,MATCH(E598,{"A","B","C","D"},0)))</f>
        <v/>
      </c>
      <c r="H598" s="32" t="str">
        <f t="shared" si="28"/>
        <v/>
      </c>
      <c r="I598" s="32" t="str">
        <f>IF(OR(G598="Off",G598=""),"",H598+TIME(Settings!$B$8,0,0))</f>
        <v/>
      </c>
      <c r="J598" s="26">
        <f>IF(OR(G598="Off",G598=""),0,Settings!$B$8)</f>
        <v>0</v>
      </c>
      <c r="K598" s="25" t="s">
        <v>111</v>
      </c>
      <c r="L598" s="26" t="str">
        <f>IF(A598="","",IF(COUNTIF(Public_Holidays!$A$4:$A$80,A598)&gt;0,"Y","N"))</f>
        <v>N</v>
      </c>
      <c r="M598" s="26" t="str">
        <f t="shared" si="29"/>
        <v>N</v>
      </c>
      <c r="N598" s="26" t="e">
        <f ca="1">IF(A598="","",_xludf.TEXTJOIN("; ",TRUE,IF(SUMIFS($J:$J,$C:$C,C598,$B:$B,B598)&gt;Settings!$B$9,"Weekly ordinary hrs &gt;45",""),IF(SUMIFS(Claims!$H:$H,Claims!$C:$C,C598,Claims!$B:$B,B598)&gt;Settings!$B$10,"Weekly OT &gt;10",""),IF(AND(G598&lt;&gt;"Off",COUNTIFS($C:$C,C598,$A:$A,A598-1,$G:$G,"Night")&gt;0),"Rest &lt;12h after night shift",""),IF(J598&gt;5,"Meal interval required","")))</f>
        <v>#NAME?</v>
      </c>
      <c r="O598" s="25" t="s">
        <v>112</v>
      </c>
      <c r="P598" s="25"/>
    </row>
    <row r="599" spans="1:16" x14ac:dyDescent="0.35">
      <c r="A599" s="31">
        <f>IF(29+1&lt;=Settings!$B$7,Settings!$B$6+29,"")</f>
        <v>46172</v>
      </c>
      <c r="B599" s="31">
        <f t="shared" si="27"/>
        <v>46167</v>
      </c>
      <c r="C599" s="26" t="str">
        <f>IF(Employees!A19="","",Employees!A19)</f>
        <v/>
      </c>
      <c r="D599" s="26" t="str">
        <f>IF(C599="","",Employees!B19)</f>
        <v/>
      </c>
      <c r="E599" s="26" t="str">
        <f>IF(C599="","",Employees!C19)</f>
        <v/>
      </c>
      <c r="F599" s="26">
        <f>IF(A599="","",MOD(A599-Settings!$B$6,4)+1)</f>
        <v>2</v>
      </c>
      <c r="G599" s="26" t="str">
        <f>IF(C599="","",INDEX(Rotation_Pattern!$B$4:$E$7,F599,MATCH(E599,{"A","B","C","D"},0)))</f>
        <v/>
      </c>
      <c r="H599" s="32" t="str">
        <f t="shared" si="28"/>
        <v/>
      </c>
      <c r="I599" s="32" t="str">
        <f>IF(OR(G599="Off",G599=""),"",H599+TIME(Settings!$B$8,0,0))</f>
        <v/>
      </c>
      <c r="J599" s="26">
        <f>IF(OR(G599="Off",G599=""),0,Settings!$B$8)</f>
        <v>0</v>
      </c>
      <c r="K599" s="25" t="s">
        <v>111</v>
      </c>
      <c r="L599" s="26" t="str">
        <f>IF(A599="","",IF(COUNTIF(Public_Holidays!$A$4:$A$80,A599)&gt;0,"Y","N"))</f>
        <v>N</v>
      </c>
      <c r="M599" s="26" t="str">
        <f t="shared" si="29"/>
        <v>N</v>
      </c>
      <c r="N599" s="26" t="e">
        <f ca="1">IF(A599="","",_xludf.TEXTJOIN("; ",TRUE,IF(SUMIFS($J:$J,$C:$C,C599,$B:$B,B599)&gt;Settings!$B$9,"Weekly ordinary hrs &gt;45",""),IF(SUMIFS(Claims!$H:$H,Claims!$C:$C,C599,Claims!$B:$B,B599)&gt;Settings!$B$10,"Weekly OT &gt;10",""),IF(AND(G599&lt;&gt;"Off",COUNTIFS($C:$C,C599,$A:$A,A599-1,$G:$G,"Night")&gt;0),"Rest &lt;12h after night shift",""),IF(J599&gt;5,"Meal interval required","")))</f>
        <v>#NAME?</v>
      </c>
      <c r="O599" s="25" t="s">
        <v>112</v>
      </c>
      <c r="P599" s="25"/>
    </row>
    <row r="600" spans="1:16" x14ac:dyDescent="0.35">
      <c r="A600" s="31">
        <f>IF(29+1&lt;=Settings!$B$7,Settings!$B$6+29,"")</f>
        <v>46172</v>
      </c>
      <c r="B600" s="31">
        <f t="shared" si="27"/>
        <v>46167</v>
      </c>
      <c r="C600" s="26" t="str">
        <f>IF(Employees!A20="","",Employees!A20)</f>
        <v/>
      </c>
      <c r="D600" s="26" t="str">
        <f>IF(C600="","",Employees!B20)</f>
        <v/>
      </c>
      <c r="E600" s="26" t="str">
        <f>IF(C600="","",Employees!C20)</f>
        <v/>
      </c>
      <c r="F600" s="26">
        <f>IF(A600="","",MOD(A600-Settings!$B$6,4)+1)</f>
        <v>2</v>
      </c>
      <c r="G600" s="26" t="str">
        <f>IF(C600="","",INDEX(Rotation_Pattern!$B$4:$E$7,F600,MATCH(E600,{"A","B","C","D"},0)))</f>
        <v/>
      </c>
      <c r="H600" s="32" t="str">
        <f t="shared" si="28"/>
        <v/>
      </c>
      <c r="I600" s="32" t="str">
        <f>IF(OR(G600="Off",G600=""),"",H600+TIME(Settings!$B$8,0,0))</f>
        <v/>
      </c>
      <c r="J600" s="26">
        <f>IF(OR(G600="Off",G600=""),0,Settings!$B$8)</f>
        <v>0</v>
      </c>
      <c r="K600" s="25" t="s">
        <v>111</v>
      </c>
      <c r="L600" s="26" t="str">
        <f>IF(A600="","",IF(COUNTIF(Public_Holidays!$A$4:$A$80,A600)&gt;0,"Y","N"))</f>
        <v>N</v>
      </c>
      <c r="M600" s="26" t="str">
        <f t="shared" si="29"/>
        <v>N</v>
      </c>
      <c r="N600" s="26" t="e">
        <f ca="1">IF(A600="","",_xludf.TEXTJOIN("; ",TRUE,IF(SUMIFS($J:$J,$C:$C,C600,$B:$B,B600)&gt;Settings!$B$9,"Weekly ordinary hrs &gt;45",""),IF(SUMIFS(Claims!$H:$H,Claims!$C:$C,C600,Claims!$B:$B,B600)&gt;Settings!$B$10,"Weekly OT &gt;10",""),IF(AND(G600&lt;&gt;"Off",COUNTIFS($C:$C,C600,$A:$A,A600-1,$G:$G,"Night")&gt;0),"Rest &lt;12h after night shift",""),IF(J600&gt;5,"Meal interval required","")))</f>
        <v>#NAME?</v>
      </c>
      <c r="O600" s="25" t="s">
        <v>112</v>
      </c>
      <c r="P600" s="25"/>
    </row>
    <row r="601" spans="1:16" x14ac:dyDescent="0.35">
      <c r="A601" s="31">
        <f>IF(29+1&lt;=Settings!$B$7,Settings!$B$6+29,"")</f>
        <v>46172</v>
      </c>
      <c r="B601" s="31">
        <f t="shared" si="27"/>
        <v>46167</v>
      </c>
      <c r="C601" s="26" t="str">
        <f>IF(Employees!A21="","",Employees!A21)</f>
        <v/>
      </c>
      <c r="D601" s="26" t="str">
        <f>IF(C601="","",Employees!B21)</f>
        <v/>
      </c>
      <c r="E601" s="26" t="str">
        <f>IF(C601="","",Employees!C21)</f>
        <v/>
      </c>
      <c r="F601" s="26">
        <f>IF(A601="","",MOD(A601-Settings!$B$6,4)+1)</f>
        <v>2</v>
      </c>
      <c r="G601" s="26" t="str">
        <f>IF(C601="","",INDEX(Rotation_Pattern!$B$4:$E$7,F601,MATCH(E601,{"A","B","C","D"},0)))</f>
        <v/>
      </c>
      <c r="H601" s="32" t="str">
        <f t="shared" si="28"/>
        <v/>
      </c>
      <c r="I601" s="32" t="str">
        <f>IF(OR(G601="Off",G601=""),"",H601+TIME(Settings!$B$8,0,0))</f>
        <v/>
      </c>
      <c r="J601" s="26">
        <f>IF(OR(G601="Off",G601=""),0,Settings!$B$8)</f>
        <v>0</v>
      </c>
      <c r="K601" s="25" t="s">
        <v>111</v>
      </c>
      <c r="L601" s="26" t="str">
        <f>IF(A601="","",IF(COUNTIF(Public_Holidays!$A$4:$A$80,A601)&gt;0,"Y","N"))</f>
        <v>N</v>
      </c>
      <c r="M601" s="26" t="str">
        <f t="shared" si="29"/>
        <v>N</v>
      </c>
      <c r="N601" s="26" t="e">
        <f ca="1">IF(A601="","",_xludf.TEXTJOIN("; ",TRUE,IF(SUMIFS($J:$J,$C:$C,C601,$B:$B,B601)&gt;Settings!$B$9,"Weekly ordinary hrs &gt;45",""),IF(SUMIFS(Claims!$H:$H,Claims!$C:$C,C601,Claims!$B:$B,B601)&gt;Settings!$B$10,"Weekly OT &gt;10",""),IF(AND(G601&lt;&gt;"Off",COUNTIFS($C:$C,C601,$A:$A,A601-1,$G:$G,"Night")&gt;0),"Rest &lt;12h after night shift",""),IF(J601&gt;5,"Meal interval required","")))</f>
        <v>#NAME?</v>
      </c>
      <c r="O601" s="25" t="s">
        <v>112</v>
      </c>
      <c r="P601" s="25"/>
    </row>
    <row r="602" spans="1:16" x14ac:dyDescent="0.35">
      <c r="A602" s="31">
        <f>IF(29+1&lt;=Settings!$B$7,Settings!$B$6+29,"")</f>
        <v>46172</v>
      </c>
      <c r="B602" s="31">
        <f t="shared" si="27"/>
        <v>46167</v>
      </c>
      <c r="C602" s="26" t="str">
        <f>IF(Employees!A22="","",Employees!A22)</f>
        <v/>
      </c>
      <c r="D602" s="26" t="str">
        <f>IF(C602="","",Employees!B22)</f>
        <v/>
      </c>
      <c r="E602" s="26" t="str">
        <f>IF(C602="","",Employees!C22)</f>
        <v/>
      </c>
      <c r="F602" s="26">
        <f>IF(A602="","",MOD(A602-Settings!$B$6,4)+1)</f>
        <v>2</v>
      </c>
      <c r="G602" s="26" t="str">
        <f>IF(C602="","",INDEX(Rotation_Pattern!$B$4:$E$7,F602,MATCH(E602,{"A","B","C","D"},0)))</f>
        <v/>
      </c>
      <c r="H602" s="32" t="str">
        <f t="shared" si="28"/>
        <v/>
      </c>
      <c r="I602" s="32" t="str">
        <f>IF(OR(G602="Off",G602=""),"",H602+TIME(Settings!$B$8,0,0))</f>
        <v/>
      </c>
      <c r="J602" s="26">
        <f>IF(OR(G602="Off",G602=""),0,Settings!$B$8)</f>
        <v>0</v>
      </c>
      <c r="K602" s="25" t="s">
        <v>111</v>
      </c>
      <c r="L602" s="26" t="str">
        <f>IF(A602="","",IF(COUNTIF(Public_Holidays!$A$4:$A$80,A602)&gt;0,"Y","N"))</f>
        <v>N</v>
      </c>
      <c r="M602" s="26" t="str">
        <f t="shared" si="29"/>
        <v>N</v>
      </c>
      <c r="N602" s="26" t="e">
        <f ca="1">IF(A602="","",_xludf.TEXTJOIN("; ",TRUE,IF(SUMIFS($J:$J,$C:$C,C602,$B:$B,B602)&gt;Settings!$B$9,"Weekly ordinary hrs &gt;45",""),IF(SUMIFS(Claims!$H:$H,Claims!$C:$C,C602,Claims!$B:$B,B602)&gt;Settings!$B$10,"Weekly OT &gt;10",""),IF(AND(G602&lt;&gt;"Off",COUNTIFS($C:$C,C602,$A:$A,A602-1,$G:$G,"Night")&gt;0),"Rest &lt;12h after night shift",""),IF(J602&gt;5,"Meal interval required","")))</f>
        <v>#NAME?</v>
      </c>
      <c r="O602" s="25" t="s">
        <v>112</v>
      </c>
      <c r="P602" s="25"/>
    </row>
    <row r="603" spans="1:16" x14ac:dyDescent="0.35">
      <c r="A603" s="31">
        <f>IF(29+1&lt;=Settings!$B$7,Settings!$B$6+29,"")</f>
        <v>46172</v>
      </c>
      <c r="B603" s="31">
        <f t="shared" si="27"/>
        <v>46167</v>
      </c>
      <c r="C603" s="26" t="str">
        <f>IF(Employees!A23="","",Employees!A23)</f>
        <v/>
      </c>
      <c r="D603" s="26" t="str">
        <f>IF(C603="","",Employees!B23)</f>
        <v/>
      </c>
      <c r="E603" s="26" t="str">
        <f>IF(C603="","",Employees!C23)</f>
        <v/>
      </c>
      <c r="F603" s="26">
        <f>IF(A603="","",MOD(A603-Settings!$B$6,4)+1)</f>
        <v>2</v>
      </c>
      <c r="G603" s="26" t="str">
        <f>IF(C603="","",INDEX(Rotation_Pattern!$B$4:$E$7,F603,MATCH(E603,{"A","B","C","D"},0)))</f>
        <v/>
      </c>
      <c r="H603" s="32" t="str">
        <f t="shared" si="28"/>
        <v/>
      </c>
      <c r="I603" s="32" t="str">
        <f>IF(OR(G603="Off",G603=""),"",H603+TIME(Settings!$B$8,0,0))</f>
        <v/>
      </c>
      <c r="J603" s="26">
        <f>IF(OR(G603="Off",G603=""),0,Settings!$B$8)</f>
        <v>0</v>
      </c>
      <c r="K603" s="25" t="s">
        <v>111</v>
      </c>
      <c r="L603" s="26" t="str">
        <f>IF(A603="","",IF(COUNTIF(Public_Holidays!$A$4:$A$80,A603)&gt;0,"Y","N"))</f>
        <v>N</v>
      </c>
      <c r="M603" s="26" t="str">
        <f t="shared" si="29"/>
        <v>N</v>
      </c>
      <c r="N603" s="26" t="e">
        <f ca="1">IF(A603="","",_xludf.TEXTJOIN("; ",TRUE,IF(SUMIFS($J:$J,$C:$C,C603,$B:$B,B603)&gt;Settings!$B$9,"Weekly ordinary hrs &gt;45",""),IF(SUMIFS(Claims!$H:$H,Claims!$C:$C,C603,Claims!$B:$B,B603)&gt;Settings!$B$10,"Weekly OT &gt;10",""),IF(AND(G603&lt;&gt;"Off",COUNTIFS($C:$C,C603,$A:$A,A603-1,$G:$G,"Night")&gt;0),"Rest &lt;12h after night shift",""),IF(J603&gt;5,"Meal interval required","")))</f>
        <v>#NAME?</v>
      </c>
      <c r="O603" s="25" t="s">
        <v>112</v>
      </c>
      <c r="P603" s="25"/>
    </row>
    <row r="604" spans="1:16" x14ac:dyDescent="0.35">
      <c r="A604" s="31">
        <f>IF(30+1&lt;=Settings!$B$7,Settings!$B$6+30,"")</f>
        <v>46173</v>
      </c>
      <c r="B604" s="31">
        <f t="shared" si="27"/>
        <v>46167</v>
      </c>
      <c r="C604" s="26" t="str">
        <f>IF(Employees!A4="","",Employees!A4)</f>
        <v>E001</v>
      </c>
      <c r="D604" s="26" t="str">
        <f>IF(C604="","",Employees!B4)</f>
        <v>Musiwa Khavalani</v>
      </c>
      <c r="E604" s="26">
        <f>IF(C604="","",Employees!C4)</f>
        <v>0</v>
      </c>
      <c r="F604" s="26">
        <f>IF(A604="","",MOD(A604-Settings!$B$6,4)+1)</f>
        <v>3</v>
      </c>
      <c r="G604" s="26" t="e">
        <f>IF(C604="","",INDEX(Rotation_Pattern!$B$4:$E$7,F604,MATCH(E604,{"A","B","C","D"},0)))</f>
        <v>#N/A</v>
      </c>
      <c r="H604" s="32" t="e">
        <f t="shared" si="28"/>
        <v>#N/A</v>
      </c>
      <c r="I604" s="32" t="e">
        <f>IF(OR(G604="Off",G604=""),"",H604+TIME(Settings!$B$8,0,0))</f>
        <v>#N/A</v>
      </c>
      <c r="J604" s="26" t="e">
        <f>IF(OR(G604="Off",G604=""),0,Settings!$B$8)</f>
        <v>#N/A</v>
      </c>
      <c r="K604" s="25" t="s">
        <v>111</v>
      </c>
      <c r="L604" s="26" t="str">
        <f>IF(A604="","",IF(COUNTIF(Public_Holidays!$A$4:$A$80,A604)&gt;0,"Y","N"))</f>
        <v>N</v>
      </c>
      <c r="M604" s="26" t="str">
        <f t="shared" si="29"/>
        <v>Y</v>
      </c>
      <c r="N604" s="26" t="e">
        <f ca="1">IF(A604="","",_xludf.TEXTJOIN("; ",TRUE,IF(SUMIFS($J:$J,$C:$C,C604,$B:$B,B604)&gt;Settings!$B$9,"Weekly ordinary hrs &gt;45",""),IF(SUMIFS(Claims!$H:$H,Claims!$C:$C,C604,Claims!$B:$B,B604)&gt;Settings!$B$10,"Weekly OT &gt;10",""),IF(AND(G604&lt;&gt;"Off",COUNTIFS($C:$C,C604,$A:$A,A604-1,$G:$G,"Night")&gt;0),"Rest &lt;12h after night shift",""),IF(J604&gt;5,"Meal interval required","")))</f>
        <v>#NAME?</v>
      </c>
      <c r="O604" s="25" t="s">
        <v>112</v>
      </c>
      <c r="P604" s="25"/>
    </row>
    <row r="605" spans="1:16" x14ac:dyDescent="0.35">
      <c r="A605" s="31">
        <f>IF(30+1&lt;=Settings!$B$7,Settings!$B$6+30,"")</f>
        <v>46173</v>
      </c>
      <c r="B605" s="31">
        <f t="shared" si="27"/>
        <v>46167</v>
      </c>
      <c r="C605" s="26" t="str">
        <f>IF(Employees!A5="","",Employees!A5)</f>
        <v>E002</v>
      </c>
      <c r="D605" s="26" t="str">
        <f>IF(C605="","",Employees!B5)</f>
        <v>Mpho  Nembemhia</v>
      </c>
      <c r="E605" s="26" t="str">
        <f>IF(C605="","",Employees!C5)</f>
        <v>B</v>
      </c>
      <c r="F605" s="26">
        <f>IF(A605="","",MOD(A605-Settings!$B$6,4)+1)</f>
        <v>3</v>
      </c>
      <c r="G605" s="26" t="str">
        <f>IF(C605="","",INDEX(Rotation_Pattern!$B$4:$E$7,F605,MATCH(E605,{"A","B","C","D"},0)))</f>
        <v>Evening</v>
      </c>
      <c r="H605" s="32">
        <f t="shared" si="28"/>
        <v>0.58333333333333337</v>
      </c>
      <c r="I605" s="32">
        <f>IF(OR(G605="Off",G605=""),"",H605+TIME(Settings!$B$8,0,0))</f>
        <v>0.91666666666666674</v>
      </c>
      <c r="J605" s="26">
        <f>IF(OR(G605="Off",G605=""),0,Settings!$B$8)</f>
        <v>8</v>
      </c>
      <c r="K605" s="25" t="s">
        <v>111</v>
      </c>
      <c r="L605" s="26" t="str">
        <f>IF(A605="","",IF(COUNTIF(Public_Holidays!$A$4:$A$80,A605)&gt;0,"Y","N"))</f>
        <v>N</v>
      </c>
      <c r="M605" s="26" t="str">
        <f t="shared" si="29"/>
        <v>Y</v>
      </c>
      <c r="N605" s="26" t="e">
        <f ca="1">IF(A605="","",_xludf.TEXTJOIN("; ",TRUE,IF(SUMIFS($J:$J,$C:$C,C605,$B:$B,B605)&gt;Settings!$B$9,"Weekly ordinary hrs &gt;45",""),IF(SUMIFS(Claims!$H:$H,Claims!$C:$C,C605,Claims!$B:$B,B605)&gt;Settings!$B$10,"Weekly OT &gt;10",""),IF(AND(G605&lt;&gt;"Off",COUNTIFS($C:$C,C605,$A:$A,A605-1,$G:$G,"Night")&gt;0),"Rest &lt;12h after night shift",""),IF(J605&gt;5,"Meal interval required","")))</f>
        <v>#NAME?</v>
      </c>
      <c r="O605" s="25" t="s">
        <v>112</v>
      </c>
      <c r="P605" s="25"/>
    </row>
    <row r="606" spans="1:16" x14ac:dyDescent="0.35">
      <c r="A606" s="31">
        <f>IF(30+1&lt;=Settings!$B$7,Settings!$B$6+30,"")</f>
        <v>46173</v>
      </c>
      <c r="B606" s="31">
        <f t="shared" si="27"/>
        <v>46167</v>
      </c>
      <c r="C606" s="26" t="str">
        <f>IF(Employees!A6="","",Employees!A6)</f>
        <v>E003</v>
      </c>
      <c r="D606" s="26" t="str">
        <f>IF(C606="","",Employees!B6)</f>
        <v>Dimpho Makhafola</v>
      </c>
      <c r="E606" s="26" t="str">
        <f>IF(C606="","",Employees!C6)</f>
        <v>C</v>
      </c>
      <c r="F606" s="26">
        <f>IF(A606="","",MOD(A606-Settings!$B$6,4)+1)</f>
        <v>3</v>
      </c>
      <c r="G606" s="26" t="str">
        <f>IF(C606="","",INDEX(Rotation_Pattern!$B$4:$E$7,F606,MATCH(E606,{"A","B","C","D"},0)))</f>
        <v>Day</v>
      </c>
      <c r="H606" s="32">
        <f t="shared" si="28"/>
        <v>0.25</v>
      </c>
      <c r="I606" s="32">
        <f>IF(OR(G606="Off",G606=""),"",H606+TIME(Settings!$B$8,0,0))</f>
        <v>0.58333333333333326</v>
      </c>
      <c r="J606" s="26">
        <f>IF(OR(G606="Off",G606=""),0,Settings!$B$8)</f>
        <v>8</v>
      </c>
      <c r="K606" s="25" t="s">
        <v>111</v>
      </c>
      <c r="L606" s="26" t="str">
        <f>IF(A606="","",IF(COUNTIF(Public_Holidays!$A$4:$A$80,A606)&gt;0,"Y","N"))</f>
        <v>N</v>
      </c>
      <c r="M606" s="26" t="str">
        <f t="shared" si="29"/>
        <v>Y</v>
      </c>
      <c r="N606" s="26" t="e">
        <f ca="1">IF(A606="","",_xludf.TEXTJOIN("; ",TRUE,IF(SUMIFS($J:$J,$C:$C,C606,$B:$B,B606)&gt;Settings!$B$9,"Weekly ordinary hrs &gt;45",""),IF(SUMIFS(Claims!$H:$H,Claims!$C:$C,C606,Claims!$B:$B,B606)&gt;Settings!$B$10,"Weekly OT &gt;10",""),IF(AND(G606&lt;&gt;"Off",COUNTIFS($C:$C,C606,$A:$A,A606-1,$G:$G,"Night")&gt;0),"Rest &lt;12h after night shift",""),IF(J606&gt;5,"Meal interval required","")))</f>
        <v>#NAME?</v>
      </c>
      <c r="O606" s="25" t="s">
        <v>112</v>
      </c>
      <c r="P606" s="25"/>
    </row>
    <row r="607" spans="1:16" x14ac:dyDescent="0.35">
      <c r="A607" s="31">
        <f>IF(30+1&lt;=Settings!$B$7,Settings!$B$6+30,"")</f>
        <v>46173</v>
      </c>
      <c r="B607" s="31">
        <f t="shared" si="27"/>
        <v>46167</v>
      </c>
      <c r="C607" s="26" t="str">
        <f>IF(Employees!A7="","",Employees!A7)</f>
        <v>E004</v>
      </c>
      <c r="D607" s="26" t="str">
        <f>IF(C607="","",Employees!B7)</f>
        <v>Bashii Fall</v>
      </c>
      <c r="E607" s="26" t="str">
        <f>IF(C607="","",Employees!C7)</f>
        <v>D</v>
      </c>
      <c r="F607" s="26">
        <f>IF(A607="","",MOD(A607-Settings!$B$6,4)+1)</f>
        <v>3</v>
      </c>
      <c r="G607" s="26" t="str">
        <f>IF(C607="","",INDEX(Rotation_Pattern!$B$4:$E$7,F607,MATCH(E607,{"A","B","C","D"},0)))</f>
        <v>Off</v>
      </c>
      <c r="H607" s="32" t="str">
        <f t="shared" si="28"/>
        <v/>
      </c>
      <c r="I607" s="32" t="str">
        <f>IF(OR(G607="Off",G607=""),"",H607+TIME(Settings!$B$8,0,0))</f>
        <v/>
      </c>
      <c r="J607" s="26">
        <f>IF(OR(G607="Off",G607=""),0,Settings!$B$8)</f>
        <v>0</v>
      </c>
      <c r="K607" s="25" t="s">
        <v>111</v>
      </c>
      <c r="L607" s="26" t="str">
        <f>IF(A607="","",IF(COUNTIF(Public_Holidays!$A$4:$A$80,A607)&gt;0,"Y","N"))</f>
        <v>N</v>
      </c>
      <c r="M607" s="26" t="str">
        <f t="shared" si="29"/>
        <v>Y</v>
      </c>
      <c r="N607" s="26" t="e">
        <f ca="1">IF(A607="","",_xludf.TEXTJOIN("; ",TRUE,IF(SUMIFS($J:$J,$C:$C,C607,$B:$B,B607)&gt;Settings!$B$9,"Weekly ordinary hrs &gt;45",""),IF(SUMIFS(Claims!$H:$H,Claims!$C:$C,C607,Claims!$B:$B,B607)&gt;Settings!$B$10,"Weekly OT &gt;10",""),IF(AND(G607&lt;&gt;"Off",COUNTIFS($C:$C,C607,$A:$A,A607-1,$G:$G,"Night")&gt;0),"Rest &lt;12h after night shift",""),IF(J607&gt;5,"Meal interval required","")))</f>
        <v>#NAME?</v>
      </c>
      <c r="O607" s="25" t="s">
        <v>112</v>
      </c>
      <c r="P607" s="25"/>
    </row>
    <row r="608" spans="1:16" x14ac:dyDescent="0.35">
      <c r="A608" s="31">
        <f>IF(30+1&lt;=Settings!$B$7,Settings!$B$6+30,"")</f>
        <v>46173</v>
      </c>
      <c r="B608" s="31">
        <f t="shared" si="27"/>
        <v>46167</v>
      </c>
      <c r="C608" s="26" t="str">
        <f>IF(Employees!A8="","",Employees!A8)</f>
        <v>E005</v>
      </c>
      <c r="D608" s="26" t="str">
        <f>IF(C608="","",Employees!B8)</f>
        <v>Lesego Aphane</v>
      </c>
      <c r="E608" s="26" t="str">
        <f>IF(C608="","",Employees!C8)</f>
        <v>A</v>
      </c>
      <c r="F608" s="26">
        <f>IF(A608="","",MOD(A608-Settings!$B$6,4)+1)</f>
        <v>3</v>
      </c>
      <c r="G608" s="26" t="str">
        <f>IF(C608="","",INDEX(Rotation_Pattern!$B$4:$E$7,F608,MATCH(E608,{"A","B","C","D"},0)))</f>
        <v>Night</v>
      </c>
      <c r="H608" s="32">
        <f t="shared" si="28"/>
        <v>0.91666666666666663</v>
      </c>
      <c r="I608" s="32">
        <f>IF(OR(G608="Off",G608=""),"",H608+TIME(Settings!$B$8,0,0))</f>
        <v>1.25</v>
      </c>
      <c r="J608" s="26">
        <f>IF(OR(G608="Off",G608=""),0,Settings!$B$8)</f>
        <v>8</v>
      </c>
      <c r="K608" s="25" t="s">
        <v>111</v>
      </c>
      <c r="L608" s="26" t="str">
        <f>IF(A608="","",IF(COUNTIF(Public_Holidays!$A$4:$A$80,A608)&gt;0,"Y","N"))</f>
        <v>N</v>
      </c>
      <c r="M608" s="26" t="str">
        <f t="shared" si="29"/>
        <v>Y</v>
      </c>
      <c r="N608" s="26" t="e">
        <f ca="1">IF(A608="","",_xludf.TEXTJOIN("; ",TRUE,IF(SUMIFS($J:$J,$C:$C,C608,$B:$B,B608)&gt;Settings!$B$9,"Weekly ordinary hrs &gt;45",""),IF(SUMIFS(Claims!$H:$H,Claims!$C:$C,C608,Claims!$B:$B,B608)&gt;Settings!$B$10,"Weekly OT &gt;10",""),IF(AND(G608&lt;&gt;"Off",COUNTIFS($C:$C,C608,$A:$A,A608-1,$G:$G,"Night")&gt;0),"Rest &lt;12h after night shift",""),IF(J608&gt;5,"Meal interval required","")))</f>
        <v>#NAME?</v>
      </c>
      <c r="O608" s="25" t="s">
        <v>112</v>
      </c>
      <c r="P608" s="25"/>
    </row>
    <row r="609" spans="1:16" x14ac:dyDescent="0.35">
      <c r="A609" s="31">
        <f>IF(30+1&lt;=Settings!$B$7,Settings!$B$6+30,"")</f>
        <v>46173</v>
      </c>
      <c r="B609" s="31">
        <f t="shared" si="27"/>
        <v>46167</v>
      </c>
      <c r="C609" s="26" t="str">
        <f>IF(Employees!A9="","",Employees!A9)</f>
        <v>E006</v>
      </c>
      <c r="D609" s="26" t="str">
        <f>IF(C609="","",Employees!B9)</f>
        <v>Nhalnahla</v>
      </c>
      <c r="E609" s="26" t="str">
        <f>IF(C609="","",Employees!C9)</f>
        <v>B</v>
      </c>
      <c r="F609" s="26">
        <f>IF(A609="","",MOD(A609-Settings!$B$6,4)+1)</f>
        <v>3</v>
      </c>
      <c r="G609" s="26" t="str">
        <f>IF(C609="","",INDEX(Rotation_Pattern!$B$4:$E$7,F609,MATCH(E609,{"A","B","C","D"},0)))</f>
        <v>Evening</v>
      </c>
      <c r="H609" s="32">
        <f t="shared" si="28"/>
        <v>0.58333333333333337</v>
      </c>
      <c r="I609" s="32">
        <f>IF(OR(G609="Off",G609=""),"",H609+TIME(Settings!$B$8,0,0))</f>
        <v>0.91666666666666674</v>
      </c>
      <c r="J609" s="26">
        <f>IF(OR(G609="Off",G609=""),0,Settings!$B$8)</f>
        <v>8</v>
      </c>
      <c r="K609" s="25" t="s">
        <v>111</v>
      </c>
      <c r="L609" s="26" t="str">
        <f>IF(A609="","",IF(COUNTIF(Public_Holidays!$A$4:$A$80,A609)&gt;0,"Y","N"))</f>
        <v>N</v>
      </c>
      <c r="M609" s="26" t="str">
        <f t="shared" si="29"/>
        <v>Y</v>
      </c>
      <c r="N609" s="26" t="e">
        <f ca="1">IF(A609="","",_xludf.TEXTJOIN("; ",TRUE,IF(SUMIFS($J:$J,$C:$C,C609,$B:$B,B609)&gt;Settings!$B$9,"Weekly ordinary hrs &gt;45",""),IF(SUMIFS(Claims!$H:$H,Claims!$C:$C,C609,Claims!$B:$B,B609)&gt;Settings!$B$10,"Weekly OT &gt;10",""),IF(AND(G609&lt;&gt;"Off",COUNTIFS($C:$C,C609,$A:$A,A609-1,$G:$G,"Night")&gt;0),"Rest &lt;12h after night shift",""),IF(J609&gt;5,"Meal interval required","")))</f>
        <v>#NAME?</v>
      </c>
      <c r="O609" s="25" t="s">
        <v>112</v>
      </c>
      <c r="P609" s="25"/>
    </row>
    <row r="610" spans="1:16" x14ac:dyDescent="0.35">
      <c r="A610" s="31">
        <f>IF(30+1&lt;=Settings!$B$7,Settings!$B$6+30,"")</f>
        <v>46173</v>
      </c>
      <c r="B610" s="31">
        <f t="shared" si="27"/>
        <v>46167</v>
      </c>
      <c r="C610" s="26" t="str">
        <f>IF(Employees!A10="","",Employees!A10)</f>
        <v>E007</v>
      </c>
      <c r="D610" s="26" t="str">
        <f>IF(C610="","",Employees!B10)</f>
        <v>Joe</v>
      </c>
      <c r="E610" s="26" t="str">
        <f>IF(C610="","",Employees!C10)</f>
        <v>C</v>
      </c>
      <c r="F610" s="26">
        <f>IF(A610="","",MOD(A610-Settings!$B$6,4)+1)</f>
        <v>3</v>
      </c>
      <c r="G610" s="26" t="str">
        <f>IF(C610="","",INDEX(Rotation_Pattern!$B$4:$E$7,F610,MATCH(E610,{"A","B","C","D"},0)))</f>
        <v>Day</v>
      </c>
      <c r="H610" s="32">
        <f t="shared" si="28"/>
        <v>0.25</v>
      </c>
      <c r="I610" s="32">
        <f>IF(OR(G610="Off",G610=""),"",H610+TIME(Settings!$B$8,0,0))</f>
        <v>0.58333333333333326</v>
      </c>
      <c r="J610" s="26">
        <f>IF(OR(G610="Off",G610=""),0,Settings!$B$8)</f>
        <v>8</v>
      </c>
      <c r="K610" s="25" t="s">
        <v>111</v>
      </c>
      <c r="L610" s="26" t="str">
        <f>IF(A610="","",IF(COUNTIF(Public_Holidays!$A$4:$A$80,A610)&gt;0,"Y","N"))</f>
        <v>N</v>
      </c>
      <c r="M610" s="26" t="str">
        <f t="shared" si="29"/>
        <v>Y</v>
      </c>
      <c r="N610" s="26" t="e">
        <f ca="1">IF(A610="","",_xludf.TEXTJOIN("; ",TRUE,IF(SUMIFS($J:$J,$C:$C,C610,$B:$B,B610)&gt;Settings!$B$9,"Weekly ordinary hrs &gt;45",""),IF(SUMIFS(Claims!$H:$H,Claims!$C:$C,C610,Claims!$B:$B,B610)&gt;Settings!$B$10,"Weekly OT &gt;10",""),IF(AND(G610&lt;&gt;"Off",COUNTIFS($C:$C,C610,$A:$A,A610-1,$G:$G,"Night")&gt;0),"Rest &lt;12h after night shift",""),IF(J610&gt;5,"Meal interval required","")))</f>
        <v>#NAME?</v>
      </c>
      <c r="O610" s="25" t="s">
        <v>112</v>
      </c>
      <c r="P610" s="25"/>
    </row>
    <row r="611" spans="1:16" x14ac:dyDescent="0.35">
      <c r="A611" s="31">
        <f>IF(30+1&lt;=Settings!$B$7,Settings!$B$6+30,"")</f>
        <v>46173</v>
      </c>
      <c r="B611" s="31">
        <f t="shared" si="27"/>
        <v>46167</v>
      </c>
      <c r="C611" s="26" t="str">
        <f>IF(Employees!A11="","",Employees!A11)</f>
        <v>E008</v>
      </c>
      <c r="D611" s="26" t="str">
        <f>IF(C611="","",Employees!B11)</f>
        <v>Tim</v>
      </c>
      <c r="E611" s="26" t="str">
        <f>IF(C611="","",Employees!C11)</f>
        <v>D</v>
      </c>
      <c r="F611" s="26">
        <f>IF(A611="","",MOD(A611-Settings!$B$6,4)+1)</f>
        <v>3</v>
      </c>
      <c r="G611" s="26" t="str">
        <f>IF(C611="","",INDEX(Rotation_Pattern!$B$4:$E$7,F611,MATCH(E611,{"A","B","C","D"},0)))</f>
        <v>Off</v>
      </c>
      <c r="H611" s="32" t="str">
        <f t="shared" si="28"/>
        <v/>
      </c>
      <c r="I611" s="32" t="str">
        <f>IF(OR(G611="Off",G611=""),"",H611+TIME(Settings!$B$8,0,0))</f>
        <v/>
      </c>
      <c r="J611" s="26">
        <f>IF(OR(G611="Off",G611=""),0,Settings!$B$8)</f>
        <v>0</v>
      </c>
      <c r="K611" s="25" t="s">
        <v>111</v>
      </c>
      <c r="L611" s="26" t="str">
        <f>IF(A611="","",IF(COUNTIF(Public_Holidays!$A$4:$A$80,A611)&gt;0,"Y","N"))</f>
        <v>N</v>
      </c>
      <c r="M611" s="26" t="str">
        <f t="shared" si="29"/>
        <v>Y</v>
      </c>
      <c r="N611" s="26" t="e">
        <f ca="1">IF(A611="","",_xludf.TEXTJOIN("; ",TRUE,IF(SUMIFS($J:$J,$C:$C,C611,$B:$B,B611)&gt;Settings!$B$9,"Weekly ordinary hrs &gt;45",""),IF(SUMIFS(Claims!$H:$H,Claims!$C:$C,C611,Claims!$B:$B,B611)&gt;Settings!$B$10,"Weekly OT &gt;10",""),IF(AND(G611&lt;&gt;"Off",COUNTIFS($C:$C,C611,$A:$A,A611-1,$G:$G,"Night")&gt;0),"Rest &lt;12h after night shift",""),IF(J611&gt;5,"Meal interval required","")))</f>
        <v>#NAME?</v>
      </c>
      <c r="O611" s="25" t="s">
        <v>112</v>
      </c>
      <c r="P611" s="25"/>
    </row>
    <row r="612" spans="1:16" x14ac:dyDescent="0.35">
      <c r="A612" s="31">
        <f>IF(30+1&lt;=Settings!$B$7,Settings!$B$6+30,"")</f>
        <v>46173</v>
      </c>
      <c r="B612" s="31">
        <f t="shared" si="27"/>
        <v>46167</v>
      </c>
      <c r="C612" s="26" t="str">
        <f>IF(Employees!A12="","",Employees!A12)</f>
        <v>E009</v>
      </c>
      <c r="D612" s="26" t="str">
        <f>IF(C612="","",Employees!B12)</f>
        <v>Frank</v>
      </c>
      <c r="E612" s="26" t="str">
        <f>IF(C612="","",Employees!C12)</f>
        <v>A</v>
      </c>
      <c r="F612" s="26">
        <f>IF(A612="","",MOD(A612-Settings!$B$6,4)+1)</f>
        <v>3</v>
      </c>
      <c r="G612" s="26" t="str">
        <f>IF(C612="","",INDEX(Rotation_Pattern!$B$4:$E$7,F612,MATCH(E612,{"A","B","C","D"},0)))</f>
        <v>Night</v>
      </c>
      <c r="H612" s="32">
        <f t="shared" si="28"/>
        <v>0.91666666666666663</v>
      </c>
      <c r="I612" s="32">
        <f>IF(OR(G612="Off",G612=""),"",H612+TIME(Settings!$B$8,0,0))</f>
        <v>1.25</v>
      </c>
      <c r="J612" s="26">
        <f>IF(OR(G612="Off",G612=""),0,Settings!$B$8)</f>
        <v>8</v>
      </c>
      <c r="K612" s="25" t="s">
        <v>111</v>
      </c>
      <c r="L612" s="26" t="str">
        <f>IF(A612="","",IF(COUNTIF(Public_Holidays!$A$4:$A$80,A612)&gt;0,"Y","N"))</f>
        <v>N</v>
      </c>
      <c r="M612" s="26" t="str">
        <f t="shared" si="29"/>
        <v>Y</v>
      </c>
      <c r="N612" s="26" t="e">
        <f ca="1">IF(A612="","",_xludf.TEXTJOIN("; ",TRUE,IF(SUMIFS($J:$J,$C:$C,C612,$B:$B,B612)&gt;Settings!$B$9,"Weekly ordinary hrs &gt;45",""),IF(SUMIFS(Claims!$H:$H,Claims!$C:$C,C612,Claims!$B:$B,B612)&gt;Settings!$B$10,"Weekly OT &gt;10",""),IF(AND(G612&lt;&gt;"Off",COUNTIFS($C:$C,C612,$A:$A,A612-1,$G:$G,"Night")&gt;0),"Rest &lt;12h after night shift",""),IF(J612&gt;5,"Meal interval required","")))</f>
        <v>#NAME?</v>
      </c>
      <c r="O612" s="25" t="s">
        <v>112</v>
      </c>
      <c r="P612" s="25"/>
    </row>
    <row r="613" spans="1:16" x14ac:dyDescent="0.35">
      <c r="A613" s="31">
        <f>IF(30+1&lt;=Settings!$B$7,Settings!$B$6+30,"")</f>
        <v>46173</v>
      </c>
      <c r="B613" s="31">
        <f t="shared" si="27"/>
        <v>46167</v>
      </c>
      <c r="C613" s="26" t="str">
        <f>IF(Employees!A13="","",Employees!A13)</f>
        <v/>
      </c>
      <c r="D613" s="26" t="str">
        <f>IF(C613="","",Employees!B13)</f>
        <v/>
      </c>
      <c r="E613" s="26" t="str">
        <f>IF(C613="","",Employees!C13)</f>
        <v/>
      </c>
      <c r="F613" s="26">
        <f>IF(A613="","",MOD(A613-Settings!$B$6,4)+1)</f>
        <v>3</v>
      </c>
      <c r="G613" s="26" t="str">
        <f>IF(C613="","",INDEX(Rotation_Pattern!$B$4:$E$7,F613,MATCH(E613,{"A","B","C","D"},0)))</f>
        <v/>
      </c>
      <c r="H613" s="32" t="str">
        <f t="shared" si="28"/>
        <v/>
      </c>
      <c r="I613" s="32" t="str">
        <f>IF(OR(G613="Off",G613=""),"",H613+TIME(Settings!$B$8,0,0))</f>
        <v/>
      </c>
      <c r="J613" s="26">
        <f>IF(OR(G613="Off",G613=""),0,Settings!$B$8)</f>
        <v>0</v>
      </c>
      <c r="K613" s="25" t="s">
        <v>111</v>
      </c>
      <c r="L613" s="26" t="str">
        <f>IF(A613="","",IF(COUNTIF(Public_Holidays!$A$4:$A$80,A613)&gt;0,"Y","N"))</f>
        <v>N</v>
      </c>
      <c r="M613" s="26" t="str">
        <f t="shared" si="29"/>
        <v>Y</v>
      </c>
      <c r="N613" s="26" t="e">
        <f ca="1">IF(A613="","",_xludf.TEXTJOIN("; ",TRUE,IF(SUMIFS($J:$J,$C:$C,C613,$B:$B,B613)&gt;Settings!$B$9,"Weekly ordinary hrs &gt;45",""),IF(SUMIFS(Claims!$H:$H,Claims!$C:$C,C613,Claims!$B:$B,B613)&gt;Settings!$B$10,"Weekly OT &gt;10",""),IF(AND(G613&lt;&gt;"Off",COUNTIFS($C:$C,C613,$A:$A,A613-1,$G:$G,"Night")&gt;0),"Rest &lt;12h after night shift",""),IF(J613&gt;5,"Meal interval required","")))</f>
        <v>#NAME?</v>
      </c>
      <c r="O613" s="25" t="s">
        <v>112</v>
      </c>
      <c r="P613" s="25"/>
    </row>
    <row r="614" spans="1:16" x14ac:dyDescent="0.35">
      <c r="A614" s="31">
        <f>IF(30+1&lt;=Settings!$B$7,Settings!$B$6+30,"")</f>
        <v>46173</v>
      </c>
      <c r="B614" s="31">
        <f t="shared" si="27"/>
        <v>46167</v>
      </c>
      <c r="C614" s="26" t="str">
        <f>IF(Employees!A14="","",Employees!A14)</f>
        <v/>
      </c>
      <c r="D614" s="26" t="str">
        <f>IF(C614="","",Employees!B14)</f>
        <v/>
      </c>
      <c r="E614" s="26" t="str">
        <f>IF(C614="","",Employees!C14)</f>
        <v/>
      </c>
      <c r="F614" s="26">
        <f>IF(A614="","",MOD(A614-Settings!$B$6,4)+1)</f>
        <v>3</v>
      </c>
      <c r="G614" s="26" t="str">
        <f>IF(C614="","",INDEX(Rotation_Pattern!$B$4:$E$7,F614,MATCH(E614,{"A","B","C","D"},0)))</f>
        <v/>
      </c>
      <c r="H614" s="32" t="str">
        <f t="shared" si="28"/>
        <v/>
      </c>
      <c r="I614" s="32" t="str">
        <f>IF(OR(G614="Off",G614=""),"",H614+TIME(Settings!$B$8,0,0))</f>
        <v/>
      </c>
      <c r="J614" s="26">
        <f>IF(OR(G614="Off",G614=""),0,Settings!$B$8)</f>
        <v>0</v>
      </c>
      <c r="K614" s="25" t="s">
        <v>111</v>
      </c>
      <c r="L614" s="26" t="str">
        <f>IF(A614="","",IF(COUNTIF(Public_Holidays!$A$4:$A$80,A614)&gt;0,"Y","N"))</f>
        <v>N</v>
      </c>
      <c r="M614" s="26" t="str">
        <f t="shared" si="29"/>
        <v>Y</v>
      </c>
      <c r="N614" s="26" t="e">
        <f ca="1">IF(A614="","",_xludf.TEXTJOIN("; ",TRUE,IF(SUMIFS($J:$J,$C:$C,C614,$B:$B,B614)&gt;Settings!$B$9,"Weekly ordinary hrs &gt;45",""),IF(SUMIFS(Claims!$H:$H,Claims!$C:$C,C614,Claims!$B:$B,B614)&gt;Settings!$B$10,"Weekly OT &gt;10",""),IF(AND(G614&lt;&gt;"Off",COUNTIFS($C:$C,C614,$A:$A,A614-1,$G:$G,"Night")&gt;0),"Rest &lt;12h after night shift",""),IF(J614&gt;5,"Meal interval required","")))</f>
        <v>#NAME?</v>
      </c>
      <c r="O614" s="25" t="s">
        <v>112</v>
      </c>
      <c r="P614" s="25"/>
    </row>
    <row r="615" spans="1:16" x14ac:dyDescent="0.35">
      <c r="A615" s="31">
        <f>IF(30+1&lt;=Settings!$B$7,Settings!$B$6+30,"")</f>
        <v>46173</v>
      </c>
      <c r="B615" s="31">
        <f t="shared" si="27"/>
        <v>46167</v>
      </c>
      <c r="C615" s="26" t="str">
        <f>IF(Employees!A15="","",Employees!A15)</f>
        <v/>
      </c>
      <c r="D615" s="26" t="str">
        <f>IF(C615="","",Employees!B15)</f>
        <v/>
      </c>
      <c r="E615" s="26" t="str">
        <f>IF(C615="","",Employees!C15)</f>
        <v/>
      </c>
      <c r="F615" s="26">
        <f>IF(A615="","",MOD(A615-Settings!$B$6,4)+1)</f>
        <v>3</v>
      </c>
      <c r="G615" s="26" t="str">
        <f>IF(C615="","",INDEX(Rotation_Pattern!$B$4:$E$7,F615,MATCH(E615,{"A","B","C","D"},0)))</f>
        <v/>
      </c>
      <c r="H615" s="32" t="str">
        <f t="shared" si="28"/>
        <v/>
      </c>
      <c r="I615" s="32" t="str">
        <f>IF(OR(G615="Off",G615=""),"",H615+TIME(Settings!$B$8,0,0))</f>
        <v/>
      </c>
      <c r="J615" s="26">
        <f>IF(OR(G615="Off",G615=""),0,Settings!$B$8)</f>
        <v>0</v>
      </c>
      <c r="K615" s="25" t="s">
        <v>111</v>
      </c>
      <c r="L615" s="26" t="str">
        <f>IF(A615="","",IF(COUNTIF(Public_Holidays!$A$4:$A$80,A615)&gt;0,"Y","N"))</f>
        <v>N</v>
      </c>
      <c r="M615" s="26" t="str">
        <f t="shared" si="29"/>
        <v>Y</v>
      </c>
      <c r="N615" s="26" t="e">
        <f ca="1">IF(A615="","",_xludf.TEXTJOIN("; ",TRUE,IF(SUMIFS($J:$J,$C:$C,C615,$B:$B,B615)&gt;Settings!$B$9,"Weekly ordinary hrs &gt;45",""),IF(SUMIFS(Claims!$H:$H,Claims!$C:$C,C615,Claims!$B:$B,B615)&gt;Settings!$B$10,"Weekly OT &gt;10",""),IF(AND(G615&lt;&gt;"Off",COUNTIFS($C:$C,C615,$A:$A,A615-1,$G:$G,"Night")&gt;0),"Rest &lt;12h after night shift",""),IF(J615&gt;5,"Meal interval required","")))</f>
        <v>#NAME?</v>
      </c>
      <c r="O615" s="25" t="s">
        <v>112</v>
      </c>
      <c r="P615" s="25"/>
    </row>
    <row r="616" spans="1:16" x14ac:dyDescent="0.35">
      <c r="A616" s="31">
        <f>IF(30+1&lt;=Settings!$B$7,Settings!$B$6+30,"")</f>
        <v>46173</v>
      </c>
      <c r="B616" s="31">
        <f t="shared" si="27"/>
        <v>46167</v>
      </c>
      <c r="C616" s="26" t="str">
        <f>IF(Employees!A16="","",Employees!A16)</f>
        <v/>
      </c>
      <c r="D616" s="26" t="str">
        <f>IF(C616="","",Employees!B16)</f>
        <v/>
      </c>
      <c r="E616" s="26" t="str">
        <f>IF(C616="","",Employees!C16)</f>
        <v/>
      </c>
      <c r="F616" s="26">
        <f>IF(A616="","",MOD(A616-Settings!$B$6,4)+1)</f>
        <v>3</v>
      </c>
      <c r="G616" s="26" t="str">
        <f>IF(C616="","",INDEX(Rotation_Pattern!$B$4:$E$7,F616,MATCH(E616,{"A","B","C","D"},0)))</f>
        <v/>
      </c>
      <c r="H616" s="32" t="str">
        <f t="shared" si="28"/>
        <v/>
      </c>
      <c r="I616" s="32" t="str">
        <f>IF(OR(G616="Off",G616=""),"",H616+TIME(Settings!$B$8,0,0))</f>
        <v/>
      </c>
      <c r="J616" s="26">
        <f>IF(OR(G616="Off",G616=""),0,Settings!$B$8)</f>
        <v>0</v>
      </c>
      <c r="K616" s="25" t="s">
        <v>111</v>
      </c>
      <c r="L616" s="26" t="str">
        <f>IF(A616="","",IF(COUNTIF(Public_Holidays!$A$4:$A$80,A616)&gt;0,"Y","N"))</f>
        <v>N</v>
      </c>
      <c r="M616" s="26" t="str">
        <f t="shared" si="29"/>
        <v>Y</v>
      </c>
      <c r="N616" s="26" t="e">
        <f ca="1">IF(A616="","",_xludf.TEXTJOIN("; ",TRUE,IF(SUMIFS($J:$J,$C:$C,C616,$B:$B,B616)&gt;Settings!$B$9,"Weekly ordinary hrs &gt;45",""),IF(SUMIFS(Claims!$H:$H,Claims!$C:$C,C616,Claims!$B:$B,B616)&gt;Settings!$B$10,"Weekly OT &gt;10",""),IF(AND(G616&lt;&gt;"Off",COUNTIFS($C:$C,C616,$A:$A,A616-1,$G:$G,"Night")&gt;0),"Rest &lt;12h after night shift",""),IF(J616&gt;5,"Meal interval required","")))</f>
        <v>#NAME?</v>
      </c>
      <c r="O616" s="25" t="s">
        <v>112</v>
      </c>
      <c r="P616" s="25"/>
    </row>
    <row r="617" spans="1:16" x14ac:dyDescent="0.35">
      <c r="A617" s="31">
        <f>IF(30+1&lt;=Settings!$B$7,Settings!$B$6+30,"")</f>
        <v>46173</v>
      </c>
      <c r="B617" s="31">
        <f t="shared" si="27"/>
        <v>46167</v>
      </c>
      <c r="C617" s="26" t="str">
        <f>IF(Employees!A17="","",Employees!A17)</f>
        <v/>
      </c>
      <c r="D617" s="26" t="str">
        <f>IF(C617="","",Employees!B17)</f>
        <v/>
      </c>
      <c r="E617" s="26" t="str">
        <f>IF(C617="","",Employees!C17)</f>
        <v/>
      </c>
      <c r="F617" s="26">
        <f>IF(A617="","",MOD(A617-Settings!$B$6,4)+1)</f>
        <v>3</v>
      </c>
      <c r="G617" s="26" t="str">
        <f>IF(C617="","",INDEX(Rotation_Pattern!$B$4:$E$7,F617,MATCH(E617,{"A","B","C","D"},0)))</f>
        <v/>
      </c>
      <c r="H617" s="32" t="str">
        <f t="shared" si="28"/>
        <v/>
      </c>
      <c r="I617" s="32" t="str">
        <f>IF(OR(G617="Off",G617=""),"",H617+TIME(Settings!$B$8,0,0))</f>
        <v/>
      </c>
      <c r="J617" s="26">
        <f>IF(OR(G617="Off",G617=""),0,Settings!$B$8)</f>
        <v>0</v>
      </c>
      <c r="K617" s="25" t="s">
        <v>111</v>
      </c>
      <c r="L617" s="26" t="str">
        <f>IF(A617="","",IF(COUNTIF(Public_Holidays!$A$4:$A$80,A617)&gt;0,"Y","N"))</f>
        <v>N</v>
      </c>
      <c r="M617" s="26" t="str">
        <f t="shared" si="29"/>
        <v>Y</v>
      </c>
      <c r="N617" s="26" t="e">
        <f ca="1">IF(A617="","",_xludf.TEXTJOIN("; ",TRUE,IF(SUMIFS($J:$J,$C:$C,C617,$B:$B,B617)&gt;Settings!$B$9,"Weekly ordinary hrs &gt;45",""),IF(SUMIFS(Claims!$H:$H,Claims!$C:$C,C617,Claims!$B:$B,B617)&gt;Settings!$B$10,"Weekly OT &gt;10",""),IF(AND(G617&lt;&gt;"Off",COUNTIFS($C:$C,C617,$A:$A,A617-1,$G:$G,"Night")&gt;0),"Rest &lt;12h after night shift",""),IF(J617&gt;5,"Meal interval required","")))</f>
        <v>#NAME?</v>
      </c>
      <c r="O617" s="25" t="s">
        <v>112</v>
      </c>
      <c r="P617" s="25"/>
    </row>
    <row r="618" spans="1:16" x14ac:dyDescent="0.35">
      <c r="A618" s="31">
        <f>IF(30+1&lt;=Settings!$B$7,Settings!$B$6+30,"")</f>
        <v>46173</v>
      </c>
      <c r="B618" s="31">
        <f t="shared" si="27"/>
        <v>46167</v>
      </c>
      <c r="C618" s="26" t="str">
        <f>IF(Employees!A18="","",Employees!A18)</f>
        <v/>
      </c>
      <c r="D618" s="26" t="str">
        <f>IF(C618="","",Employees!B18)</f>
        <v/>
      </c>
      <c r="E618" s="26" t="str">
        <f>IF(C618="","",Employees!C18)</f>
        <v/>
      </c>
      <c r="F618" s="26">
        <f>IF(A618="","",MOD(A618-Settings!$B$6,4)+1)</f>
        <v>3</v>
      </c>
      <c r="G618" s="26" t="str">
        <f>IF(C618="","",INDEX(Rotation_Pattern!$B$4:$E$7,F618,MATCH(E618,{"A","B","C","D"},0)))</f>
        <v/>
      </c>
      <c r="H618" s="32" t="str">
        <f t="shared" si="28"/>
        <v/>
      </c>
      <c r="I618" s="32" t="str">
        <f>IF(OR(G618="Off",G618=""),"",H618+TIME(Settings!$B$8,0,0))</f>
        <v/>
      </c>
      <c r="J618" s="26">
        <f>IF(OR(G618="Off",G618=""),0,Settings!$B$8)</f>
        <v>0</v>
      </c>
      <c r="K618" s="25" t="s">
        <v>111</v>
      </c>
      <c r="L618" s="26" t="str">
        <f>IF(A618="","",IF(COUNTIF(Public_Holidays!$A$4:$A$80,A618)&gt;0,"Y","N"))</f>
        <v>N</v>
      </c>
      <c r="M618" s="26" t="str">
        <f t="shared" si="29"/>
        <v>Y</v>
      </c>
      <c r="N618" s="26" t="e">
        <f ca="1">IF(A618="","",_xludf.TEXTJOIN("; ",TRUE,IF(SUMIFS($J:$J,$C:$C,C618,$B:$B,B618)&gt;Settings!$B$9,"Weekly ordinary hrs &gt;45",""),IF(SUMIFS(Claims!$H:$H,Claims!$C:$C,C618,Claims!$B:$B,B618)&gt;Settings!$B$10,"Weekly OT &gt;10",""),IF(AND(G618&lt;&gt;"Off",COUNTIFS($C:$C,C618,$A:$A,A618-1,$G:$G,"Night")&gt;0),"Rest &lt;12h after night shift",""),IF(J618&gt;5,"Meal interval required","")))</f>
        <v>#NAME?</v>
      </c>
      <c r="O618" s="25" t="s">
        <v>112</v>
      </c>
      <c r="P618" s="25"/>
    </row>
    <row r="619" spans="1:16" x14ac:dyDescent="0.35">
      <c r="A619" s="31">
        <f>IF(30+1&lt;=Settings!$B$7,Settings!$B$6+30,"")</f>
        <v>46173</v>
      </c>
      <c r="B619" s="31">
        <f t="shared" si="27"/>
        <v>46167</v>
      </c>
      <c r="C619" s="26" t="str">
        <f>IF(Employees!A19="","",Employees!A19)</f>
        <v/>
      </c>
      <c r="D619" s="26" t="str">
        <f>IF(C619="","",Employees!B19)</f>
        <v/>
      </c>
      <c r="E619" s="26" t="str">
        <f>IF(C619="","",Employees!C19)</f>
        <v/>
      </c>
      <c r="F619" s="26">
        <f>IF(A619="","",MOD(A619-Settings!$B$6,4)+1)</f>
        <v>3</v>
      </c>
      <c r="G619" s="26" t="str">
        <f>IF(C619="","",INDEX(Rotation_Pattern!$B$4:$E$7,F619,MATCH(E619,{"A","B","C","D"},0)))</f>
        <v/>
      </c>
      <c r="H619" s="32" t="str">
        <f t="shared" si="28"/>
        <v/>
      </c>
      <c r="I619" s="32" t="str">
        <f>IF(OR(G619="Off",G619=""),"",H619+TIME(Settings!$B$8,0,0))</f>
        <v/>
      </c>
      <c r="J619" s="26">
        <f>IF(OR(G619="Off",G619=""),0,Settings!$B$8)</f>
        <v>0</v>
      </c>
      <c r="K619" s="25" t="s">
        <v>111</v>
      </c>
      <c r="L619" s="26" t="str">
        <f>IF(A619="","",IF(COUNTIF(Public_Holidays!$A$4:$A$80,A619)&gt;0,"Y","N"))</f>
        <v>N</v>
      </c>
      <c r="M619" s="26" t="str">
        <f t="shared" si="29"/>
        <v>Y</v>
      </c>
      <c r="N619" s="26" t="e">
        <f ca="1">IF(A619="","",_xludf.TEXTJOIN("; ",TRUE,IF(SUMIFS($J:$J,$C:$C,C619,$B:$B,B619)&gt;Settings!$B$9,"Weekly ordinary hrs &gt;45",""),IF(SUMIFS(Claims!$H:$H,Claims!$C:$C,C619,Claims!$B:$B,B619)&gt;Settings!$B$10,"Weekly OT &gt;10",""),IF(AND(G619&lt;&gt;"Off",COUNTIFS($C:$C,C619,$A:$A,A619-1,$G:$G,"Night")&gt;0),"Rest &lt;12h after night shift",""),IF(J619&gt;5,"Meal interval required","")))</f>
        <v>#NAME?</v>
      </c>
      <c r="O619" s="25" t="s">
        <v>112</v>
      </c>
      <c r="P619" s="25"/>
    </row>
    <row r="620" spans="1:16" x14ac:dyDescent="0.35">
      <c r="A620" s="31">
        <f>IF(30+1&lt;=Settings!$B$7,Settings!$B$6+30,"")</f>
        <v>46173</v>
      </c>
      <c r="B620" s="31">
        <f t="shared" si="27"/>
        <v>46167</v>
      </c>
      <c r="C620" s="26" t="str">
        <f>IF(Employees!A20="","",Employees!A20)</f>
        <v/>
      </c>
      <c r="D620" s="26" t="str">
        <f>IF(C620="","",Employees!B20)</f>
        <v/>
      </c>
      <c r="E620" s="26" t="str">
        <f>IF(C620="","",Employees!C20)</f>
        <v/>
      </c>
      <c r="F620" s="26">
        <f>IF(A620="","",MOD(A620-Settings!$B$6,4)+1)</f>
        <v>3</v>
      </c>
      <c r="G620" s="26" t="str">
        <f>IF(C620="","",INDEX(Rotation_Pattern!$B$4:$E$7,F620,MATCH(E620,{"A","B","C","D"},0)))</f>
        <v/>
      </c>
      <c r="H620" s="32" t="str">
        <f t="shared" si="28"/>
        <v/>
      </c>
      <c r="I620" s="32" t="str">
        <f>IF(OR(G620="Off",G620=""),"",H620+TIME(Settings!$B$8,0,0))</f>
        <v/>
      </c>
      <c r="J620" s="26">
        <f>IF(OR(G620="Off",G620=""),0,Settings!$B$8)</f>
        <v>0</v>
      </c>
      <c r="K620" s="25" t="s">
        <v>111</v>
      </c>
      <c r="L620" s="26" t="str">
        <f>IF(A620="","",IF(COUNTIF(Public_Holidays!$A$4:$A$80,A620)&gt;0,"Y","N"))</f>
        <v>N</v>
      </c>
      <c r="M620" s="26" t="str">
        <f t="shared" si="29"/>
        <v>Y</v>
      </c>
      <c r="N620" s="26" t="e">
        <f ca="1">IF(A620="","",_xludf.TEXTJOIN("; ",TRUE,IF(SUMIFS($J:$J,$C:$C,C620,$B:$B,B620)&gt;Settings!$B$9,"Weekly ordinary hrs &gt;45",""),IF(SUMIFS(Claims!$H:$H,Claims!$C:$C,C620,Claims!$B:$B,B620)&gt;Settings!$B$10,"Weekly OT &gt;10",""),IF(AND(G620&lt;&gt;"Off",COUNTIFS($C:$C,C620,$A:$A,A620-1,$G:$G,"Night")&gt;0),"Rest &lt;12h after night shift",""),IF(J620&gt;5,"Meal interval required","")))</f>
        <v>#NAME?</v>
      </c>
      <c r="O620" s="25" t="s">
        <v>112</v>
      </c>
      <c r="P620" s="25"/>
    </row>
    <row r="621" spans="1:16" x14ac:dyDescent="0.35">
      <c r="A621" s="31">
        <f>IF(30+1&lt;=Settings!$B$7,Settings!$B$6+30,"")</f>
        <v>46173</v>
      </c>
      <c r="B621" s="31">
        <f t="shared" si="27"/>
        <v>46167</v>
      </c>
      <c r="C621" s="26" t="str">
        <f>IF(Employees!A21="","",Employees!A21)</f>
        <v/>
      </c>
      <c r="D621" s="26" t="str">
        <f>IF(C621="","",Employees!B21)</f>
        <v/>
      </c>
      <c r="E621" s="26" t="str">
        <f>IF(C621="","",Employees!C21)</f>
        <v/>
      </c>
      <c r="F621" s="26">
        <f>IF(A621="","",MOD(A621-Settings!$B$6,4)+1)</f>
        <v>3</v>
      </c>
      <c r="G621" s="26" t="str">
        <f>IF(C621="","",INDEX(Rotation_Pattern!$B$4:$E$7,F621,MATCH(E621,{"A","B","C","D"},0)))</f>
        <v/>
      </c>
      <c r="H621" s="32" t="str">
        <f t="shared" si="28"/>
        <v/>
      </c>
      <c r="I621" s="32" t="str">
        <f>IF(OR(G621="Off",G621=""),"",H621+TIME(Settings!$B$8,0,0))</f>
        <v/>
      </c>
      <c r="J621" s="26">
        <f>IF(OR(G621="Off",G621=""),0,Settings!$B$8)</f>
        <v>0</v>
      </c>
      <c r="K621" s="25" t="s">
        <v>111</v>
      </c>
      <c r="L621" s="26" t="str">
        <f>IF(A621="","",IF(COUNTIF(Public_Holidays!$A$4:$A$80,A621)&gt;0,"Y","N"))</f>
        <v>N</v>
      </c>
      <c r="M621" s="26" t="str">
        <f t="shared" si="29"/>
        <v>Y</v>
      </c>
      <c r="N621" s="26" t="e">
        <f ca="1">IF(A621="","",_xludf.TEXTJOIN("; ",TRUE,IF(SUMIFS($J:$J,$C:$C,C621,$B:$B,B621)&gt;Settings!$B$9,"Weekly ordinary hrs &gt;45",""),IF(SUMIFS(Claims!$H:$H,Claims!$C:$C,C621,Claims!$B:$B,B621)&gt;Settings!$B$10,"Weekly OT &gt;10",""),IF(AND(G621&lt;&gt;"Off",COUNTIFS($C:$C,C621,$A:$A,A621-1,$G:$G,"Night")&gt;0),"Rest &lt;12h after night shift",""),IF(J621&gt;5,"Meal interval required","")))</f>
        <v>#NAME?</v>
      </c>
      <c r="O621" s="25" t="s">
        <v>112</v>
      </c>
      <c r="P621" s="25"/>
    </row>
    <row r="622" spans="1:16" x14ac:dyDescent="0.35">
      <c r="A622" s="31">
        <f>IF(30+1&lt;=Settings!$B$7,Settings!$B$6+30,"")</f>
        <v>46173</v>
      </c>
      <c r="B622" s="31">
        <f t="shared" si="27"/>
        <v>46167</v>
      </c>
      <c r="C622" s="26" t="str">
        <f>IF(Employees!A22="","",Employees!A22)</f>
        <v/>
      </c>
      <c r="D622" s="26" t="str">
        <f>IF(C622="","",Employees!B22)</f>
        <v/>
      </c>
      <c r="E622" s="26" t="str">
        <f>IF(C622="","",Employees!C22)</f>
        <v/>
      </c>
      <c r="F622" s="26">
        <f>IF(A622="","",MOD(A622-Settings!$B$6,4)+1)</f>
        <v>3</v>
      </c>
      <c r="G622" s="26" t="str">
        <f>IF(C622="","",INDEX(Rotation_Pattern!$B$4:$E$7,F622,MATCH(E622,{"A","B","C","D"},0)))</f>
        <v/>
      </c>
      <c r="H622" s="32" t="str">
        <f t="shared" si="28"/>
        <v/>
      </c>
      <c r="I622" s="32" t="str">
        <f>IF(OR(G622="Off",G622=""),"",H622+TIME(Settings!$B$8,0,0))</f>
        <v/>
      </c>
      <c r="J622" s="26">
        <f>IF(OR(G622="Off",G622=""),0,Settings!$B$8)</f>
        <v>0</v>
      </c>
      <c r="K622" s="25" t="s">
        <v>111</v>
      </c>
      <c r="L622" s="26" t="str">
        <f>IF(A622="","",IF(COUNTIF(Public_Holidays!$A$4:$A$80,A622)&gt;0,"Y","N"))</f>
        <v>N</v>
      </c>
      <c r="M622" s="26" t="str">
        <f t="shared" si="29"/>
        <v>Y</v>
      </c>
      <c r="N622" s="26" t="e">
        <f ca="1">IF(A622="","",_xludf.TEXTJOIN("; ",TRUE,IF(SUMIFS($J:$J,$C:$C,C622,$B:$B,B622)&gt;Settings!$B$9,"Weekly ordinary hrs &gt;45",""),IF(SUMIFS(Claims!$H:$H,Claims!$C:$C,C622,Claims!$B:$B,B622)&gt;Settings!$B$10,"Weekly OT &gt;10",""),IF(AND(G622&lt;&gt;"Off",COUNTIFS($C:$C,C622,$A:$A,A622-1,$G:$G,"Night")&gt;0),"Rest &lt;12h after night shift",""),IF(J622&gt;5,"Meal interval required","")))</f>
        <v>#NAME?</v>
      </c>
      <c r="O622" s="25" t="s">
        <v>112</v>
      </c>
      <c r="P622" s="25"/>
    </row>
    <row r="623" spans="1:16" x14ac:dyDescent="0.35">
      <c r="A623" s="31">
        <f>IF(30+1&lt;=Settings!$B$7,Settings!$B$6+30,"")</f>
        <v>46173</v>
      </c>
      <c r="B623" s="31">
        <f t="shared" si="27"/>
        <v>46167</v>
      </c>
      <c r="C623" s="26" t="str">
        <f>IF(Employees!A23="","",Employees!A23)</f>
        <v/>
      </c>
      <c r="D623" s="26" t="str">
        <f>IF(C623="","",Employees!B23)</f>
        <v/>
      </c>
      <c r="E623" s="26" t="str">
        <f>IF(C623="","",Employees!C23)</f>
        <v/>
      </c>
      <c r="F623" s="26">
        <f>IF(A623="","",MOD(A623-Settings!$B$6,4)+1)</f>
        <v>3</v>
      </c>
      <c r="G623" s="26" t="str">
        <f>IF(C623="","",INDEX(Rotation_Pattern!$B$4:$E$7,F623,MATCH(E623,{"A","B","C","D"},0)))</f>
        <v/>
      </c>
      <c r="H623" s="32" t="str">
        <f t="shared" si="28"/>
        <v/>
      </c>
      <c r="I623" s="32" t="str">
        <f>IF(OR(G623="Off",G623=""),"",H623+TIME(Settings!$B$8,0,0))</f>
        <v/>
      </c>
      <c r="J623" s="26">
        <f>IF(OR(G623="Off",G623=""),0,Settings!$B$8)</f>
        <v>0</v>
      </c>
      <c r="K623" s="25" t="s">
        <v>111</v>
      </c>
      <c r="L623" s="26" t="str">
        <f>IF(A623="","",IF(COUNTIF(Public_Holidays!$A$4:$A$80,A623)&gt;0,"Y","N"))</f>
        <v>N</v>
      </c>
      <c r="M623" s="26" t="str">
        <f t="shared" si="29"/>
        <v>Y</v>
      </c>
      <c r="N623" s="26" t="e">
        <f ca="1">IF(A623="","",_xludf.TEXTJOIN("; ",TRUE,IF(SUMIFS($J:$J,$C:$C,C623,$B:$B,B623)&gt;Settings!$B$9,"Weekly ordinary hrs &gt;45",""),IF(SUMIFS(Claims!$H:$H,Claims!$C:$C,C623,Claims!$B:$B,B623)&gt;Settings!$B$10,"Weekly OT &gt;10",""),IF(AND(G623&lt;&gt;"Off",COUNTIFS($C:$C,C623,$A:$A,A623-1,$G:$G,"Night")&gt;0),"Rest &lt;12h after night shift",""),IF(J623&gt;5,"Meal interval required","")))</f>
        <v>#NAME?</v>
      </c>
      <c r="O623" s="25" t="s">
        <v>112</v>
      </c>
      <c r="P623" s="25"/>
    </row>
  </sheetData>
  <mergeCells count="1">
    <mergeCell ref="A1:P1"/>
  </mergeCells>
  <conditionalFormatting sqref="G4:G623">
    <cfRule type="cellIs" dxfId="3" priority="2" operator="equal">
      <formula>"Off"</formula>
    </cfRule>
  </conditionalFormatting>
  <conditionalFormatting sqref="N4:N623">
    <cfRule type="expression" dxfId="2" priority="1">
      <formula>LEN(N4)&gt;0</formula>
    </cfRule>
  </conditionalFormatting>
  <dataValidations count="2">
    <dataValidation type="list" sqref="K4:K623" xr:uid="{00000000-0002-0000-0400-000000000000}">
      <formula1>"Y,N"</formula1>
    </dataValidation>
    <dataValidation type="list" sqref="O4:O623" xr:uid="{00000000-0002-0000-0400-000001000000}">
      <formula1>"Pending,Approved,Rejected,Paid"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23"/>
  <sheetViews>
    <sheetView showGridLines="0" topLeftCell="Q1" workbookViewId="0">
      <pane ySplit="3" topLeftCell="A610" activePane="bottomLeft" state="frozen"/>
      <selection pane="bottomLeft" activeCell="X612" sqref="X612"/>
    </sheetView>
  </sheetViews>
  <sheetFormatPr defaultRowHeight="14.5" x14ac:dyDescent="0.35"/>
  <cols>
    <col min="1" max="2" width="13" customWidth="1"/>
    <col min="3" max="3" width="14" customWidth="1"/>
    <col min="4" max="4" width="22" customWidth="1"/>
    <col min="5" max="5" width="10" customWidth="1"/>
    <col min="6" max="6" width="14" customWidth="1"/>
    <col min="7" max="7" width="13" customWidth="1"/>
    <col min="8" max="8" width="14" customWidth="1"/>
    <col min="9" max="10" width="13" customWidth="1"/>
    <col min="11" max="11" width="16" customWidth="1"/>
    <col min="12" max="12" width="10" customWidth="1"/>
    <col min="13" max="13" width="15" customWidth="1"/>
    <col min="14" max="14" width="12" customWidth="1"/>
    <col min="15" max="15" width="15" customWidth="1"/>
    <col min="16" max="16" width="12" customWidth="1"/>
    <col min="17" max="18" width="14" customWidth="1"/>
    <col min="19" max="19" width="10.36328125" bestFit="1" customWidth="1"/>
    <col min="20" max="20" width="16.08984375" bestFit="1" customWidth="1"/>
    <col min="21" max="21" width="14" customWidth="1"/>
    <col min="22" max="22" width="15" customWidth="1"/>
    <col min="23" max="23" width="15.1796875" bestFit="1" customWidth="1"/>
    <col min="24" max="24" width="25" customWidth="1"/>
  </cols>
  <sheetData>
    <row r="1" spans="1:24" x14ac:dyDescent="0.35">
      <c r="A1" s="20" t="s">
        <v>113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9" x14ac:dyDescent="0.35">
      <c r="A3" s="30" t="s">
        <v>114</v>
      </c>
      <c r="B3" s="30" t="s">
        <v>103</v>
      </c>
      <c r="C3" s="30" t="s">
        <v>41</v>
      </c>
      <c r="D3" s="30" t="s">
        <v>42</v>
      </c>
      <c r="E3" s="30" t="s">
        <v>43</v>
      </c>
      <c r="F3" s="30" t="s">
        <v>115</v>
      </c>
      <c r="G3" s="30" t="s">
        <v>116</v>
      </c>
      <c r="H3" s="30" t="s">
        <v>117</v>
      </c>
      <c r="I3" s="30" t="s">
        <v>118</v>
      </c>
      <c r="J3" s="30" t="s">
        <v>119</v>
      </c>
      <c r="K3" s="30" t="s">
        <v>120</v>
      </c>
      <c r="L3" s="30" t="s">
        <v>106</v>
      </c>
      <c r="M3" s="30" t="s">
        <v>121</v>
      </c>
      <c r="N3" s="30" t="s">
        <v>122</v>
      </c>
      <c r="O3" s="30" t="s">
        <v>123</v>
      </c>
      <c r="P3" s="30" t="s">
        <v>45</v>
      </c>
      <c r="Q3" s="30" t="s">
        <v>124</v>
      </c>
      <c r="R3" s="30" t="s">
        <v>125</v>
      </c>
      <c r="S3" s="30" t="s">
        <v>126</v>
      </c>
      <c r="T3" s="30" t="s">
        <v>127</v>
      </c>
      <c r="U3" s="30" t="s">
        <v>128</v>
      </c>
      <c r="V3" s="30" t="s">
        <v>110</v>
      </c>
      <c r="W3" s="30" t="s">
        <v>109</v>
      </c>
      <c r="X3" s="11" t="s">
        <v>129</v>
      </c>
    </row>
    <row r="4" spans="1:24" x14ac:dyDescent="0.35">
      <c r="A4" s="31">
        <f>Auto_Roster!A4</f>
        <v>46143</v>
      </c>
      <c r="B4" s="31">
        <f>Auto_Roster!B4</f>
        <v>46139</v>
      </c>
      <c r="C4" s="26" t="str">
        <f>Auto_Roster!C4</f>
        <v>E001</v>
      </c>
      <c r="D4" s="26" t="str">
        <f>Auto_Roster!D4</f>
        <v>Musiwa Khavalani</v>
      </c>
      <c r="E4" s="26" t="s">
        <v>50</v>
      </c>
      <c r="F4" s="26" t="e">
        <f>Auto_Roster!G4</f>
        <v>#N/A</v>
      </c>
      <c r="G4" s="33" t="e">
        <f>Auto_Roster!J4</f>
        <v>#N/A</v>
      </c>
      <c r="H4" s="33" t="e">
        <f>IF(G4&gt;Settings!$B$19,G4-Settings!$B$19,0)</f>
        <v>#N/A</v>
      </c>
      <c r="I4" s="33" t="e">
        <f t="shared" ref="I4:I67" si="0">MAX(0,G4-H4)</f>
        <v>#N/A</v>
      </c>
      <c r="J4" s="33">
        <f>IF(Auto_Roster!M4="Y",G4,0)</f>
        <v>0</v>
      </c>
      <c r="K4" s="33" t="e">
        <f>IF(Auto_Roster!L4="Y",G4,0)</f>
        <v>#N/A</v>
      </c>
      <c r="L4" s="26" t="str">
        <f>Auto_Roster!K4</f>
        <v>N</v>
      </c>
      <c r="M4" s="34">
        <f>IF(L4="Y",Settings!$B$16,0)</f>
        <v>0</v>
      </c>
      <c r="N4" s="33" t="e">
        <f t="shared" ref="N4:N67" si="1">IF(F4="Night",G4,0)</f>
        <v>#N/A</v>
      </c>
      <c r="O4" s="34" t="e">
        <f>N4*Settings!$B$17</f>
        <v>#N/A</v>
      </c>
      <c r="P4" s="34">
        <f>IFERROR(VLOOKUP(C4,Employees!$A$4:$E$103,5,FALSE),Settings!$B$18)</f>
        <v>100</v>
      </c>
      <c r="Q4" s="34" t="e">
        <f t="shared" ref="Q4:Q67" si="2">I4*P4</f>
        <v>#N/A</v>
      </c>
      <c r="R4" s="34" t="e">
        <f>H4*P4*Settings!$B$13</f>
        <v>#N/A</v>
      </c>
      <c r="S4" s="34">
        <f>J4*P4*(Settings!$B$14-1)</f>
        <v>0</v>
      </c>
      <c r="T4" s="34" t="e">
        <f>K4*P4*(Settings!$B$15-1)</f>
        <v>#N/A</v>
      </c>
      <c r="U4" s="34" t="e">
        <f t="shared" ref="U4:U67" si="3">SUM(Q4:T4)+M4+O4</f>
        <v>#N/A</v>
      </c>
      <c r="V4" s="26" t="str">
        <f>Auto_Roster!O4</f>
        <v>Pending</v>
      </c>
      <c r="W4" s="26" t="e">
        <f ca="1">_xludf.TEXTJOIN("; ",TRUE,Auto_Roster!N4,IF(G4&gt;Settings!$B$19,"Approval required &gt; standard hours",""),IF(AND(F4&lt;&gt;"Off",G4=0),"Missing claimed hours",""))</f>
        <v>#NAME?</v>
      </c>
      <c r="X4" s="7"/>
    </row>
    <row r="5" spans="1:24" x14ac:dyDescent="0.35">
      <c r="A5" s="31">
        <f>Auto_Roster!A5</f>
        <v>46143</v>
      </c>
      <c r="B5" s="31">
        <f>Auto_Roster!B5</f>
        <v>46139</v>
      </c>
      <c r="C5" s="26" t="str">
        <f>Auto_Roster!C5</f>
        <v>E002</v>
      </c>
      <c r="D5" s="26" t="str">
        <f>Auto_Roster!D5</f>
        <v>Mpho  Nembemhia</v>
      </c>
      <c r="E5" s="26" t="str">
        <f>Auto_Roster!E5</f>
        <v>B</v>
      </c>
      <c r="F5" s="26" t="str">
        <f>Auto_Roster!G5</f>
        <v>Off</v>
      </c>
      <c r="G5" s="33">
        <f>Auto_Roster!J5</f>
        <v>0</v>
      </c>
      <c r="H5" s="33">
        <f>IF(G5&gt;Settings!$B$19,G5-Settings!$B$19,0)</f>
        <v>0</v>
      </c>
      <c r="I5" s="33">
        <f t="shared" si="0"/>
        <v>0</v>
      </c>
      <c r="J5" s="33">
        <f>IF(Auto_Roster!M5="Y",G5,0)</f>
        <v>0</v>
      </c>
      <c r="K5" s="33">
        <f>IF(Auto_Roster!L5="Y",G5,0)</f>
        <v>0</v>
      </c>
      <c r="L5" s="26" t="str">
        <f>Auto_Roster!K5</f>
        <v>N</v>
      </c>
      <c r="M5" s="34">
        <f>IF(L5="Y",Settings!$B$16,0)</f>
        <v>0</v>
      </c>
      <c r="N5" s="33">
        <f t="shared" si="1"/>
        <v>0</v>
      </c>
      <c r="O5" s="34">
        <f>N5*Settings!$B$17</f>
        <v>0</v>
      </c>
      <c r="P5" s="34">
        <f>IFERROR(VLOOKUP(C5,Employees!$A$4:$E$103,5,FALSE),Settings!$B$18)</f>
        <v>100</v>
      </c>
      <c r="Q5" s="34">
        <f t="shared" si="2"/>
        <v>0</v>
      </c>
      <c r="R5" s="34">
        <f>H5*P5*Settings!$B$13</f>
        <v>0</v>
      </c>
      <c r="S5" s="34">
        <f>J5*P5*(Settings!$B$14-1)</f>
        <v>0</v>
      </c>
      <c r="T5" s="34">
        <f>K5*P5*(Settings!$B$15-1)</f>
        <v>0</v>
      </c>
      <c r="U5" s="34">
        <f t="shared" si="3"/>
        <v>0</v>
      </c>
      <c r="V5" s="26" t="str">
        <f>Auto_Roster!O5</f>
        <v>Pending</v>
      </c>
      <c r="W5" s="26" t="e">
        <f ca="1">_xludf.TEXTJOIN("; ",TRUE,Auto_Roster!N5,IF(G5&gt;Settings!$B$19,"Approval required &gt; standard hours",""),IF(AND(F5&lt;&gt;"Off",G5=0),"Missing claimed hours",""))</f>
        <v>#NAME?</v>
      </c>
      <c r="X5" s="7"/>
    </row>
    <row r="6" spans="1:24" x14ac:dyDescent="0.35">
      <c r="A6" s="31">
        <f>Auto_Roster!A6</f>
        <v>46143</v>
      </c>
      <c r="B6" s="31">
        <f>Auto_Roster!B6</f>
        <v>46139</v>
      </c>
      <c r="C6" s="26" t="str">
        <f>Auto_Roster!C6</f>
        <v>E003</v>
      </c>
      <c r="D6" s="26" t="str">
        <f>Auto_Roster!D6</f>
        <v>Dimpho Makhafola</v>
      </c>
      <c r="E6" s="26" t="str">
        <f>Auto_Roster!E6</f>
        <v>C</v>
      </c>
      <c r="F6" s="26" t="str">
        <f>Auto_Roster!G6</f>
        <v>Evening</v>
      </c>
      <c r="G6" s="33">
        <f>Auto_Roster!J6</f>
        <v>8</v>
      </c>
      <c r="H6" s="33">
        <f>IF(G6&gt;Settings!$B$19,G6-Settings!$B$19,0)</f>
        <v>0</v>
      </c>
      <c r="I6" s="33">
        <f t="shared" si="0"/>
        <v>8</v>
      </c>
      <c r="J6" s="33">
        <f>IF(Auto_Roster!M6="Y",G6,0)</f>
        <v>0</v>
      </c>
      <c r="K6" s="33">
        <f>IF(Auto_Roster!L6="Y",G6,0)</f>
        <v>8</v>
      </c>
      <c r="L6" s="26" t="str">
        <f>Auto_Roster!K6</f>
        <v>N</v>
      </c>
      <c r="M6" s="34">
        <f>IF(L6="Y",Settings!$B$16,0)</f>
        <v>0</v>
      </c>
      <c r="N6" s="33">
        <f t="shared" si="1"/>
        <v>0</v>
      </c>
      <c r="O6" s="34">
        <f>N6*Settings!$B$17</f>
        <v>0</v>
      </c>
      <c r="P6" s="34">
        <f>IFERROR(VLOOKUP(C6,Employees!$A$4:$E$103,5,FALSE),Settings!$B$18)</f>
        <v>100</v>
      </c>
      <c r="Q6" s="34">
        <f t="shared" si="2"/>
        <v>800</v>
      </c>
      <c r="R6" s="34">
        <f>H6*P6*Settings!$B$13</f>
        <v>0</v>
      </c>
      <c r="S6" s="34">
        <f>J6*P6*(Settings!$B$14-1)</f>
        <v>0</v>
      </c>
      <c r="T6" s="34">
        <f>K6*P6*(Settings!$B$15-1)</f>
        <v>800</v>
      </c>
      <c r="U6" s="34">
        <f t="shared" si="3"/>
        <v>1600</v>
      </c>
      <c r="V6" s="26" t="str">
        <f>Auto_Roster!O6</f>
        <v>Pending</v>
      </c>
      <c r="W6" s="26" t="e">
        <f ca="1">_xludf.TEXTJOIN("; ",TRUE,Auto_Roster!N6,IF(G6&gt;Settings!$B$19,"Approval required &gt; standard hours",""),IF(AND(F6&lt;&gt;"Off",G6=0),"Missing claimed hours",""))</f>
        <v>#NAME?</v>
      </c>
      <c r="X6" s="7"/>
    </row>
    <row r="7" spans="1:24" x14ac:dyDescent="0.35">
      <c r="A7" s="31">
        <f>Auto_Roster!A7</f>
        <v>46143</v>
      </c>
      <c r="B7" s="31">
        <f>Auto_Roster!B7</f>
        <v>46139</v>
      </c>
      <c r="C7" s="26" t="str">
        <f>Auto_Roster!C7</f>
        <v>E004</v>
      </c>
      <c r="D7" s="26" t="str">
        <f>Auto_Roster!D7</f>
        <v>Bashii Fall</v>
      </c>
      <c r="E7" s="26" t="str">
        <f>Auto_Roster!E7</f>
        <v>D</v>
      </c>
      <c r="F7" s="26" t="str">
        <f>Auto_Roster!G7</f>
        <v>Night</v>
      </c>
      <c r="G7" s="33">
        <f>Auto_Roster!J7</f>
        <v>8</v>
      </c>
      <c r="H7" s="33">
        <f>IF(G7&gt;Settings!$B$19,G7-Settings!$B$19,0)</f>
        <v>0</v>
      </c>
      <c r="I7" s="33">
        <f t="shared" si="0"/>
        <v>8</v>
      </c>
      <c r="J7" s="33">
        <f>IF(Auto_Roster!M7="Y",G7,0)</f>
        <v>0</v>
      </c>
      <c r="K7" s="33">
        <f>IF(Auto_Roster!L7="Y",G7,0)</f>
        <v>8</v>
      </c>
      <c r="L7" s="26" t="str">
        <f>Auto_Roster!K7</f>
        <v>N</v>
      </c>
      <c r="M7" s="34">
        <f>IF(L7="Y",Settings!$B$16,0)</f>
        <v>0</v>
      </c>
      <c r="N7" s="33">
        <f t="shared" si="1"/>
        <v>8</v>
      </c>
      <c r="O7" s="34">
        <f>N7*Settings!$B$17</f>
        <v>0</v>
      </c>
      <c r="P7" s="34">
        <f>IFERROR(VLOOKUP(C7,Employees!$A$4:$E$103,5,FALSE),Settings!$B$18)</f>
        <v>100</v>
      </c>
      <c r="Q7" s="34">
        <f t="shared" si="2"/>
        <v>800</v>
      </c>
      <c r="R7" s="34">
        <f>H7*P7*Settings!$B$13</f>
        <v>0</v>
      </c>
      <c r="S7" s="34">
        <f>J7*P7*(Settings!$B$14-1)</f>
        <v>0</v>
      </c>
      <c r="T7" s="34">
        <f>K7*P7*(Settings!$B$15-1)</f>
        <v>800</v>
      </c>
      <c r="U7" s="34">
        <f t="shared" si="3"/>
        <v>1600</v>
      </c>
      <c r="V7" s="26" t="str">
        <f>Auto_Roster!O7</f>
        <v>Pending</v>
      </c>
      <c r="W7" s="26" t="e">
        <f ca="1">_xludf.TEXTJOIN("; ",TRUE,Auto_Roster!N7,IF(G7&gt;Settings!$B$19,"Approval required &gt; standard hours",""),IF(AND(F7&lt;&gt;"Off",G7=0),"Missing claimed hours",""))</f>
        <v>#NAME?</v>
      </c>
      <c r="X7" s="7"/>
    </row>
    <row r="8" spans="1:24" x14ac:dyDescent="0.35">
      <c r="A8" s="31">
        <f>Auto_Roster!A8</f>
        <v>46143</v>
      </c>
      <c r="B8" s="31">
        <f>Auto_Roster!B8</f>
        <v>46139</v>
      </c>
      <c r="C8" s="26" t="str">
        <f>Auto_Roster!C8</f>
        <v>E005</v>
      </c>
      <c r="D8" s="26" t="str">
        <f>Auto_Roster!D8</f>
        <v>Lesego Aphane</v>
      </c>
      <c r="E8" s="26" t="str">
        <f>Auto_Roster!E8</f>
        <v>A</v>
      </c>
      <c r="F8" s="26" t="str">
        <f>Auto_Roster!G8</f>
        <v>Day</v>
      </c>
      <c r="G8" s="33">
        <f>Auto_Roster!J8</f>
        <v>8</v>
      </c>
      <c r="H8" s="33">
        <f>IF(G8&gt;Settings!$B$19,G8-Settings!$B$19,0)</f>
        <v>0</v>
      </c>
      <c r="I8" s="33">
        <f t="shared" si="0"/>
        <v>8</v>
      </c>
      <c r="J8" s="33">
        <f>IF(Auto_Roster!M8="Y",G8,0)</f>
        <v>0</v>
      </c>
      <c r="K8" s="33">
        <f>IF(Auto_Roster!L8="Y",G8,0)</f>
        <v>8</v>
      </c>
      <c r="L8" s="26" t="str">
        <f>Auto_Roster!K8</f>
        <v>N</v>
      </c>
      <c r="M8" s="34">
        <f>IF(L8="Y",Settings!$B$16,0)</f>
        <v>0</v>
      </c>
      <c r="N8" s="33">
        <f t="shared" si="1"/>
        <v>0</v>
      </c>
      <c r="O8" s="34">
        <f>N8*Settings!$B$17</f>
        <v>0</v>
      </c>
      <c r="P8" s="34">
        <f>IFERROR(VLOOKUP(C8,Employees!$A$4:$E$103,5,FALSE),Settings!$B$18)</f>
        <v>100</v>
      </c>
      <c r="Q8" s="34">
        <f t="shared" si="2"/>
        <v>800</v>
      </c>
      <c r="R8" s="34">
        <f>H8*P8*Settings!$B$13</f>
        <v>0</v>
      </c>
      <c r="S8" s="34">
        <f>J8*P8*(Settings!$B$14-1)</f>
        <v>0</v>
      </c>
      <c r="T8" s="34">
        <f>K8*P8*(Settings!$B$15-1)</f>
        <v>800</v>
      </c>
      <c r="U8" s="34">
        <f t="shared" si="3"/>
        <v>1600</v>
      </c>
      <c r="V8" s="26" t="str">
        <f>Auto_Roster!O8</f>
        <v>Pending</v>
      </c>
      <c r="W8" s="26" t="e">
        <f ca="1">_xludf.TEXTJOIN("; ",TRUE,Auto_Roster!N8,IF(G8&gt;Settings!$B$19,"Approval required &gt; standard hours",""),IF(AND(F8&lt;&gt;"Off",G8=0),"Missing claimed hours",""))</f>
        <v>#NAME?</v>
      </c>
      <c r="X8" s="7"/>
    </row>
    <row r="9" spans="1:24" x14ac:dyDescent="0.35">
      <c r="A9" s="31">
        <f>Auto_Roster!A9</f>
        <v>46143</v>
      </c>
      <c r="B9" s="31">
        <f>Auto_Roster!B9</f>
        <v>46139</v>
      </c>
      <c r="C9" s="26" t="str">
        <f>Auto_Roster!C9</f>
        <v>E006</v>
      </c>
      <c r="D9" s="26" t="str">
        <f>Auto_Roster!D9</f>
        <v>Nhalnahla</v>
      </c>
      <c r="E9" s="26" t="str">
        <f>Auto_Roster!E9</f>
        <v>B</v>
      </c>
      <c r="F9" s="26" t="str">
        <f>Auto_Roster!G9</f>
        <v>Off</v>
      </c>
      <c r="G9" s="33">
        <f>Auto_Roster!J9</f>
        <v>0</v>
      </c>
      <c r="H9" s="33">
        <f>IF(G9&gt;Settings!$B$19,G9-Settings!$B$19,0)</f>
        <v>0</v>
      </c>
      <c r="I9" s="33">
        <f t="shared" si="0"/>
        <v>0</v>
      </c>
      <c r="J9" s="33">
        <f>IF(Auto_Roster!M9="Y",G9,0)</f>
        <v>0</v>
      </c>
      <c r="K9" s="33">
        <f>IF(Auto_Roster!L9="Y",G9,0)</f>
        <v>0</v>
      </c>
      <c r="L9" s="26" t="str">
        <f>Auto_Roster!K9</f>
        <v>N</v>
      </c>
      <c r="M9" s="34">
        <f>IF(L9="Y",Settings!$B$16,0)</f>
        <v>0</v>
      </c>
      <c r="N9" s="33">
        <f t="shared" si="1"/>
        <v>0</v>
      </c>
      <c r="O9" s="34">
        <f>N9*Settings!$B$17</f>
        <v>0</v>
      </c>
      <c r="P9" s="34">
        <f>IFERROR(VLOOKUP(C9,Employees!$A$4:$E$103,5,FALSE),Settings!$B$18)</f>
        <v>100</v>
      </c>
      <c r="Q9" s="34">
        <f t="shared" si="2"/>
        <v>0</v>
      </c>
      <c r="R9" s="34">
        <f>H9*P9*Settings!$B$13</f>
        <v>0</v>
      </c>
      <c r="S9" s="34">
        <f>J9*P9*(Settings!$B$14-1)</f>
        <v>0</v>
      </c>
      <c r="T9" s="34">
        <f>K9*P9*(Settings!$B$15-1)</f>
        <v>0</v>
      </c>
      <c r="U9" s="34">
        <f t="shared" si="3"/>
        <v>0</v>
      </c>
      <c r="V9" s="26" t="str">
        <f>Auto_Roster!O9</f>
        <v>Pending</v>
      </c>
      <c r="W9" s="26" t="e">
        <f ca="1">_xludf.TEXTJOIN("; ",TRUE,Auto_Roster!N9,IF(G9&gt;Settings!$B$19,"Approval required &gt; standard hours",""),IF(AND(F9&lt;&gt;"Off",G9=0),"Missing claimed hours",""))</f>
        <v>#NAME?</v>
      </c>
      <c r="X9" s="7"/>
    </row>
    <row r="10" spans="1:24" x14ac:dyDescent="0.35">
      <c r="A10" s="31">
        <f>Auto_Roster!A10</f>
        <v>46143</v>
      </c>
      <c r="B10" s="31">
        <f>Auto_Roster!B10</f>
        <v>46139</v>
      </c>
      <c r="C10" s="26" t="str">
        <f>Auto_Roster!C10</f>
        <v>E007</v>
      </c>
      <c r="D10" s="26" t="str">
        <f>Auto_Roster!D10</f>
        <v>Joe</v>
      </c>
      <c r="E10" s="26" t="str">
        <f>Auto_Roster!E10</f>
        <v>C</v>
      </c>
      <c r="F10" s="26" t="str">
        <f>Auto_Roster!G10</f>
        <v>Evening</v>
      </c>
      <c r="G10" s="33">
        <f>Auto_Roster!J10</f>
        <v>8</v>
      </c>
      <c r="H10" s="33">
        <f>IF(G10&gt;Settings!$B$19,G10-Settings!$B$19,0)</f>
        <v>0</v>
      </c>
      <c r="I10" s="33">
        <f t="shared" si="0"/>
        <v>8</v>
      </c>
      <c r="J10" s="33">
        <f>IF(Auto_Roster!M10="Y",G10,0)</f>
        <v>0</v>
      </c>
      <c r="K10" s="33">
        <f>IF(Auto_Roster!L10="Y",G10,0)</f>
        <v>8</v>
      </c>
      <c r="L10" s="26" t="str">
        <f>Auto_Roster!K10</f>
        <v>N</v>
      </c>
      <c r="M10" s="34">
        <f>IF(L10="Y",Settings!$B$16,0)</f>
        <v>0</v>
      </c>
      <c r="N10" s="33">
        <f t="shared" si="1"/>
        <v>0</v>
      </c>
      <c r="O10" s="34">
        <f>N10*Settings!$B$17</f>
        <v>0</v>
      </c>
      <c r="P10" s="34">
        <f>IFERROR(VLOOKUP(C10,Employees!$A$4:$E$103,5,FALSE),Settings!$B$18)</f>
        <v>100</v>
      </c>
      <c r="Q10" s="34">
        <f t="shared" si="2"/>
        <v>800</v>
      </c>
      <c r="R10" s="34">
        <f>H10*P10*Settings!$B$13</f>
        <v>0</v>
      </c>
      <c r="S10" s="34">
        <f>J10*P10*(Settings!$B$14-1)</f>
        <v>0</v>
      </c>
      <c r="T10" s="34">
        <f>K10*P10*(Settings!$B$15-1)</f>
        <v>800</v>
      </c>
      <c r="U10" s="34">
        <f t="shared" si="3"/>
        <v>1600</v>
      </c>
      <c r="V10" s="26" t="str">
        <f>Auto_Roster!O10</f>
        <v>Pending</v>
      </c>
      <c r="W10" s="26" t="e">
        <f ca="1">_xludf.TEXTJOIN("; ",TRUE,Auto_Roster!N10,IF(G10&gt;Settings!$B$19,"Approval required &gt; standard hours",""),IF(AND(F10&lt;&gt;"Off",G10=0),"Missing claimed hours",""))</f>
        <v>#NAME?</v>
      </c>
      <c r="X10" s="7"/>
    </row>
    <row r="11" spans="1:24" x14ac:dyDescent="0.35">
      <c r="A11" s="31">
        <f>Auto_Roster!A11</f>
        <v>46143</v>
      </c>
      <c r="B11" s="31">
        <f>Auto_Roster!B11</f>
        <v>46139</v>
      </c>
      <c r="C11" s="26" t="str">
        <f>Auto_Roster!C11</f>
        <v>E008</v>
      </c>
      <c r="D11" s="26" t="str">
        <f>Auto_Roster!D11</f>
        <v>Tim</v>
      </c>
      <c r="E11" s="26" t="str">
        <f>Auto_Roster!E11</f>
        <v>D</v>
      </c>
      <c r="F11" s="26" t="str">
        <f>Auto_Roster!G11</f>
        <v>Night</v>
      </c>
      <c r="G11" s="33">
        <f>Auto_Roster!J11</f>
        <v>8</v>
      </c>
      <c r="H11" s="33">
        <f>IF(G11&gt;Settings!$B$19,G11-Settings!$B$19,0)</f>
        <v>0</v>
      </c>
      <c r="I11" s="33">
        <f t="shared" si="0"/>
        <v>8</v>
      </c>
      <c r="J11" s="33">
        <f>IF(Auto_Roster!M11="Y",G11,0)</f>
        <v>0</v>
      </c>
      <c r="K11" s="33">
        <f>IF(Auto_Roster!L11="Y",G11,0)</f>
        <v>8</v>
      </c>
      <c r="L11" s="26" t="str">
        <f>Auto_Roster!K11</f>
        <v>N</v>
      </c>
      <c r="M11" s="34">
        <f>IF(L11="Y",Settings!$B$16,0)</f>
        <v>0</v>
      </c>
      <c r="N11" s="33">
        <f t="shared" si="1"/>
        <v>8</v>
      </c>
      <c r="O11" s="34">
        <f>N11*Settings!$B$17</f>
        <v>0</v>
      </c>
      <c r="P11" s="34">
        <f>IFERROR(VLOOKUP(C11,Employees!$A$4:$E$103,5,FALSE),Settings!$B$18)</f>
        <v>100</v>
      </c>
      <c r="Q11" s="34">
        <f t="shared" si="2"/>
        <v>800</v>
      </c>
      <c r="R11" s="34">
        <f>H11*P11*Settings!$B$13</f>
        <v>0</v>
      </c>
      <c r="S11" s="34">
        <f>J11*P11*(Settings!$B$14-1)</f>
        <v>0</v>
      </c>
      <c r="T11" s="34">
        <f>K11*P11*(Settings!$B$15-1)</f>
        <v>800</v>
      </c>
      <c r="U11" s="34">
        <f t="shared" si="3"/>
        <v>1600</v>
      </c>
      <c r="V11" s="26" t="str">
        <f>Auto_Roster!O11</f>
        <v>Pending</v>
      </c>
      <c r="W11" s="26" t="e">
        <f ca="1">_xludf.TEXTJOIN("; ",TRUE,Auto_Roster!N11,IF(G11&gt;Settings!$B$19,"Approval required &gt; standard hours",""),IF(AND(F11&lt;&gt;"Off",G11=0),"Missing claimed hours",""))</f>
        <v>#NAME?</v>
      </c>
      <c r="X11" s="7"/>
    </row>
    <row r="12" spans="1:24" x14ac:dyDescent="0.35">
      <c r="A12" s="31">
        <f>Auto_Roster!A12</f>
        <v>46143</v>
      </c>
      <c r="B12" s="31">
        <f>Auto_Roster!B12</f>
        <v>46139</v>
      </c>
      <c r="C12" s="26" t="str">
        <f>Auto_Roster!C12</f>
        <v>E009</v>
      </c>
      <c r="D12" s="26" t="str">
        <f>Auto_Roster!D12</f>
        <v>Frank</v>
      </c>
      <c r="E12" s="26" t="str">
        <f>Auto_Roster!E12</f>
        <v>A</v>
      </c>
      <c r="F12" s="26" t="str">
        <f>Auto_Roster!G12</f>
        <v>Day</v>
      </c>
      <c r="G12" s="33">
        <f>Auto_Roster!J12</f>
        <v>8</v>
      </c>
      <c r="H12" s="33">
        <f>IF(G12&gt;Settings!$B$19,G12-Settings!$B$19,0)</f>
        <v>0</v>
      </c>
      <c r="I12" s="33">
        <f t="shared" si="0"/>
        <v>8</v>
      </c>
      <c r="J12" s="33">
        <f>IF(Auto_Roster!M12="Y",G12,0)</f>
        <v>0</v>
      </c>
      <c r="K12" s="33">
        <f>IF(Auto_Roster!L12="Y",G12,0)</f>
        <v>8</v>
      </c>
      <c r="L12" s="26" t="str">
        <f>Auto_Roster!K12</f>
        <v>N</v>
      </c>
      <c r="M12" s="34">
        <f>IF(L12="Y",Settings!$B$16,0)</f>
        <v>0</v>
      </c>
      <c r="N12" s="33">
        <f t="shared" si="1"/>
        <v>0</v>
      </c>
      <c r="O12" s="34">
        <f>N12*Settings!$B$17</f>
        <v>0</v>
      </c>
      <c r="P12" s="34">
        <f>IFERROR(VLOOKUP(C12,Employees!$A$4:$E$103,5,FALSE),Settings!$B$18)</f>
        <v>100</v>
      </c>
      <c r="Q12" s="34">
        <f t="shared" si="2"/>
        <v>800</v>
      </c>
      <c r="R12" s="34">
        <f>H12*P12*Settings!$B$13</f>
        <v>0</v>
      </c>
      <c r="S12" s="34">
        <f>J12*P12*(Settings!$B$14-1)</f>
        <v>0</v>
      </c>
      <c r="T12" s="34">
        <f>K12*P12*(Settings!$B$15-1)</f>
        <v>800</v>
      </c>
      <c r="U12" s="34">
        <f t="shared" si="3"/>
        <v>1600</v>
      </c>
      <c r="V12" s="26" t="str">
        <f>Auto_Roster!O12</f>
        <v>Pending</v>
      </c>
      <c r="W12" s="26" t="e">
        <f ca="1">_xludf.TEXTJOIN("; ",TRUE,Auto_Roster!N12,IF(G12&gt;Settings!$B$19,"Approval required &gt; standard hours",""),IF(AND(F12&lt;&gt;"Off",G12=0),"Missing claimed hours",""))</f>
        <v>#NAME?</v>
      </c>
      <c r="X12" s="7"/>
    </row>
    <row r="13" spans="1:24" x14ac:dyDescent="0.35">
      <c r="A13" s="31">
        <f>Auto_Roster!A13</f>
        <v>46143</v>
      </c>
      <c r="B13" s="31">
        <f>Auto_Roster!B13</f>
        <v>46139</v>
      </c>
      <c r="C13" s="26" t="str">
        <f>Auto_Roster!C13</f>
        <v/>
      </c>
      <c r="D13" s="26" t="str">
        <f>Auto_Roster!D13</f>
        <v/>
      </c>
      <c r="E13" s="26" t="str">
        <f>Auto_Roster!E13</f>
        <v/>
      </c>
      <c r="F13" s="26" t="str">
        <f>Auto_Roster!G13</f>
        <v/>
      </c>
      <c r="G13" s="33">
        <f>Auto_Roster!J13</f>
        <v>0</v>
      </c>
      <c r="H13" s="33">
        <f>IF(G13&gt;Settings!$B$19,G13-Settings!$B$19,0)</f>
        <v>0</v>
      </c>
      <c r="I13" s="33">
        <f t="shared" si="0"/>
        <v>0</v>
      </c>
      <c r="J13" s="33">
        <f>IF(Auto_Roster!M13="Y",G13,0)</f>
        <v>0</v>
      </c>
      <c r="K13" s="33">
        <f>IF(Auto_Roster!L13="Y",G13,0)</f>
        <v>0</v>
      </c>
      <c r="L13" s="26" t="str">
        <f>Auto_Roster!K13</f>
        <v>N</v>
      </c>
      <c r="M13" s="34">
        <f>IF(L13="Y",Settings!$B$16,0)</f>
        <v>0</v>
      </c>
      <c r="N13" s="33">
        <f t="shared" si="1"/>
        <v>0</v>
      </c>
      <c r="O13" s="34">
        <f>N13*Settings!$B$17</f>
        <v>0</v>
      </c>
      <c r="P13" s="34">
        <f>IFERROR(VLOOKUP(C13,Employees!$A$4:$E$103,5,FALSE),Settings!$B$18)</f>
        <v>100</v>
      </c>
      <c r="Q13" s="34">
        <f t="shared" si="2"/>
        <v>0</v>
      </c>
      <c r="R13" s="34">
        <f>H13*P13*Settings!$B$13</f>
        <v>0</v>
      </c>
      <c r="S13" s="34">
        <f>J13*P13*(Settings!$B$14-1)</f>
        <v>0</v>
      </c>
      <c r="T13" s="34">
        <f>K13*P13*(Settings!$B$15-1)</f>
        <v>0</v>
      </c>
      <c r="U13" s="34">
        <f t="shared" si="3"/>
        <v>0</v>
      </c>
      <c r="V13" s="26" t="str">
        <f>Auto_Roster!O13</f>
        <v>Pending</v>
      </c>
      <c r="W13" s="26" t="e">
        <f ca="1">_xludf.TEXTJOIN("; ",TRUE,Auto_Roster!N13,IF(G13&gt;Settings!$B$19,"Approval required &gt; standard hours",""),IF(AND(F13&lt;&gt;"Off",G13=0),"Missing claimed hours",""))</f>
        <v>#NAME?</v>
      </c>
      <c r="X13" s="7"/>
    </row>
    <row r="14" spans="1:24" x14ac:dyDescent="0.35">
      <c r="A14" s="31">
        <f>Auto_Roster!A14</f>
        <v>46143</v>
      </c>
      <c r="B14" s="31">
        <f>Auto_Roster!B14</f>
        <v>46139</v>
      </c>
      <c r="C14" s="26" t="str">
        <f>Auto_Roster!C14</f>
        <v/>
      </c>
      <c r="D14" s="26" t="str">
        <f>Auto_Roster!D14</f>
        <v/>
      </c>
      <c r="E14" s="26" t="str">
        <f>Auto_Roster!E14</f>
        <v/>
      </c>
      <c r="F14" s="26" t="str">
        <f>Auto_Roster!G14</f>
        <v/>
      </c>
      <c r="G14" s="33">
        <f>Auto_Roster!J14</f>
        <v>0</v>
      </c>
      <c r="H14" s="33">
        <f>IF(G14&gt;Settings!$B$19,G14-Settings!$B$19,0)</f>
        <v>0</v>
      </c>
      <c r="I14" s="33">
        <f t="shared" si="0"/>
        <v>0</v>
      </c>
      <c r="J14" s="33">
        <f>IF(Auto_Roster!M14="Y",G14,0)</f>
        <v>0</v>
      </c>
      <c r="K14" s="33">
        <f>IF(Auto_Roster!L14="Y",G14,0)</f>
        <v>0</v>
      </c>
      <c r="L14" s="26" t="str">
        <f>Auto_Roster!K14</f>
        <v>N</v>
      </c>
      <c r="M14" s="34">
        <f>IF(L14="Y",Settings!$B$16,0)</f>
        <v>0</v>
      </c>
      <c r="N14" s="33">
        <f t="shared" si="1"/>
        <v>0</v>
      </c>
      <c r="O14" s="34">
        <f>N14*Settings!$B$17</f>
        <v>0</v>
      </c>
      <c r="P14" s="34">
        <f>IFERROR(VLOOKUP(C14,Employees!$A$4:$E$103,5,FALSE),Settings!$B$18)</f>
        <v>100</v>
      </c>
      <c r="Q14" s="34">
        <f t="shared" si="2"/>
        <v>0</v>
      </c>
      <c r="R14" s="34">
        <f>H14*P14*Settings!$B$13</f>
        <v>0</v>
      </c>
      <c r="S14" s="34">
        <f>J14*P14*(Settings!$B$14-1)</f>
        <v>0</v>
      </c>
      <c r="T14" s="34">
        <f>K14*P14*(Settings!$B$15-1)</f>
        <v>0</v>
      </c>
      <c r="U14" s="34">
        <f t="shared" si="3"/>
        <v>0</v>
      </c>
      <c r="V14" s="26" t="str">
        <f>Auto_Roster!O14</f>
        <v>Pending</v>
      </c>
      <c r="W14" s="26" t="e">
        <f ca="1">_xludf.TEXTJOIN("; ",TRUE,Auto_Roster!N14,IF(G14&gt;Settings!$B$19,"Approval required &gt; standard hours",""),IF(AND(F14&lt;&gt;"Off",G14=0),"Missing claimed hours",""))</f>
        <v>#NAME?</v>
      </c>
      <c r="X14" s="7"/>
    </row>
    <row r="15" spans="1:24" x14ac:dyDescent="0.35">
      <c r="A15" s="31">
        <f>Auto_Roster!A15</f>
        <v>46143</v>
      </c>
      <c r="B15" s="31">
        <f>Auto_Roster!B15</f>
        <v>46139</v>
      </c>
      <c r="C15" s="26" t="str">
        <f>Auto_Roster!C15</f>
        <v/>
      </c>
      <c r="D15" s="26" t="str">
        <f>Auto_Roster!D15</f>
        <v/>
      </c>
      <c r="E15" s="26" t="str">
        <f>Auto_Roster!E15</f>
        <v/>
      </c>
      <c r="F15" s="26" t="str">
        <f>Auto_Roster!G15</f>
        <v/>
      </c>
      <c r="G15" s="33">
        <f>Auto_Roster!J15</f>
        <v>0</v>
      </c>
      <c r="H15" s="33">
        <f>IF(G15&gt;Settings!$B$19,G15-Settings!$B$19,0)</f>
        <v>0</v>
      </c>
      <c r="I15" s="33">
        <f t="shared" si="0"/>
        <v>0</v>
      </c>
      <c r="J15" s="33">
        <f>IF(Auto_Roster!M15="Y",G15,0)</f>
        <v>0</v>
      </c>
      <c r="K15" s="33">
        <f>IF(Auto_Roster!L15="Y",G15,0)</f>
        <v>0</v>
      </c>
      <c r="L15" s="26" t="str">
        <f>Auto_Roster!K15</f>
        <v>N</v>
      </c>
      <c r="M15" s="34">
        <f>IF(L15="Y",Settings!$B$16,0)</f>
        <v>0</v>
      </c>
      <c r="N15" s="33">
        <f t="shared" si="1"/>
        <v>0</v>
      </c>
      <c r="O15" s="34">
        <f>N15*Settings!$B$17</f>
        <v>0</v>
      </c>
      <c r="P15" s="34">
        <f>IFERROR(VLOOKUP(C15,Employees!$A$4:$E$103,5,FALSE),Settings!$B$18)</f>
        <v>100</v>
      </c>
      <c r="Q15" s="34">
        <f t="shared" si="2"/>
        <v>0</v>
      </c>
      <c r="R15" s="34">
        <f>H15*P15*Settings!$B$13</f>
        <v>0</v>
      </c>
      <c r="S15" s="34">
        <f>J15*P15*(Settings!$B$14-1)</f>
        <v>0</v>
      </c>
      <c r="T15" s="34">
        <f>K15*P15*(Settings!$B$15-1)</f>
        <v>0</v>
      </c>
      <c r="U15" s="34">
        <f t="shared" si="3"/>
        <v>0</v>
      </c>
      <c r="V15" s="26" t="str">
        <f>Auto_Roster!O15</f>
        <v>Pending</v>
      </c>
      <c r="W15" s="26" t="e">
        <f ca="1">_xludf.TEXTJOIN("; ",TRUE,Auto_Roster!N15,IF(G15&gt;Settings!$B$19,"Approval required &gt; standard hours",""),IF(AND(F15&lt;&gt;"Off",G15=0),"Missing claimed hours",""))</f>
        <v>#NAME?</v>
      </c>
      <c r="X15" s="7"/>
    </row>
    <row r="16" spans="1:24" x14ac:dyDescent="0.35">
      <c r="A16" s="31">
        <f>Auto_Roster!A16</f>
        <v>46143</v>
      </c>
      <c r="B16" s="31">
        <f>Auto_Roster!B16</f>
        <v>46139</v>
      </c>
      <c r="C16" s="26" t="str">
        <f>Auto_Roster!C16</f>
        <v/>
      </c>
      <c r="D16" s="26" t="str">
        <f>Auto_Roster!D16</f>
        <v/>
      </c>
      <c r="E16" s="26" t="str">
        <f>Auto_Roster!E16</f>
        <v/>
      </c>
      <c r="F16" s="26" t="str">
        <f>Auto_Roster!G16</f>
        <v/>
      </c>
      <c r="G16" s="33">
        <f>Auto_Roster!J16</f>
        <v>0</v>
      </c>
      <c r="H16" s="33">
        <f>IF(G16&gt;Settings!$B$19,G16-Settings!$B$19,0)</f>
        <v>0</v>
      </c>
      <c r="I16" s="33">
        <f t="shared" si="0"/>
        <v>0</v>
      </c>
      <c r="J16" s="33">
        <f>IF(Auto_Roster!M16="Y",G16,0)</f>
        <v>0</v>
      </c>
      <c r="K16" s="33">
        <f>IF(Auto_Roster!L16="Y",G16,0)</f>
        <v>0</v>
      </c>
      <c r="L16" s="26" t="str">
        <f>Auto_Roster!K16</f>
        <v>N</v>
      </c>
      <c r="M16" s="34">
        <f>IF(L16="Y",Settings!$B$16,0)</f>
        <v>0</v>
      </c>
      <c r="N16" s="33">
        <f t="shared" si="1"/>
        <v>0</v>
      </c>
      <c r="O16" s="34">
        <f>N16*Settings!$B$17</f>
        <v>0</v>
      </c>
      <c r="P16" s="34">
        <f>IFERROR(VLOOKUP(C16,Employees!$A$4:$E$103,5,FALSE),Settings!$B$18)</f>
        <v>100</v>
      </c>
      <c r="Q16" s="34">
        <f t="shared" si="2"/>
        <v>0</v>
      </c>
      <c r="R16" s="34">
        <f>H16*P16*Settings!$B$13</f>
        <v>0</v>
      </c>
      <c r="S16" s="34">
        <f>J16*P16*(Settings!$B$14-1)</f>
        <v>0</v>
      </c>
      <c r="T16" s="34">
        <f>K16*P16*(Settings!$B$15-1)</f>
        <v>0</v>
      </c>
      <c r="U16" s="34">
        <f t="shared" si="3"/>
        <v>0</v>
      </c>
      <c r="V16" s="26" t="str">
        <f>Auto_Roster!O16</f>
        <v>Pending</v>
      </c>
      <c r="W16" s="26" t="e">
        <f ca="1">_xludf.TEXTJOIN("; ",TRUE,Auto_Roster!N16,IF(G16&gt;Settings!$B$19,"Approval required &gt; standard hours",""),IF(AND(F16&lt;&gt;"Off",G16=0),"Missing claimed hours",""))</f>
        <v>#NAME?</v>
      </c>
      <c r="X16" s="7"/>
    </row>
    <row r="17" spans="1:24" x14ac:dyDescent="0.35">
      <c r="A17" s="31">
        <f>Auto_Roster!A17</f>
        <v>46143</v>
      </c>
      <c r="B17" s="31">
        <f>Auto_Roster!B17</f>
        <v>46139</v>
      </c>
      <c r="C17" s="26" t="str">
        <f>Auto_Roster!C17</f>
        <v/>
      </c>
      <c r="D17" s="26" t="str">
        <f>Auto_Roster!D17</f>
        <v/>
      </c>
      <c r="E17" s="26" t="str">
        <f>Auto_Roster!E17</f>
        <v/>
      </c>
      <c r="F17" s="26" t="str">
        <f>Auto_Roster!G17</f>
        <v/>
      </c>
      <c r="G17" s="33">
        <f>Auto_Roster!J17</f>
        <v>0</v>
      </c>
      <c r="H17" s="33">
        <f>IF(G17&gt;Settings!$B$19,G17-Settings!$B$19,0)</f>
        <v>0</v>
      </c>
      <c r="I17" s="33">
        <f t="shared" si="0"/>
        <v>0</v>
      </c>
      <c r="J17" s="33">
        <f>IF(Auto_Roster!M17="Y",G17,0)</f>
        <v>0</v>
      </c>
      <c r="K17" s="33">
        <f>IF(Auto_Roster!L17="Y",G17,0)</f>
        <v>0</v>
      </c>
      <c r="L17" s="26" t="str">
        <f>Auto_Roster!K17</f>
        <v>N</v>
      </c>
      <c r="M17" s="34">
        <f>IF(L17="Y",Settings!$B$16,0)</f>
        <v>0</v>
      </c>
      <c r="N17" s="33">
        <f t="shared" si="1"/>
        <v>0</v>
      </c>
      <c r="O17" s="34">
        <f>N17*Settings!$B$17</f>
        <v>0</v>
      </c>
      <c r="P17" s="34">
        <f>IFERROR(VLOOKUP(C17,Employees!$A$4:$E$103,5,FALSE),Settings!$B$18)</f>
        <v>100</v>
      </c>
      <c r="Q17" s="34">
        <f t="shared" si="2"/>
        <v>0</v>
      </c>
      <c r="R17" s="34">
        <f>H17*P17*Settings!$B$13</f>
        <v>0</v>
      </c>
      <c r="S17" s="34">
        <f>J17*P17*(Settings!$B$14-1)</f>
        <v>0</v>
      </c>
      <c r="T17" s="34">
        <f>K17*P17*(Settings!$B$15-1)</f>
        <v>0</v>
      </c>
      <c r="U17" s="34">
        <f t="shared" si="3"/>
        <v>0</v>
      </c>
      <c r="V17" s="26" t="str">
        <f>Auto_Roster!O17</f>
        <v>Pending</v>
      </c>
      <c r="W17" s="26" t="e">
        <f ca="1">_xludf.TEXTJOIN("; ",TRUE,Auto_Roster!N17,IF(G17&gt;Settings!$B$19,"Approval required &gt; standard hours",""),IF(AND(F17&lt;&gt;"Off",G17=0),"Missing claimed hours",""))</f>
        <v>#NAME?</v>
      </c>
      <c r="X17" s="7"/>
    </row>
    <row r="18" spans="1:24" x14ac:dyDescent="0.35">
      <c r="A18" s="31">
        <f>Auto_Roster!A18</f>
        <v>46143</v>
      </c>
      <c r="B18" s="31">
        <f>Auto_Roster!B18</f>
        <v>46139</v>
      </c>
      <c r="C18" s="26" t="str">
        <f>Auto_Roster!C18</f>
        <v/>
      </c>
      <c r="D18" s="26" t="str">
        <f>Auto_Roster!D18</f>
        <v/>
      </c>
      <c r="E18" s="26" t="str">
        <f>Auto_Roster!E18</f>
        <v/>
      </c>
      <c r="F18" s="26" t="str">
        <f>Auto_Roster!G18</f>
        <v/>
      </c>
      <c r="G18" s="33">
        <f>Auto_Roster!J18</f>
        <v>0</v>
      </c>
      <c r="H18" s="33">
        <f>IF(G18&gt;Settings!$B$19,G18-Settings!$B$19,0)</f>
        <v>0</v>
      </c>
      <c r="I18" s="33">
        <f t="shared" si="0"/>
        <v>0</v>
      </c>
      <c r="J18" s="33">
        <f>IF(Auto_Roster!M18="Y",G18,0)</f>
        <v>0</v>
      </c>
      <c r="K18" s="33">
        <f>IF(Auto_Roster!L18="Y",G18,0)</f>
        <v>0</v>
      </c>
      <c r="L18" s="26" t="str">
        <f>Auto_Roster!K18</f>
        <v>N</v>
      </c>
      <c r="M18" s="34">
        <f>IF(L18="Y",Settings!$B$16,0)</f>
        <v>0</v>
      </c>
      <c r="N18" s="33">
        <f t="shared" si="1"/>
        <v>0</v>
      </c>
      <c r="O18" s="34">
        <f>N18*Settings!$B$17</f>
        <v>0</v>
      </c>
      <c r="P18" s="34">
        <f>IFERROR(VLOOKUP(C18,Employees!$A$4:$E$103,5,FALSE),Settings!$B$18)</f>
        <v>100</v>
      </c>
      <c r="Q18" s="34">
        <f t="shared" si="2"/>
        <v>0</v>
      </c>
      <c r="R18" s="34">
        <f>H18*P18*Settings!$B$13</f>
        <v>0</v>
      </c>
      <c r="S18" s="34">
        <f>J18*P18*(Settings!$B$14-1)</f>
        <v>0</v>
      </c>
      <c r="T18" s="34">
        <f>K18*P18*(Settings!$B$15-1)</f>
        <v>0</v>
      </c>
      <c r="U18" s="34">
        <f t="shared" si="3"/>
        <v>0</v>
      </c>
      <c r="V18" s="26" t="str">
        <f>Auto_Roster!O18</f>
        <v>Pending</v>
      </c>
      <c r="W18" s="26" t="e">
        <f ca="1">_xludf.TEXTJOIN("; ",TRUE,Auto_Roster!N18,IF(G18&gt;Settings!$B$19,"Approval required &gt; standard hours",""),IF(AND(F18&lt;&gt;"Off",G18=0),"Missing claimed hours",""))</f>
        <v>#NAME?</v>
      </c>
      <c r="X18" s="7"/>
    </row>
    <row r="19" spans="1:24" x14ac:dyDescent="0.35">
      <c r="A19" s="31">
        <f>Auto_Roster!A19</f>
        <v>46143</v>
      </c>
      <c r="B19" s="31">
        <f>Auto_Roster!B19</f>
        <v>46139</v>
      </c>
      <c r="C19" s="26" t="str">
        <f>Auto_Roster!C19</f>
        <v/>
      </c>
      <c r="D19" s="26" t="str">
        <f>Auto_Roster!D19</f>
        <v/>
      </c>
      <c r="E19" s="26" t="str">
        <f>Auto_Roster!E19</f>
        <v/>
      </c>
      <c r="F19" s="26" t="str">
        <f>Auto_Roster!G19</f>
        <v/>
      </c>
      <c r="G19" s="33">
        <f>Auto_Roster!J19</f>
        <v>0</v>
      </c>
      <c r="H19" s="33">
        <f>IF(G19&gt;Settings!$B$19,G19-Settings!$B$19,0)</f>
        <v>0</v>
      </c>
      <c r="I19" s="33">
        <f t="shared" si="0"/>
        <v>0</v>
      </c>
      <c r="J19" s="33">
        <f>IF(Auto_Roster!M19="Y",G19,0)</f>
        <v>0</v>
      </c>
      <c r="K19" s="33">
        <f>IF(Auto_Roster!L19="Y",G19,0)</f>
        <v>0</v>
      </c>
      <c r="L19" s="26" t="str">
        <f>Auto_Roster!K19</f>
        <v>N</v>
      </c>
      <c r="M19" s="34">
        <f>IF(L19="Y",Settings!$B$16,0)</f>
        <v>0</v>
      </c>
      <c r="N19" s="33">
        <f t="shared" si="1"/>
        <v>0</v>
      </c>
      <c r="O19" s="34">
        <f>N19*Settings!$B$17</f>
        <v>0</v>
      </c>
      <c r="P19" s="34">
        <f>IFERROR(VLOOKUP(C19,Employees!$A$4:$E$103,5,FALSE),Settings!$B$18)</f>
        <v>100</v>
      </c>
      <c r="Q19" s="34">
        <f t="shared" si="2"/>
        <v>0</v>
      </c>
      <c r="R19" s="34">
        <f>H19*P19*Settings!$B$13</f>
        <v>0</v>
      </c>
      <c r="S19" s="34">
        <f>J19*P19*(Settings!$B$14-1)</f>
        <v>0</v>
      </c>
      <c r="T19" s="34">
        <f>K19*P19*(Settings!$B$15-1)</f>
        <v>0</v>
      </c>
      <c r="U19" s="34">
        <f t="shared" si="3"/>
        <v>0</v>
      </c>
      <c r="V19" s="26" t="str">
        <f>Auto_Roster!O19</f>
        <v>Pending</v>
      </c>
      <c r="W19" s="26" t="e">
        <f ca="1">_xludf.TEXTJOIN("; ",TRUE,Auto_Roster!N19,IF(G19&gt;Settings!$B$19,"Approval required &gt; standard hours",""),IF(AND(F19&lt;&gt;"Off",G19=0),"Missing claimed hours",""))</f>
        <v>#NAME?</v>
      </c>
      <c r="X19" s="7"/>
    </row>
    <row r="20" spans="1:24" x14ac:dyDescent="0.35">
      <c r="A20" s="31">
        <f>Auto_Roster!A20</f>
        <v>46143</v>
      </c>
      <c r="B20" s="31">
        <f>Auto_Roster!B20</f>
        <v>46139</v>
      </c>
      <c r="C20" s="26" t="str">
        <f>Auto_Roster!C20</f>
        <v/>
      </c>
      <c r="D20" s="26" t="str">
        <f>Auto_Roster!D20</f>
        <v/>
      </c>
      <c r="E20" s="26" t="str">
        <f>Auto_Roster!E20</f>
        <v/>
      </c>
      <c r="F20" s="26" t="str">
        <f>Auto_Roster!G20</f>
        <v/>
      </c>
      <c r="G20" s="33">
        <f>Auto_Roster!J20</f>
        <v>0</v>
      </c>
      <c r="H20" s="33">
        <f>IF(G20&gt;Settings!$B$19,G20-Settings!$B$19,0)</f>
        <v>0</v>
      </c>
      <c r="I20" s="33">
        <f t="shared" si="0"/>
        <v>0</v>
      </c>
      <c r="J20" s="33">
        <f>IF(Auto_Roster!M20="Y",G20,0)</f>
        <v>0</v>
      </c>
      <c r="K20" s="33">
        <f>IF(Auto_Roster!L20="Y",G20,0)</f>
        <v>0</v>
      </c>
      <c r="L20" s="26" t="str">
        <f>Auto_Roster!K20</f>
        <v>N</v>
      </c>
      <c r="M20" s="34">
        <f>IF(L20="Y",Settings!$B$16,0)</f>
        <v>0</v>
      </c>
      <c r="N20" s="33">
        <f t="shared" si="1"/>
        <v>0</v>
      </c>
      <c r="O20" s="34">
        <f>N20*Settings!$B$17</f>
        <v>0</v>
      </c>
      <c r="P20" s="34">
        <f>IFERROR(VLOOKUP(C20,Employees!$A$4:$E$103,5,FALSE),Settings!$B$18)</f>
        <v>100</v>
      </c>
      <c r="Q20" s="34">
        <f t="shared" si="2"/>
        <v>0</v>
      </c>
      <c r="R20" s="34">
        <f>H20*P20*Settings!$B$13</f>
        <v>0</v>
      </c>
      <c r="S20" s="34">
        <f>J20*P20*(Settings!$B$14-1)</f>
        <v>0</v>
      </c>
      <c r="T20" s="34">
        <f>K20*P20*(Settings!$B$15-1)</f>
        <v>0</v>
      </c>
      <c r="U20" s="34">
        <f t="shared" si="3"/>
        <v>0</v>
      </c>
      <c r="V20" s="26" t="str">
        <f>Auto_Roster!O20</f>
        <v>Pending</v>
      </c>
      <c r="W20" s="26" t="e">
        <f ca="1">_xludf.TEXTJOIN("; ",TRUE,Auto_Roster!N20,IF(G20&gt;Settings!$B$19,"Approval required &gt; standard hours",""),IF(AND(F20&lt;&gt;"Off",G20=0),"Missing claimed hours",""))</f>
        <v>#NAME?</v>
      </c>
      <c r="X20" s="7"/>
    </row>
    <row r="21" spans="1:24" x14ac:dyDescent="0.35">
      <c r="A21" s="31">
        <f>Auto_Roster!A21</f>
        <v>46143</v>
      </c>
      <c r="B21" s="31">
        <f>Auto_Roster!B21</f>
        <v>46139</v>
      </c>
      <c r="C21" s="26" t="str">
        <f>Auto_Roster!C21</f>
        <v/>
      </c>
      <c r="D21" s="26" t="str">
        <f>Auto_Roster!D21</f>
        <v/>
      </c>
      <c r="E21" s="26" t="str">
        <f>Auto_Roster!E21</f>
        <v/>
      </c>
      <c r="F21" s="26" t="str">
        <f>Auto_Roster!G21</f>
        <v/>
      </c>
      <c r="G21" s="33">
        <f>Auto_Roster!J21</f>
        <v>0</v>
      </c>
      <c r="H21" s="33">
        <f>IF(G21&gt;Settings!$B$19,G21-Settings!$B$19,0)</f>
        <v>0</v>
      </c>
      <c r="I21" s="33">
        <f t="shared" si="0"/>
        <v>0</v>
      </c>
      <c r="J21" s="33">
        <f>IF(Auto_Roster!M21="Y",G21,0)</f>
        <v>0</v>
      </c>
      <c r="K21" s="33">
        <f>IF(Auto_Roster!L21="Y",G21,0)</f>
        <v>0</v>
      </c>
      <c r="L21" s="26" t="str">
        <f>Auto_Roster!K21</f>
        <v>N</v>
      </c>
      <c r="M21" s="34">
        <f>IF(L21="Y",Settings!$B$16,0)</f>
        <v>0</v>
      </c>
      <c r="N21" s="33">
        <f t="shared" si="1"/>
        <v>0</v>
      </c>
      <c r="O21" s="34">
        <f>N21*Settings!$B$17</f>
        <v>0</v>
      </c>
      <c r="P21" s="34">
        <f>IFERROR(VLOOKUP(C21,Employees!$A$4:$E$103,5,FALSE),Settings!$B$18)</f>
        <v>100</v>
      </c>
      <c r="Q21" s="34">
        <f t="shared" si="2"/>
        <v>0</v>
      </c>
      <c r="R21" s="34">
        <f>H21*P21*Settings!$B$13</f>
        <v>0</v>
      </c>
      <c r="S21" s="34">
        <f>J21*P21*(Settings!$B$14-1)</f>
        <v>0</v>
      </c>
      <c r="T21" s="34">
        <f>K21*P21*(Settings!$B$15-1)</f>
        <v>0</v>
      </c>
      <c r="U21" s="34">
        <f t="shared" si="3"/>
        <v>0</v>
      </c>
      <c r="V21" s="26" t="str">
        <f>Auto_Roster!O21</f>
        <v>Pending</v>
      </c>
      <c r="W21" s="26" t="e">
        <f ca="1">_xludf.TEXTJOIN("; ",TRUE,Auto_Roster!N21,IF(G21&gt;Settings!$B$19,"Approval required &gt; standard hours",""),IF(AND(F21&lt;&gt;"Off",G21=0),"Missing claimed hours",""))</f>
        <v>#NAME?</v>
      </c>
      <c r="X21" s="7"/>
    </row>
    <row r="22" spans="1:24" x14ac:dyDescent="0.35">
      <c r="A22" s="31">
        <f>Auto_Roster!A22</f>
        <v>46143</v>
      </c>
      <c r="B22" s="31">
        <f>Auto_Roster!B22</f>
        <v>46139</v>
      </c>
      <c r="C22" s="26" t="str">
        <f>Auto_Roster!C22</f>
        <v/>
      </c>
      <c r="D22" s="26" t="str">
        <f>Auto_Roster!D22</f>
        <v/>
      </c>
      <c r="E22" s="26" t="str">
        <f>Auto_Roster!E22</f>
        <v/>
      </c>
      <c r="F22" s="26" t="str">
        <f>Auto_Roster!G22</f>
        <v/>
      </c>
      <c r="G22" s="33">
        <f>Auto_Roster!J22</f>
        <v>0</v>
      </c>
      <c r="H22" s="33">
        <f>IF(G22&gt;Settings!$B$19,G22-Settings!$B$19,0)</f>
        <v>0</v>
      </c>
      <c r="I22" s="33">
        <f t="shared" si="0"/>
        <v>0</v>
      </c>
      <c r="J22" s="33">
        <f>IF(Auto_Roster!M22="Y",G22,0)</f>
        <v>0</v>
      </c>
      <c r="K22" s="33">
        <f>IF(Auto_Roster!L22="Y",G22,0)</f>
        <v>0</v>
      </c>
      <c r="L22" s="26" t="str">
        <f>Auto_Roster!K22</f>
        <v>N</v>
      </c>
      <c r="M22" s="34">
        <f>IF(L22="Y",Settings!$B$16,0)</f>
        <v>0</v>
      </c>
      <c r="N22" s="33">
        <f t="shared" si="1"/>
        <v>0</v>
      </c>
      <c r="O22" s="34">
        <f>N22*Settings!$B$17</f>
        <v>0</v>
      </c>
      <c r="P22" s="34">
        <f>IFERROR(VLOOKUP(C22,Employees!$A$4:$E$103,5,FALSE),Settings!$B$18)</f>
        <v>100</v>
      </c>
      <c r="Q22" s="34">
        <f t="shared" si="2"/>
        <v>0</v>
      </c>
      <c r="R22" s="34">
        <f>H22*P22*Settings!$B$13</f>
        <v>0</v>
      </c>
      <c r="S22" s="34">
        <f>J22*P22*(Settings!$B$14-1)</f>
        <v>0</v>
      </c>
      <c r="T22" s="34">
        <f>K22*P22*(Settings!$B$15-1)</f>
        <v>0</v>
      </c>
      <c r="U22" s="34">
        <f t="shared" si="3"/>
        <v>0</v>
      </c>
      <c r="V22" s="26" t="str">
        <f>Auto_Roster!O22</f>
        <v>Pending</v>
      </c>
      <c r="W22" s="26" t="e">
        <f ca="1">_xludf.TEXTJOIN("; ",TRUE,Auto_Roster!N22,IF(G22&gt;Settings!$B$19,"Approval required &gt; standard hours",""),IF(AND(F22&lt;&gt;"Off",G22=0),"Missing claimed hours",""))</f>
        <v>#NAME?</v>
      </c>
      <c r="X22" s="7"/>
    </row>
    <row r="23" spans="1:24" x14ac:dyDescent="0.35">
      <c r="A23" s="31">
        <f>Auto_Roster!A23</f>
        <v>46143</v>
      </c>
      <c r="B23" s="31">
        <f>Auto_Roster!B23</f>
        <v>46139</v>
      </c>
      <c r="C23" s="26" t="str">
        <f>Auto_Roster!C23</f>
        <v/>
      </c>
      <c r="D23" s="26" t="str">
        <f>Auto_Roster!D23</f>
        <v/>
      </c>
      <c r="E23" s="26" t="str">
        <f>Auto_Roster!E23</f>
        <v/>
      </c>
      <c r="F23" s="26" t="str">
        <f>Auto_Roster!G23</f>
        <v/>
      </c>
      <c r="G23" s="33">
        <f>Auto_Roster!J23</f>
        <v>0</v>
      </c>
      <c r="H23" s="33">
        <f>IF(G23&gt;Settings!$B$19,G23-Settings!$B$19,0)</f>
        <v>0</v>
      </c>
      <c r="I23" s="33">
        <f t="shared" si="0"/>
        <v>0</v>
      </c>
      <c r="J23" s="33">
        <f>IF(Auto_Roster!M23="Y",G23,0)</f>
        <v>0</v>
      </c>
      <c r="K23" s="33">
        <f>IF(Auto_Roster!L23="Y",G23,0)</f>
        <v>0</v>
      </c>
      <c r="L23" s="26" t="str">
        <f>Auto_Roster!K23</f>
        <v>N</v>
      </c>
      <c r="M23" s="34">
        <f>IF(L23="Y",Settings!$B$16,0)</f>
        <v>0</v>
      </c>
      <c r="N23" s="33">
        <f t="shared" si="1"/>
        <v>0</v>
      </c>
      <c r="O23" s="34">
        <f>N23*Settings!$B$17</f>
        <v>0</v>
      </c>
      <c r="P23" s="34">
        <f>IFERROR(VLOOKUP(C23,Employees!$A$4:$E$103,5,FALSE),Settings!$B$18)</f>
        <v>100</v>
      </c>
      <c r="Q23" s="34">
        <f t="shared" si="2"/>
        <v>0</v>
      </c>
      <c r="R23" s="34">
        <f>H23*P23*Settings!$B$13</f>
        <v>0</v>
      </c>
      <c r="S23" s="34">
        <f>J23*P23*(Settings!$B$14-1)</f>
        <v>0</v>
      </c>
      <c r="T23" s="34">
        <f>K23*P23*(Settings!$B$15-1)</f>
        <v>0</v>
      </c>
      <c r="U23" s="34">
        <f t="shared" si="3"/>
        <v>0</v>
      </c>
      <c r="V23" s="26" t="str">
        <f>Auto_Roster!O23</f>
        <v>Pending</v>
      </c>
      <c r="W23" s="26" t="e">
        <f ca="1">_xludf.TEXTJOIN("; ",TRUE,Auto_Roster!N23,IF(G23&gt;Settings!$B$19,"Approval required &gt; standard hours",""),IF(AND(F23&lt;&gt;"Off",G23=0),"Missing claimed hours",""))</f>
        <v>#NAME?</v>
      </c>
      <c r="X23" s="7"/>
    </row>
    <row r="24" spans="1:24" x14ac:dyDescent="0.35">
      <c r="A24" s="31">
        <f>Auto_Roster!A24</f>
        <v>46144</v>
      </c>
      <c r="B24" s="31">
        <f>Auto_Roster!B24</f>
        <v>46139</v>
      </c>
      <c r="C24" s="26" t="str">
        <f>Auto_Roster!C24</f>
        <v>E001</v>
      </c>
      <c r="D24" s="26" t="str">
        <f>Auto_Roster!D24</f>
        <v>Musiwa Khavalani</v>
      </c>
      <c r="E24" s="26">
        <f>Auto_Roster!E24</f>
        <v>0</v>
      </c>
      <c r="F24" s="26" t="e">
        <f>Auto_Roster!G24</f>
        <v>#N/A</v>
      </c>
      <c r="G24" s="33" t="e">
        <f>Auto_Roster!J24</f>
        <v>#N/A</v>
      </c>
      <c r="H24" s="33" t="e">
        <f>IF(G24&gt;Settings!$B$19,G24-Settings!$B$19,0)</f>
        <v>#N/A</v>
      </c>
      <c r="I24" s="33" t="e">
        <f t="shared" si="0"/>
        <v>#N/A</v>
      </c>
      <c r="J24" s="33">
        <f>IF(Auto_Roster!M24="Y",G24,0)</f>
        <v>0</v>
      </c>
      <c r="K24" s="33">
        <f>IF(Auto_Roster!L24="Y",G24,0)</f>
        <v>0</v>
      </c>
      <c r="L24" s="26" t="str">
        <f>Auto_Roster!K24</f>
        <v>N</v>
      </c>
      <c r="M24" s="34">
        <f>IF(L24="Y",Settings!$B$16,0)</f>
        <v>0</v>
      </c>
      <c r="N24" s="33" t="e">
        <f t="shared" si="1"/>
        <v>#N/A</v>
      </c>
      <c r="O24" s="34" t="e">
        <f>N24*Settings!$B$17</f>
        <v>#N/A</v>
      </c>
      <c r="P24" s="34">
        <f>IFERROR(VLOOKUP(C24,Employees!$A$4:$E$103,5,FALSE),Settings!$B$18)</f>
        <v>100</v>
      </c>
      <c r="Q24" s="34" t="e">
        <f t="shared" si="2"/>
        <v>#N/A</v>
      </c>
      <c r="R24" s="34" t="e">
        <f>H24*P24*Settings!$B$13</f>
        <v>#N/A</v>
      </c>
      <c r="S24" s="34">
        <f>J24*P24*(Settings!$B$14-1)</f>
        <v>0</v>
      </c>
      <c r="T24" s="34">
        <f>K24*P24*(Settings!$B$15-1)</f>
        <v>0</v>
      </c>
      <c r="U24" s="34" t="e">
        <f t="shared" si="3"/>
        <v>#N/A</v>
      </c>
      <c r="V24" s="26" t="str">
        <f>Auto_Roster!O24</f>
        <v>Pending</v>
      </c>
      <c r="W24" s="26" t="e">
        <f ca="1">_xludf.TEXTJOIN("; ",TRUE,Auto_Roster!N24,IF(G24&gt;Settings!$B$19,"Approval required &gt; standard hours",""),IF(AND(F24&lt;&gt;"Off",G24=0),"Missing claimed hours",""))</f>
        <v>#NAME?</v>
      </c>
      <c r="X24" s="7"/>
    </row>
    <row r="25" spans="1:24" x14ac:dyDescent="0.35">
      <c r="A25" s="31">
        <f>Auto_Roster!A25</f>
        <v>46144</v>
      </c>
      <c r="B25" s="31">
        <f>Auto_Roster!B25</f>
        <v>46139</v>
      </c>
      <c r="C25" s="26" t="str">
        <f>Auto_Roster!C25</f>
        <v>E002</v>
      </c>
      <c r="D25" s="26" t="str">
        <f>Auto_Roster!D25</f>
        <v>Mpho  Nembemhia</v>
      </c>
      <c r="E25" s="26" t="str">
        <f>Auto_Roster!E25</f>
        <v>B</v>
      </c>
      <c r="F25" s="26" t="str">
        <f>Auto_Roster!G25</f>
        <v>Day</v>
      </c>
      <c r="G25" s="33">
        <f>Auto_Roster!J25</f>
        <v>8</v>
      </c>
      <c r="H25" s="33">
        <f>IF(G25&gt;Settings!$B$19,G25-Settings!$B$19,0)</f>
        <v>0</v>
      </c>
      <c r="I25" s="33">
        <f t="shared" si="0"/>
        <v>8</v>
      </c>
      <c r="J25" s="33">
        <f>IF(Auto_Roster!M25="Y",G25,0)</f>
        <v>0</v>
      </c>
      <c r="K25" s="33">
        <f>IF(Auto_Roster!L25="Y",G25,0)</f>
        <v>0</v>
      </c>
      <c r="L25" s="26" t="str">
        <f>Auto_Roster!K25</f>
        <v>N</v>
      </c>
      <c r="M25" s="34">
        <f>IF(L25="Y",Settings!$B$16,0)</f>
        <v>0</v>
      </c>
      <c r="N25" s="33">
        <f t="shared" si="1"/>
        <v>0</v>
      </c>
      <c r="O25" s="34">
        <f>N25*Settings!$B$17</f>
        <v>0</v>
      </c>
      <c r="P25" s="34">
        <f>IFERROR(VLOOKUP(C25,Employees!$A$4:$E$103,5,FALSE),Settings!$B$18)</f>
        <v>100</v>
      </c>
      <c r="Q25" s="34">
        <f t="shared" si="2"/>
        <v>800</v>
      </c>
      <c r="R25" s="34">
        <f>H25*P25*Settings!$B$13</f>
        <v>0</v>
      </c>
      <c r="S25" s="34">
        <f>J25*P25*(Settings!$B$14-1)</f>
        <v>0</v>
      </c>
      <c r="T25" s="34">
        <f>K25*P25*(Settings!$B$15-1)</f>
        <v>0</v>
      </c>
      <c r="U25" s="34">
        <f t="shared" si="3"/>
        <v>800</v>
      </c>
      <c r="V25" s="26" t="str">
        <f>Auto_Roster!O25</f>
        <v>Pending</v>
      </c>
      <c r="W25" s="26" t="e">
        <f ca="1">_xludf.TEXTJOIN("; ",TRUE,Auto_Roster!N25,IF(G25&gt;Settings!$B$19,"Approval required &gt; standard hours",""),IF(AND(F25&lt;&gt;"Off",G25=0),"Missing claimed hours",""))</f>
        <v>#NAME?</v>
      </c>
      <c r="X25" s="7"/>
    </row>
    <row r="26" spans="1:24" x14ac:dyDescent="0.35">
      <c r="A26" s="31">
        <f>Auto_Roster!A26</f>
        <v>46144</v>
      </c>
      <c r="B26" s="31">
        <f>Auto_Roster!B26</f>
        <v>46139</v>
      </c>
      <c r="C26" s="26" t="str">
        <f>Auto_Roster!C26</f>
        <v>E003</v>
      </c>
      <c r="D26" s="26" t="str">
        <f>Auto_Roster!D26</f>
        <v>Dimpho Makhafola</v>
      </c>
      <c r="E26" s="26" t="str">
        <f>Auto_Roster!E26</f>
        <v>C</v>
      </c>
      <c r="F26" s="26" t="str">
        <f>Auto_Roster!G26</f>
        <v>Off</v>
      </c>
      <c r="G26" s="33">
        <f>Auto_Roster!J26</f>
        <v>0</v>
      </c>
      <c r="H26" s="33">
        <f>IF(G26&gt;Settings!$B$19,G26-Settings!$B$19,0)</f>
        <v>0</v>
      </c>
      <c r="I26" s="33">
        <f t="shared" si="0"/>
        <v>0</v>
      </c>
      <c r="J26" s="33">
        <f>IF(Auto_Roster!M26="Y",G26,0)</f>
        <v>0</v>
      </c>
      <c r="K26" s="33">
        <f>IF(Auto_Roster!L26="Y",G26,0)</f>
        <v>0</v>
      </c>
      <c r="L26" s="26" t="str">
        <f>Auto_Roster!K26</f>
        <v>N</v>
      </c>
      <c r="M26" s="34">
        <f>IF(L26="Y",Settings!$B$16,0)</f>
        <v>0</v>
      </c>
      <c r="N26" s="33">
        <f t="shared" si="1"/>
        <v>0</v>
      </c>
      <c r="O26" s="34">
        <f>N26*Settings!$B$17</f>
        <v>0</v>
      </c>
      <c r="P26" s="34">
        <f>IFERROR(VLOOKUP(C26,Employees!$A$4:$E$103,5,FALSE),Settings!$B$18)</f>
        <v>100</v>
      </c>
      <c r="Q26" s="34">
        <f t="shared" si="2"/>
        <v>0</v>
      </c>
      <c r="R26" s="34">
        <f>H26*P26*Settings!$B$13</f>
        <v>0</v>
      </c>
      <c r="S26" s="34">
        <f>J26*P26*(Settings!$B$14-1)</f>
        <v>0</v>
      </c>
      <c r="T26" s="34">
        <f>K26*P26*(Settings!$B$15-1)</f>
        <v>0</v>
      </c>
      <c r="U26" s="34">
        <f t="shared" si="3"/>
        <v>0</v>
      </c>
      <c r="V26" s="26" t="str">
        <f>Auto_Roster!O26</f>
        <v>Pending</v>
      </c>
      <c r="W26" s="26" t="e">
        <f ca="1">_xludf.TEXTJOIN("; ",TRUE,Auto_Roster!N26,IF(G26&gt;Settings!$B$19,"Approval required &gt; standard hours",""),IF(AND(F26&lt;&gt;"Off",G26=0),"Missing claimed hours",""))</f>
        <v>#NAME?</v>
      </c>
      <c r="X26" s="7"/>
    </row>
    <row r="27" spans="1:24" x14ac:dyDescent="0.35">
      <c r="A27" s="31">
        <f>Auto_Roster!A27</f>
        <v>46144</v>
      </c>
      <c r="B27" s="31">
        <f>Auto_Roster!B27</f>
        <v>46139</v>
      </c>
      <c r="C27" s="26" t="str">
        <f>Auto_Roster!C27</f>
        <v>E004</v>
      </c>
      <c r="D27" s="26" t="str">
        <f>Auto_Roster!D27</f>
        <v>Bashii Fall</v>
      </c>
      <c r="E27" s="26" t="str">
        <f>Auto_Roster!E27</f>
        <v>D</v>
      </c>
      <c r="F27" s="26" t="str">
        <f>Auto_Roster!G27</f>
        <v>Night</v>
      </c>
      <c r="G27" s="33">
        <f>Auto_Roster!J27</f>
        <v>8</v>
      </c>
      <c r="H27" s="33">
        <f>IF(G27&gt;Settings!$B$19,G27-Settings!$B$19,0)</f>
        <v>0</v>
      </c>
      <c r="I27" s="33">
        <f t="shared" si="0"/>
        <v>8</v>
      </c>
      <c r="J27" s="33">
        <f>IF(Auto_Roster!M27="Y",G27,0)</f>
        <v>0</v>
      </c>
      <c r="K27" s="33">
        <f>IF(Auto_Roster!L27="Y",G27,0)</f>
        <v>0</v>
      </c>
      <c r="L27" s="26" t="str">
        <f>Auto_Roster!K27</f>
        <v>N</v>
      </c>
      <c r="M27" s="34">
        <f>IF(L27="Y",Settings!$B$16,0)</f>
        <v>0</v>
      </c>
      <c r="N27" s="33">
        <f t="shared" si="1"/>
        <v>8</v>
      </c>
      <c r="O27" s="34">
        <f>N27*Settings!$B$17</f>
        <v>0</v>
      </c>
      <c r="P27" s="34">
        <f>IFERROR(VLOOKUP(C27,Employees!$A$4:$E$103,5,FALSE),Settings!$B$18)</f>
        <v>100</v>
      </c>
      <c r="Q27" s="34">
        <f t="shared" si="2"/>
        <v>800</v>
      </c>
      <c r="R27" s="34">
        <f>H27*P27*Settings!$B$13</f>
        <v>0</v>
      </c>
      <c r="S27" s="34">
        <f>J27*P27*(Settings!$B$14-1)</f>
        <v>0</v>
      </c>
      <c r="T27" s="34">
        <f>K27*P27*(Settings!$B$15-1)</f>
        <v>0</v>
      </c>
      <c r="U27" s="34">
        <f t="shared" si="3"/>
        <v>800</v>
      </c>
      <c r="V27" s="26" t="str">
        <f>Auto_Roster!O27</f>
        <v>Pending</v>
      </c>
      <c r="W27" s="26" t="e">
        <f ca="1">_xludf.TEXTJOIN("; ",TRUE,Auto_Roster!N27,IF(G27&gt;Settings!$B$19,"Approval required &gt; standard hours",""),IF(AND(F27&lt;&gt;"Off",G27=0),"Missing claimed hours",""))</f>
        <v>#NAME?</v>
      </c>
      <c r="X27" s="7"/>
    </row>
    <row r="28" spans="1:24" x14ac:dyDescent="0.35">
      <c r="A28" s="31">
        <f>Auto_Roster!A28</f>
        <v>46144</v>
      </c>
      <c r="B28" s="31">
        <f>Auto_Roster!B28</f>
        <v>46139</v>
      </c>
      <c r="C28" s="26" t="str">
        <f>Auto_Roster!C28</f>
        <v>E005</v>
      </c>
      <c r="D28" s="26" t="str">
        <f>Auto_Roster!D28</f>
        <v>Lesego Aphane</v>
      </c>
      <c r="E28" s="26" t="str">
        <f>Auto_Roster!E28</f>
        <v>A</v>
      </c>
      <c r="F28" s="26" t="str">
        <f>Auto_Roster!G28</f>
        <v>Evening</v>
      </c>
      <c r="G28" s="33">
        <f>Auto_Roster!J28</f>
        <v>8</v>
      </c>
      <c r="H28" s="33">
        <f>IF(G28&gt;Settings!$B$19,G28-Settings!$B$19,0)</f>
        <v>0</v>
      </c>
      <c r="I28" s="33">
        <f t="shared" si="0"/>
        <v>8</v>
      </c>
      <c r="J28" s="33">
        <f>IF(Auto_Roster!M28="Y",G28,0)</f>
        <v>0</v>
      </c>
      <c r="K28" s="33">
        <f>IF(Auto_Roster!L28="Y",G28,0)</f>
        <v>0</v>
      </c>
      <c r="L28" s="26" t="str">
        <f>Auto_Roster!K28</f>
        <v>N</v>
      </c>
      <c r="M28" s="34">
        <f>IF(L28="Y",Settings!$B$16,0)</f>
        <v>0</v>
      </c>
      <c r="N28" s="33">
        <f t="shared" si="1"/>
        <v>0</v>
      </c>
      <c r="O28" s="34">
        <f>N28*Settings!$B$17</f>
        <v>0</v>
      </c>
      <c r="P28" s="34">
        <f>IFERROR(VLOOKUP(C28,Employees!$A$4:$E$103,5,FALSE),Settings!$B$18)</f>
        <v>100</v>
      </c>
      <c r="Q28" s="34">
        <f t="shared" si="2"/>
        <v>800</v>
      </c>
      <c r="R28" s="34">
        <f>H28*P28*Settings!$B$13</f>
        <v>0</v>
      </c>
      <c r="S28" s="34">
        <f>J28*P28*(Settings!$B$14-1)</f>
        <v>0</v>
      </c>
      <c r="T28" s="34">
        <f>K28*P28*(Settings!$B$15-1)</f>
        <v>0</v>
      </c>
      <c r="U28" s="34">
        <f t="shared" si="3"/>
        <v>800</v>
      </c>
      <c r="V28" s="26" t="str">
        <f>Auto_Roster!O28</f>
        <v>Pending</v>
      </c>
      <c r="W28" s="26" t="e">
        <f ca="1">_xludf.TEXTJOIN("; ",TRUE,Auto_Roster!N28,IF(G28&gt;Settings!$B$19,"Approval required &gt; standard hours",""),IF(AND(F28&lt;&gt;"Off",G28=0),"Missing claimed hours",""))</f>
        <v>#NAME?</v>
      </c>
      <c r="X28" s="7"/>
    </row>
    <row r="29" spans="1:24" x14ac:dyDescent="0.35">
      <c r="A29" s="31">
        <f>Auto_Roster!A29</f>
        <v>46144</v>
      </c>
      <c r="B29" s="31">
        <f>Auto_Roster!B29</f>
        <v>46139</v>
      </c>
      <c r="C29" s="26" t="str">
        <f>Auto_Roster!C29</f>
        <v>E006</v>
      </c>
      <c r="D29" s="26" t="str">
        <f>Auto_Roster!D29</f>
        <v>Nhalnahla</v>
      </c>
      <c r="E29" s="26" t="str">
        <f>Auto_Roster!E29</f>
        <v>B</v>
      </c>
      <c r="F29" s="26" t="str">
        <f>Auto_Roster!G29</f>
        <v>Day</v>
      </c>
      <c r="G29" s="33">
        <f>Auto_Roster!J29</f>
        <v>8</v>
      </c>
      <c r="H29" s="33">
        <f>IF(G29&gt;Settings!$B$19,G29-Settings!$B$19,0)</f>
        <v>0</v>
      </c>
      <c r="I29" s="33">
        <f t="shared" si="0"/>
        <v>8</v>
      </c>
      <c r="J29" s="33">
        <f>IF(Auto_Roster!M29="Y",G29,0)</f>
        <v>0</v>
      </c>
      <c r="K29" s="33">
        <f>IF(Auto_Roster!L29="Y",G29,0)</f>
        <v>0</v>
      </c>
      <c r="L29" s="26" t="str">
        <f>Auto_Roster!K29</f>
        <v>N</v>
      </c>
      <c r="M29" s="34">
        <f>IF(L29="Y",Settings!$B$16,0)</f>
        <v>0</v>
      </c>
      <c r="N29" s="33">
        <f t="shared" si="1"/>
        <v>0</v>
      </c>
      <c r="O29" s="34">
        <f>N29*Settings!$B$17</f>
        <v>0</v>
      </c>
      <c r="P29" s="34">
        <f>IFERROR(VLOOKUP(C29,Employees!$A$4:$E$103,5,FALSE),Settings!$B$18)</f>
        <v>100</v>
      </c>
      <c r="Q29" s="34">
        <f t="shared" si="2"/>
        <v>800</v>
      </c>
      <c r="R29" s="34">
        <f>H29*P29*Settings!$B$13</f>
        <v>0</v>
      </c>
      <c r="S29" s="34">
        <f>J29*P29*(Settings!$B$14-1)</f>
        <v>0</v>
      </c>
      <c r="T29" s="34">
        <f>K29*P29*(Settings!$B$15-1)</f>
        <v>0</v>
      </c>
      <c r="U29" s="34">
        <f t="shared" si="3"/>
        <v>800</v>
      </c>
      <c r="V29" s="26" t="str">
        <f>Auto_Roster!O29</f>
        <v>Pending</v>
      </c>
      <c r="W29" s="26" t="e">
        <f ca="1">_xludf.TEXTJOIN("; ",TRUE,Auto_Roster!N29,IF(G29&gt;Settings!$B$19,"Approval required &gt; standard hours",""),IF(AND(F29&lt;&gt;"Off",G29=0),"Missing claimed hours",""))</f>
        <v>#NAME?</v>
      </c>
      <c r="X29" s="7"/>
    </row>
    <row r="30" spans="1:24" x14ac:dyDescent="0.35">
      <c r="A30" s="31">
        <f>Auto_Roster!A30</f>
        <v>46144</v>
      </c>
      <c r="B30" s="31">
        <f>Auto_Roster!B30</f>
        <v>46139</v>
      </c>
      <c r="C30" s="26" t="str">
        <f>Auto_Roster!C30</f>
        <v>E007</v>
      </c>
      <c r="D30" s="26" t="str">
        <f>Auto_Roster!D30</f>
        <v>Joe</v>
      </c>
      <c r="E30" s="26" t="str">
        <f>Auto_Roster!E30</f>
        <v>C</v>
      </c>
      <c r="F30" s="26" t="str">
        <f>Auto_Roster!G30</f>
        <v>Off</v>
      </c>
      <c r="G30" s="33">
        <f>Auto_Roster!J30</f>
        <v>0</v>
      </c>
      <c r="H30" s="33">
        <f>IF(G30&gt;Settings!$B$19,G30-Settings!$B$19,0)</f>
        <v>0</v>
      </c>
      <c r="I30" s="33">
        <f t="shared" si="0"/>
        <v>0</v>
      </c>
      <c r="J30" s="33">
        <f>IF(Auto_Roster!M30="Y",G30,0)</f>
        <v>0</v>
      </c>
      <c r="K30" s="33">
        <f>IF(Auto_Roster!L30="Y",G30,0)</f>
        <v>0</v>
      </c>
      <c r="L30" s="26" t="str">
        <f>Auto_Roster!K30</f>
        <v>N</v>
      </c>
      <c r="M30" s="34">
        <f>IF(L30="Y",Settings!$B$16,0)</f>
        <v>0</v>
      </c>
      <c r="N30" s="33">
        <f t="shared" si="1"/>
        <v>0</v>
      </c>
      <c r="O30" s="34">
        <f>N30*Settings!$B$17</f>
        <v>0</v>
      </c>
      <c r="P30" s="34">
        <f>IFERROR(VLOOKUP(C30,Employees!$A$4:$E$103,5,FALSE),Settings!$B$18)</f>
        <v>100</v>
      </c>
      <c r="Q30" s="34">
        <f t="shared" si="2"/>
        <v>0</v>
      </c>
      <c r="R30" s="34">
        <f>H30*P30*Settings!$B$13</f>
        <v>0</v>
      </c>
      <c r="S30" s="34">
        <f>J30*P30*(Settings!$B$14-1)</f>
        <v>0</v>
      </c>
      <c r="T30" s="34">
        <f>K30*P30*(Settings!$B$15-1)</f>
        <v>0</v>
      </c>
      <c r="U30" s="34">
        <f t="shared" si="3"/>
        <v>0</v>
      </c>
      <c r="V30" s="26" t="str">
        <f>Auto_Roster!O30</f>
        <v>Pending</v>
      </c>
      <c r="W30" s="26" t="e">
        <f ca="1">_xludf.TEXTJOIN("; ",TRUE,Auto_Roster!N30,IF(G30&gt;Settings!$B$19,"Approval required &gt; standard hours",""),IF(AND(F30&lt;&gt;"Off",G30=0),"Missing claimed hours",""))</f>
        <v>#NAME?</v>
      </c>
      <c r="X30" s="7"/>
    </row>
    <row r="31" spans="1:24" x14ac:dyDescent="0.35">
      <c r="A31" s="31">
        <f>Auto_Roster!A31</f>
        <v>46144</v>
      </c>
      <c r="B31" s="31">
        <f>Auto_Roster!B31</f>
        <v>46139</v>
      </c>
      <c r="C31" s="26" t="str">
        <f>Auto_Roster!C31</f>
        <v>E008</v>
      </c>
      <c r="D31" s="26" t="str">
        <f>Auto_Roster!D31</f>
        <v>Tim</v>
      </c>
      <c r="E31" s="26" t="str">
        <f>Auto_Roster!E31</f>
        <v>D</v>
      </c>
      <c r="F31" s="26" t="str">
        <f>Auto_Roster!G31</f>
        <v>Night</v>
      </c>
      <c r="G31" s="33">
        <f>Auto_Roster!J31</f>
        <v>8</v>
      </c>
      <c r="H31" s="33">
        <f>IF(G31&gt;Settings!$B$19,G31-Settings!$B$19,0)</f>
        <v>0</v>
      </c>
      <c r="I31" s="33">
        <f t="shared" si="0"/>
        <v>8</v>
      </c>
      <c r="J31" s="33">
        <f>IF(Auto_Roster!M31="Y",G31,0)</f>
        <v>0</v>
      </c>
      <c r="K31" s="33">
        <f>IF(Auto_Roster!L31="Y",G31,0)</f>
        <v>0</v>
      </c>
      <c r="L31" s="26" t="str">
        <f>Auto_Roster!K31</f>
        <v>N</v>
      </c>
      <c r="M31" s="34">
        <f>IF(L31="Y",Settings!$B$16,0)</f>
        <v>0</v>
      </c>
      <c r="N31" s="33">
        <f t="shared" si="1"/>
        <v>8</v>
      </c>
      <c r="O31" s="34">
        <f>N31*Settings!$B$17</f>
        <v>0</v>
      </c>
      <c r="P31" s="34">
        <f>IFERROR(VLOOKUP(C31,Employees!$A$4:$E$103,5,FALSE),Settings!$B$18)</f>
        <v>100</v>
      </c>
      <c r="Q31" s="34">
        <f t="shared" si="2"/>
        <v>800</v>
      </c>
      <c r="R31" s="34">
        <f>H31*P31*Settings!$B$13</f>
        <v>0</v>
      </c>
      <c r="S31" s="34">
        <f>J31*P31*(Settings!$B$14-1)</f>
        <v>0</v>
      </c>
      <c r="T31" s="34">
        <f>K31*P31*(Settings!$B$15-1)</f>
        <v>0</v>
      </c>
      <c r="U31" s="34">
        <f t="shared" si="3"/>
        <v>800</v>
      </c>
      <c r="V31" s="26" t="str">
        <f>Auto_Roster!O31</f>
        <v>Pending</v>
      </c>
      <c r="W31" s="26" t="e">
        <f ca="1">_xludf.TEXTJOIN("; ",TRUE,Auto_Roster!N31,IF(G31&gt;Settings!$B$19,"Approval required &gt; standard hours",""),IF(AND(F31&lt;&gt;"Off",G31=0),"Missing claimed hours",""))</f>
        <v>#NAME?</v>
      </c>
      <c r="X31" s="7"/>
    </row>
    <row r="32" spans="1:24" x14ac:dyDescent="0.35">
      <c r="A32" s="31">
        <f>Auto_Roster!A32</f>
        <v>46144</v>
      </c>
      <c r="B32" s="31">
        <f>Auto_Roster!B32</f>
        <v>46139</v>
      </c>
      <c r="C32" s="26" t="str">
        <f>Auto_Roster!C32</f>
        <v>E009</v>
      </c>
      <c r="D32" s="26" t="str">
        <f>Auto_Roster!D32</f>
        <v>Frank</v>
      </c>
      <c r="E32" s="26" t="str">
        <f>Auto_Roster!E32</f>
        <v>A</v>
      </c>
      <c r="F32" s="26" t="str">
        <f>Auto_Roster!G32</f>
        <v>Evening</v>
      </c>
      <c r="G32" s="33">
        <f>Auto_Roster!J32</f>
        <v>8</v>
      </c>
      <c r="H32" s="33">
        <f>IF(G32&gt;Settings!$B$19,G32-Settings!$B$19,0)</f>
        <v>0</v>
      </c>
      <c r="I32" s="33">
        <f t="shared" si="0"/>
        <v>8</v>
      </c>
      <c r="J32" s="33">
        <f>IF(Auto_Roster!M32="Y",G32,0)</f>
        <v>0</v>
      </c>
      <c r="K32" s="33">
        <f>IF(Auto_Roster!L32="Y",G32,0)</f>
        <v>0</v>
      </c>
      <c r="L32" s="26" t="str">
        <f>Auto_Roster!K32</f>
        <v>N</v>
      </c>
      <c r="M32" s="34">
        <f>IF(L32="Y",Settings!$B$16,0)</f>
        <v>0</v>
      </c>
      <c r="N32" s="33">
        <f t="shared" si="1"/>
        <v>0</v>
      </c>
      <c r="O32" s="34">
        <f>N32*Settings!$B$17</f>
        <v>0</v>
      </c>
      <c r="P32" s="34">
        <f>IFERROR(VLOOKUP(C32,Employees!$A$4:$E$103,5,FALSE),Settings!$B$18)</f>
        <v>100</v>
      </c>
      <c r="Q32" s="34">
        <f t="shared" si="2"/>
        <v>800</v>
      </c>
      <c r="R32" s="34">
        <f>H32*P32*Settings!$B$13</f>
        <v>0</v>
      </c>
      <c r="S32" s="34">
        <f>J32*P32*(Settings!$B$14-1)</f>
        <v>0</v>
      </c>
      <c r="T32" s="34">
        <f>K32*P32*(Settings!$B$15-1)</f>
        <v>0</v>
      </c>
      <c r="U32" s="34">
        <f t="shared" si="3"/>
        <v>800</v>
      </c>
      <c r="V32" s="26" t="str">
        <f>Auto_Roster!O32</f>
        <v>Pending</v>
      </c>
      <c r="W32" s="26" t="e">
        <f ca="1">_xludf.TEXTJOIN("; ",TRUE,Auto_Roster!N32,IF(G32&gt;Settings!$B$19,"Approval required &gt; standard hours",""),IF(AND(F32&lt;&gt;"Off",G32=0),"Missing claimed hours",""))</f>
        <v>#NAME?</v>
      </c>
      <c r="X32" s="7"/>
    </row>
    <row r="33" spans="1:24" x14ac:dyDescent="0.35">
      <c r="A33" s="31">
        <f>Auto_Roster!A33</f>
        <v>46144</v>
      </c>
      <c r="B33" s="31">
        <f>Auto_Roster!B33</f>
        <v>46139</v>
      </c>
      <c r="C33" s="26" t="str">
        <f>Auto_Roster!C33</f>
        <v/>
      </c>
      <c r="D33" s="26" t="str">
        <f>Auto_Roster!D33</f>
        <v/>
      </c>
      <c r="E33" s="26" t="str">
        <f>Auto_Roster!E33</f>
        <v/>
      </c>
      <c r="F33" s="26" t="str">
        <f>Auto_Roster!G33</f>
        <v/>
      </c>
      <c r="G33" s="33">
        <f>Auto_Roster!J33</f>
        <v>0</v>
      </c>
      <c r="H33" s="33">
        <f>IF(G33&gt;Settings!$B$19,G33-Settings!$B$19,0)</f>
        <v>0</v>
      </c>
      <c r="I33" s="33">
        <f t="shared" si="0"/>
        <v>0</v>
      </c>
      <c r="J33" s="33">
        <f>IF(Auto_Roster!M33="Y",G33,0)</f>
        <v>0</v>
      </c>
      <c r="K33" s="33">
        <f>IF(Auto_Roster!L33="Y",G33,0)</f>
        <v>0</v>
      </c>
      <c r="L33" s="26" t="str">
        <f>Auto_Roster!K33</f>
        <v>N</v>
      </c>
      <c r="M33" s="34">
        <f>IF(L33="Y",Settings!$B$16,0)</f>
        <v>0</v>
      </c>
      <c r="N33" s="33">
        <f t="shared" si="1"/>
        <v>0</v>
      </c>
      <c r="O33" s="34">
        <f>N33*Settings!$B$17</f>
        <v>0</v>
      </c>
      <c r="P33" s="34">
        <f>IFERROR(VLOOKUP(C33,Employees!$A$4:$E$103,5,FALSE),Settings!$B$18)</f>
        <v>100</v>
      </c>
      <c r="Q33" s="34">
        <f t="shared" si="2"/>
        <v>0</v>
      </c>
      <c r="R33" s="34">
        <f>H33*P33*Settings!$B$13</f>
        <v>0</v>
      </c>
      <c r="S33" s="34">
        <f>J33*P33*(Settings!$B$14-1)</f>
        <v>0</v>
      </c>
      <c r="T33" s="34">
        <f>K33*P33*(Settings!$B$15-1)</f>
        <v>0</v>
      </c>
      <c r="U33" s="34">
        <f t="shared" si="3"/>
        <v>0</v>
      </c>
      <c r="V33" s="26" t="str">
        <f>Auto_Roster!O33</f>
        <v>Pending</v>
      </c>
      <c r="W33" s="26" t="e">
        <f ca="1">_xludf.TEXTJOIN("; ",TRUE,Auto_Roster!N33,IF(G33&gt;Settings!$B$19,"Approval required &gt; standard hours",""),IF(AND(F33&lt;&gt;"Off",G33=0),"Missing claimed hours",""))</f>
        <v>#NAME?</v>
      </c>
      <c r="X33" s="7"/>
    </row>
    <row r="34" spans="1:24" x14ac:dyDescent="0.35">
      <c r="A34" s="31">
        <f>Auto_Roster!A34</f>
        <v>46144</v>
      </c>
      <c r="B34" s="31">
        <f>Auto_Roster!B34</f>
        <v>46139</v>
      </c>
      <c r="C34" s="26" t="str">
        <f>Auto_Roster!C34</f>
        <v/>
      </c>
      <c r="D34" s="26" t="str">
        <f>Auto_Roster!D34</f>
        <v/>
      </c>
      <c r="E34" s="26" t="str">
        <f>Auto_Roster!E34</f>
        <v/>
      </c>
      <c r="F34" s="26" t="str">
        <f>Auto_Roster!G34</f>
        <v/>
      </c>
      <c r="G34" s="33">
        <f>Auto_Roster!J34</f>
        <v>0</v>
      </c>
      <c r="H34" s="33">
        <f>IF(G34&gt;Settings!$B$19,G34-Settings!$B$19,0)</f>
        <v>0</v>
      </c>
      <c r="I34" s="33">
        <f t="shared" si="0"/>
        <v>0</v>
      </c>
      <c r="J34" s="33">
        <f>IF(Auto_Roster!M34="Y",G34,0)</f>
        <v>0</v>
      </c>
      <c r="K34" s="33">
        <f>IF(Auto_Roster!L34="Y",G34,0)</f>
        <v>0</v>
      </c>
      <c r="L34" s="26" t="str">
        <f>Auto_Roster!K34</f>
        <v>N</v>
      </c>
      <c r="M34" s="34">
        <f>IF(L34="Y",Settings!$B$16,0)</f>
        <v>0</v>
      </c>
      <c r="N34" s="33">
        <f t="shared" si="1"/>
        <v>0</v>
      </c>
      <c r="O34" s="34">
        <f>N34*Settings!$B$17</f>
        <v>0</v>
      </c>
      <c r="P34" s="34">
        <f>IFERROR(VLOOKUP(C34,Employees!$A$4:$E$103,5,FALSE),Settings!$B$18)</f>
        <v>100</v>
      </c>
      <c r="Q34" s="34">
        <f t="shared" si="2"/>
        <v>0</v>
      </c>
      <c r="R34" s="34">
        <f>H34*P34*Settings!$B$13</f>
        <v>0</v>
      </c>
      <c r="S34" s="34">
        <f>J34*P34*(Settings!$B$14-1)</f>
        <v>0</v>
      </c>
      <c r="T34" s="34">
        <f>K34*P34*(Settings!$B$15-1)</f>
        <v>0</v>
      </c>
      <c r="U34" s="34">
        <f t="shared" si="3"/>
        <v>0</v>
      </c>
      <c r="V34" s="26" t="str">
        <f>Auto_Roster!O34</f>
        <v>Pending</v>
      </c>
      <c r="W34" s="26" t="e">
        <f ca="1">_xludf.TEXTJOIN("; ",TRUE,Auto_Roster!N34,IF(G34&gt;Settings!$B$19,"Approval required &gt; standard hours",""),IF(AND(F34&lt;&gt;"Off",G34=0),"Missing claimed hours",""))</f>
        <v>#NAME?</v>
      </c>
      <c r="X34" s="7"/>
    </row>
    <row r="35" spans="1:24" x14ac:dyDescent="0.35">
      <c r="A35" s="31">
        <f>Auto_Roster!A35</f>
        <v>46144</v>
      </c>
      <c r="B35" s="31">
        <f>Auto_Roster!B35</f>
        <v>46139</v>
      </c>
      <c r="C35" s="26" t="str">
        <f>Auto_Roster!C35</f>
        <v/>
      </c>
      <c r="D35" s="26" t="str">
        <f>Auto_Roster!D35</f>
        <v/>
      </c>
      <c r="E35" s="26" t="str">
        <f>Auto_Roster!E35</f>
        <v/>
      </c>
      <c r="F35" s="26" t="str">
        <f>Auto_Roster!G35</f>
        <v/>
      </c>
      <c r="G35" s="33">
        <f>Auto_Roster!J35</f>
        <v>0</v>
      </c>
      <c r="H35" s="33">
        <f>IF(G35&gt;Settings!$B$19,G35-Settings!$B$19,0)</f>
        <v>0</v>
      </c>
      <c r="I35" s="33">
        <f t="shared" si="0"/>
        <v>0</v>
      </c>
      <c r="J35" s="33">
        <f>IF(Auto_Roster!M35="Y",G35,0)</f>
        <v>0</v>
      </c>
      <c r="K35" s="33">
        <f>IF(Auto_Roster!L35="Y",G35,0)</f>
        <v>0</v>
      </c>
      <c r="L35" s="26" t="str">
        <f>Auto_Roster!K35</f>
        <v>N</v>
      </c>
      <c r="M35" s="34">
        <f>IF(L35="Y",Settings!$B$16,0)</f>
        <v>0</v>
      </c>
      <c r="N35" s="33">
        <f t="shared" si="1"/>
        <v>0</v>
      </c>
      <c r="O35" s="34">
        <f>N35*Settings!$B$17</f>
        <v>0</v>
      </c>
      <c r="P35" s="34">
        <f>IFERROR(VLOOKUP(C35,Employees!$A$4:$E$103,5,FALSE),Settings!$B$18)</f>
        <v>100</v>
      </c>
      <c r="Q35" s="34">
        <f t="shared" si="2"/>
        <v>0</v>
      </c>
      <c r="R35" s="34">
        <f>H35*P35*Settings!$B$13</f>
        <v>0</v>
      </c>
      <c r="S35" s="34">
        <f>J35*P35*(Settings!$B$14-1)</f>
        <v>0</v>
      </c>
      <c r="T35" s="34">
        <f>K35*P35*(Settings!$B$15-1)</f>
        <v>0</v>
      </c>
      <c r="U35" s="34">
        <f t="shared" si="3"/>
        <v>0</v>
      </c>
      <c r="V35" s="26" t="str">
        <f>Auto_Roster!O35</f>
        <v>Pending</v>
      </c>
      <c r="W35" s="26" t="e">
        <f ca="1">_xludf.TEXTJOIN("; ",TRUE,Auto_Roster!N35,IF(G35&gt;Settings!$B$19,"Approval required &gt; standard hours",""),IF(AND(F35&lt;&gt;"Off",G35=0),"Missing claimed hours",""))</f>
        <v>#NAME?</v>
      </c>
      <c r="X35" s="7"/>
    </row>
    <row r="36" spans="1:24" x14ac:dyDescent="0.35">
      <c r="A36" s="31">
        <f>Auto_Roster!A36</f>
        <v>46144</v>
      </c>
      <c r="B36" s="31">
        <f>Auto_Roster!B36</f>
        <v>46139</v>
      </c>
      <c r="C36" s="26" t="str">
        <f>Auto_Roster!C36</f>
        <v/>
      </c>
      <c r="D36" s="26" t="str">
        <f>Auto_Roster!D36</f>
        <v/>
      </c>
      <c r="E36" s="26" t="str">
        <f>Auto_Roster!E36</f>
        <v/>
      </c>
      <c r="F36" s="26" t="str">
        <f>Auto_Roster!G36</f>
        <v/>
      </c>
      <c r="G36" s="33">
        <f>Auto_Roster!J36</f>
        <v>0</v>
      </c>
      <c r="H36" s="33">
        <f>IF(G36&gt;Settings!$B$19,G36-Settings!$B$19,0)</f>
        <v>0</v>
      </c>
      <c r="I36" s="33">
        <f t="shared" si="0"/>
        <v>0</v>
      </c>
      <c r="J36" s="33">
        <f>IF(Auto_Roster!M36="Y",G36,0)</f>
        <v>0</v>
      </c>
      <c r="K36" s="33">
        <f>IF(Auto_Roster!L36="Y",G36,0)</f>
        <v>0</v>
      </c>
      <c r="L36" s="26" t="str">
        <f>Auto_Roster!K36</f>
        <v>N</v>
      </c>
      <c r="M36" s="34">
        <f>IF(L36="Y",Settings!$B$16,0)</f>
        <v>0</v>
      </c>
      <c r="N36" s="33">
        <f t="shared" si="1"/>
        <v>0</v>
      </c>
      <c r="O36" s="34">
        <f>N36*Settings!$B$17</f>
        <v>0</v>
      </c>
      <c r="P36" s="34">
        <f>IFERROR(VLOOKUP(C36,Employees!$A$4:$E$103,5,FALSE),Settings!$B$18)</f>
        <v>100</v>
      </c>
      <c r="Q36" s="34">
        <f t="shared" si="2"/>
        <v>0</v>
      </c>
      <c r="R36" s="34">
        <f>H36*P36*Settings!$B$13</f>
        <v>0</v>
      </c>
      <c r="S36" s="34">
        <f>J36*P36*(Settings!$B$14-1)</f>
        <v>0</v>
      </c>
      <c r="T36" s="34">
        <f>K36*P36*(Settings!$B$15-1)</f>
        <v>0</v>
      </c>
      <c r="U36" s="34">
        <f t="shared" si="3"/>
        <v>0</v>
      </c>
      <c r="V36" s="26" t="str">
        <f>Auto_Roster!O36</f>
        <v>Pending</v>
      </c>
      <c r="W36" s="26" t="e">
        <f ca="1">_xludf.TEXTJOIN("; ",TRUE,Auto_Roster!N36,IF(G36&gt;Settings!$B$19,"Approval required &gt; standard hours",""),IF(AND(F36&lt;&gt;"Off",G36=0),"Missing claimed hours",""))</f>
        <v>#NAME?</v>
      </c>
      <c r="X36" s="7"/>
    </row>
    <row r="37" spans="1:24" x14ac:dyDescent="0.35">
      <c r="A37" s="31">
        <f>Auto_Roster!A37</f>
        <v>46144</v>
      </c>
      <c r="B37" s="31">
        <f>Auto_Roster!B37</f>
        <v>46139</v>
      </c>
      <c r="C37" s="26" t="str">
        <f>Auto_Roster!C37</f>
        <v/>
      </c>
      <c r="D37" s="26" t="str">
        <f>Auto_Roster!D37</f>
        <v/>
      </c>
      <c r="E37" s="26" t="str">
        <f>Auto_Roster!E37</f>
        <v/>
      </c>
      <c r="F37" s="26" t="str">
        <f>Auto_Roster!G37</f>
        <v/>
      </c>
      <c r="G37" s="33">
        <f>Auto_Roster!J37</f>
        <v>0</v>
      </c>
      <c r="H37" s="33">
        <f>IF(G37&gt;Settings!$B$19,G37-Settings!$B$19,0)</f>
        <v>0</v>
      </c>
      <c r="I37" s="33">
        <f t="shared" si="0"/>
        <v>0</v>
      </c>
      <c r="J37" s="33">
        <f>IF(Auto_Roster!M37="Y",G37,0)</f>
        <v>0</v>
      </c>
      <c r="K37" s="33">
        <f>IF(Auto_Roster!L37="Y",G37,0)</f>
        <v>0</v>
      </c>
      <c r="L37" s="26" t="str">
        <f>Auto_Roster!K37</f>
        <v>N</v>
      </c>
      <c r="M37" s="34">
        <f>IF(L37="Y",Settings!$B$16,0)</f>
        <v>0</v>
      </c>
      <c r="N37" s="33">
        <f t="shared" si="1"/>
        <v>0</v>
      </c>
      <c r="O37" s="34">
        <f>N37*Settings!$B$17</f>
        <v>0</v>
      </c>
      <c r="P37" s="34">
        <f>IFERROR(VLOOKUP(C37,Employees!$A$4:$E$103,5,FALSE),Settings!$B$18)</f>
        <v>100</v>
      </c>
      <c r="Q37" s="34">
        <f t="shared" si="2"/>
        <v>0</v>
      </c>
      <c r="R37" s="34">
        <f>H37*P37*Settings!$B$13</f>
        <v>0</v>
      </c>
      <c r="S37" s="34">
        <f>J37*P37*(Settings!$B$14-1)</f>
        <v>0</v>
      </c>
      <c r="T37" s="34">
        <f>K37*P37*(Settings!$B$15-1)</f>
        <v>0</v>
      </c>
      <c r="U37" s="34">
        <f t="shared" si="3"/>
        <v>0</v>
      </c>
      <c r="V37" s="26" t="str">
        <f>Auto_Roster!O37</f>
        <v>Pending</v>
      </c>
      <c r="W37" s="26" t="e">
        <f ca="1">_xludf.TEXTJOIN("; ",TRUE,Auto_Roster!N37,IF(G37&gt;Settings!$B$19,"Approval required &gt; standard hours",""),IF(AND(F37&lt;&gt;"Off",G37=0),"Missing claimed hours",""))</f>
        <v>#NAME?</v>
      </c>
      <c r="X37" s="7"/>
    </row>
    <row r="38" spans="1:24" x14ac:dyDescent="0.35">
      <c r="A38" s="31">
        <f>Auto_Roster!A38</f>
        <v>46144</v>
      </c>
      <c r="B38" s="31">
        <f>Auto_Roster!B38</f>
        <v>46139</v>
      </c>
      <c r="C38" s="26" t="str">
        <f>Auto_Roster!C38</f>
        <v/>
      </c>
      <c r="D38" s="26" t="str">
        <f>Auto_Roster!D38</f>
        <v/>
      </c>
      <c r="E38" s="26" t="str">
        <f>Auto_Roster!E38</f>
        <v/>
      </c>
      <c r="F38" s="26" t="str">
        <f>Auto_Roster!G38</f>
        <v/>
      </c>
      <c r="G38" s="33">
        <f>Auto_Roster!J38</f>
        <v>0</v>
      </c>
      <c r="H38" s="33">
        <f>IF(G38&gt;Settings!$B$19,G38-Settings!$B$19,0)</f>
        <v>0</v>
      </c>
      <c r="I38" s="33">
        <f t="shared" si="0"/>
        <v>0</v>
      </c>
      <c r="J38" s="33">
        <f>IF(Auto_Roster!M38="Y",G38,0)</f>
        <v>0</v>
      </c>
      <c r="K38" s="33">
        <f>IF(Auto_Roster!L38="Y",G38,0)</f>
        <v>0</v>
      </c>
      <c r="L38" s="26" t="str">
        <f>Auto_Roster!K38</f>
        <v>N</v>
      </c>
      <c r="M38" s="34">
        <f>IF(L38="Y",Settings!$B$16,0)</f>
        <v>0</v>
      </c>
      <c r="N38" s="33">
        <f t="shared" si="1"/>
        <v>0</v>
      </c>
      <c r="O38" s="34">
        <f>N38*Settings!$B$17</f>
        <v>0</v>
      </c>
      <c r="P38" s="34">
        <f>IFERROR(VLOOKUP(C38,Employees!$A$4:$E$103,5,FALSE),Settings!$B$18)</f>
        <v>100</v>
      </c>
      <c r="Q38" s="34">
        <f t="shared" si="2"/>
        <v>0</v>
      </c>
      <c r="R38" s="34">
        <f>H38*P38*Settings!$B$13</f>
        <v>0</v>
      </c>
      <c r="S38" s="34">
        <f>J38*P38*(Settings!$B$14-1)</f>
        <v>0</v>
      </c>
      <c r="T38" s="34">
        <f>K38*P38*(Settings!$B$15-1)</f>
        <v>0</v>
      </c>
      <c r="U38" s="34">
        <f t="shared" si="3"/>
        <v>0</v>
      </c>
      <c r="V38" s="26" t="str">
        <f>Auto_Roster!O38</f>
        <v>Pending</v>
      </c>
      <c r="W38" s="26" t="e">
        <f ca="1">_xludf.TEXTJOIN("; ",TRUE,Auto_Roster!N38,IF(G38&gt;Settings!$B$19,"Approval required &gt; standard hours",""),IF(AND(F38&lt;&gt;"Off",G38=0),"Missing claimed hours",""))</f>
        <v>#NAME?</v>
      </c>
      <c r="X38" s="7"/>
    </row>
    <row r="39" spans="1:24" x14ac:dyDescent="0.35">
      <c r="A39" s="31">
        <f>Auto_Roster!A39</f>
        <v>46144</v>
      </c>
      <c r="B39" s="31">
        <f>Auto_Roster!B39</f>
        <v>46139</v>
      </c>
      <c r="C39" s="26" t="str">
        <f>Auto_Roster!C39</f>
        <v/>
      </c>
      <c r="D39" s="26" t="str">
        <f>Auto_Roster!D39</f>
        <v/>
      </c>
      <c r="E39" s="26" t="str">
        <f>Auto_Roster!E39</f>
        <v/>
      </c>
      <c r="F39" s="26" t="str">
        <f>Auto_Roster!G39</f>
        <v/>
      </c>
      <c r="G39" s="33">
        <f>Auto_Roster!J39</f>
        <v>0</v>
      </c>
      <c r="H39" s="33">
        <f>IF(G39&gt;Settings!$B$19,G39-Settings!$B$19,0)</f>
        <v>0</v>
      </c>
      <c r="I39" s="33">
        <f t="shared" si="0"/>
        <v>0</v>
      </c>
      <c r="J39" s="33">
        <f>IF(Auto_Roster!M39="Y",G39,0)</f>
        <v>0</v>
      </c>
      <c r="K39" s="33">
        <f>IF(Auto_Roster!L39="Y",G39,0)</f>
        <v>0</v>
      </c>
      <c r="L39" s="26" t="str">
        <f>Auto_Roster!K39</f>
        <v>N</v>
      </c>
      <c r="M39" s="34">
        <f>IF(L39="Y",Settings!$B$16,0)</f>
        <v>0</v>
      </c>
      <c r="N39" s="33">
        <f t="shared" si="1"/>
        <v>0</v>
      </c>
      <c r="O39" s="34">
        <f>N39*Settings!$B$17</f>
        <v>0</v>
      </c>
      <c r="P39" s="34">
        <f>IFERROR(VLOOKUP(C39,Employees!$A$4:$E$103,5,FALSE),Settings!$B$18)</f>
        <v>100</v>
      </c>
      <c r="Q39" s="34">
        <f t="shared" si="2"/>
        <v>0</v>
      </c>
      <c r="R39" s="34">
        <f>H39*P39*Settings!$B$13</f>
        <v>0</v>
      </c>
      <c r="S39" s="34">
        <f>J39*P39*(Settings!$B$14-1)</f>
        <v>0</v>
      </c>
      <c r="T39" s="34">
        <f>K39*P39*(Settings!$B$15-1)</f>
        <v>0</v>
      </c>
      <c r="U39" s="34">
        <f t="shared" si="3"/>
        <v>0</v>
      </c>
      <c r="V39" s="26" t="str">
        <f>Auto_Roster!O39</f>
        <v>Pending</v>
      </c>
      <c r="W39" s="26" t="e">
        <f ca="1">_xludf.TEXTJOIN("; ",TRUE,Auto_Roster!N39,IF(G39&gt;Settings!$B$19,"Approval required &gt; standard hours",""),IF(AND(F39&lt;&gt;"Off",G39=0),"Missing claimed hours",""))</f>
        <v>#NAME?</v>
      </c>
      <c r="X39" s="7"/>
    </row>
    <row r="40" spans="1:24" x14ac:dyDescent="0.35">
      <c r="A40" s="31">
        <f>Auto_Roster!A40</f>
        <v>46144</v>
      </c>
      <c r="B40" s="31">
        <f>Auto_Roster!B40</f>
        <v>46139</v>
      </c>
      <c r="C40" s="26" t="str">
        <f>Auto_Roster!C40</f>
        <v/>
      </c>
      <c r="D40" s="26" t="str">
        <f>Auto_Roster!D40</f>
        <v/>
      </c>
      <c r="E40" s="26" t="str">
        <f>Auto_Roster!E40</f>
        <v/>
      </c>
      <c r="F40" s="26" t="str">
        <f>Auto_Roster!G40</f>
        <v/>
      </c>
      <c r="G40" s="33">
        <f>Auto_Roster!J40</f>
        <v>0</v>
      </c>
      <c r="H40" s="33">
        <f>IF(G40&gt;Settings!$B$19,G40-Settings!$B$19,0)</f>
        <v>0</v>
      </c>
      <c r="I40" s="33">
        <f t="shared" si="0"/>
        <v>0</v>
      </c>
      <c r="J40" s="33">
        <f>IF(Auto_Roster!M40="Y",G40,0)</f>
        <v>0</v>
      </c>
      <c r="K40" s="33">
        <f>IF(Auto_Roster!L40="Y",G40,0)</f>
        <v>0</v>
      </c>
      <c r="L40" s="26" t="str">
        <f>Auto_Roster!K40</f>
        <v>N</v>
      </c>
      <c r="M40" s="34">
        <f>IF(L40="Y",Settings!$B$16,0)</f>
        <v>0</v>
      </c>
      <c r="N40" s="33">
        <f t="shared" si="1"/>
        <v>0</v>
      </c>
      <c r="O40" s="34">
        <f>N40*Settings!$B$17</f>
        <v>0</v>
      </c>
      <c r="P40" s="34">
        <f>IFERROR(VLOOKUP(C40,Employees!$A$4:$E$103,5,FALSE),Settings!$B$18)</f>
        <v>100</v>
      </c>
      <c r="Q40" s="34">
        <f t="shared" si="2"/>
        <v>0</v>
      </c>
      <c r="R40" s="34">
        <f>H40*P40*Settings!$B$13</f>
        <v>0</v>
      </c>
      <c r="S40" s="34">
        <f>J40*P40*(Settings!$B$14-1)</f>
        <v>0</v>
      </c>
      <c r="T40" s="34">
        <f>K40*P40*(Settings!$B$15-1)</f>
        <v>0</v>
      </c>
      <c r="U40" s="34">
        <f t="shared" si="3"/>
        <v>0</v>
      </c>
      <c r="V40" s="26" t="str">
        <f>Auto_Roster!O40</f>
        <v>Pending</v>
      </c>
      <c r="W40" s="26" t="e">
        <f ca="1">_xludf.TEXTJOIN("; ",TRUE,Auto_Roster!N40,IF(G40&gt;Settings!$B$19,"Approval required &gt; standard hours",""),IF(AND(F40&lt;&gt;"Off",G40=0),"Missing claimed hours",""))</f>
        <v>#NAME?</v>
      </c>
      <c r="X40" s="7"/>
    </row>
    <row r="41" spans="1:24" x14ac:dyDescent="0.35">
      <c r="A41" s="31">
        <f>Auto_Roster!A41</f>
        <v>46144</v>
      </c>
      <c r="B41" s="31">
        <f>Auto_Roster!B41</f>
        <v>46139</v>
      </c>
      <c r="C41" s="26" t="str">
        <f>Auto_Roster!C41</f>
        <v/>
      </c>
      <c r="D41" s="26" t="str">
        <f>Auto_Roster!D41</f>
        <v/>
      </c>
      <c r="E41" s="26" t="str">
        <f>Auto_Roster!E41</f>
        <v/>
      </c>
      <c r="F41" s="26" t="str">
        <f>Auto_Roster!G41</f>
        <v/>
      </c>
      <c r="G41" s="33">
        <f>Auto_Roster!J41</f>
        <v>0</v>
      </c>
      <c r="H41" s="33">
        <f>IF(G41&gt;Settings!$B$19,G41-Settings!$B$19,0)</f>
        <v>0</v>
      </c>
      <c r="I41" s="33">
        <f t="shared" si="0"/>
        <v>0</v>
      </c>
      <c r="J41" s="33">
        <f>IF(Auto_Roster!M41="Y",G41,0)</f>
        <v>0</v>
      </c>
      <c r="K41" s="33">
        <f>IF(Auto_Roster!L41="Y",G41,0)</f>
        <v>0</v>
      </c>
      <c r="L41" s="26" t="str">
        <f>Auto_Roster!K41</f>
        <v>N</v>
      </c>
      <c r="M41" s="34">
        <f>IF(L41="Y",Settings!$B$16,0)</f>
        <v>0</v>
      </c>
      <c r="N41" s="33">
        <f t="shared" si="1"/>
        <v>0</v>
      </c>
      <c r="O41" s="34">
        <f>N41*Settings!$B$17</f>
        <v>0</v>
      </c>
      <c r="P41" s="34">
        <f>IFERROR(VLOOKUP(C41,Employees!$A$4:$E$103,5,FALSE),Settings!$B$18)</f>
        <v>100</v>
      </c>
      <c r="Q41" s="34">
        <f t="shared" si="2"/>
        <v>0</v>
      </c>
      <c r="R41" s="34">
        <f>H41*P41*Settings!$B$13</f>
        <v>0</v>
      </c>
      <c r="S41" s="34">
        <f>J41*P41*(Settings!$B$14-1)</f>
        <v>0</v>
      </c>
      <c r="T41" s="34">
        <f>K41*P41*(Settings!$B$15-1)</f>
        <v>0</v>
      </c>
      <c r="U41" s="34">
        <f t="shared" si="3"/>
        <v>0</v>
      </c>
      <c r="V41" s="26" t="str">
        <f>Auto_Roster!O41</f>
        <v>Pending</v>
      </c>
      <c r="W41" s="26" t="e">
        <f ca="1">_xludf.TEXTJOIN("; ",TRUE,Auto_Roster!N41,IF(G41&gt;Settings!$B$19,"Approval required &gt; standard hours",""),IF(AND(F41&lt;&gt;"Off",G41=0),"Missing claimed hours",""))</f>
        <v>#NAME?</v>
      </c>
      <c r="X41" s="7"/>
    </row>
    <row r="42" spans="1:24" x14ac:dyDescent="0.35">
      <c r="A42" s="31">
        <f>Auto_Roster!A42</f>
        <v>46144</v>
      </c>
      <c r="B42" s="31">
        <f>Auto_Roster!B42</f>
        <v>46139</v>
      </c>
      <c r="C42" s="26" t="str">
        <f>Auto_Roster!C42</f>
        <v/>
      </c>
      <c r="D42" s="26" t="str">
        <f>Auto_Roster!D42</f>
        <v/>
      </c>
      <c r="E42" s="26" t="str">
        <f>Auto_Roster!E42</f>
        <v/>
      </c>
      <c r="F42" s="26" t="str">
        <f>Auto_Roster!G42</f>
        <v/>
      </c>
      <c r="G42" s="33">
        <f>Auto_Roster!J42</f>
        <v>0</v>
      </c>
      <c r="H42" s="33">
        <f>IF(G42&gt;Settings!$B$19,G42-Settings!$B$19,0)</f>
        <v>0</v>
      </c>
      <c r="I42" s="33">
        <f t="shared" si="0"/>
        <v>0</v>
      </c>
      <c r="J42" s="33">
        <f>IF(Auto_Roster!M42="Y",G42,0)</f>
        <v>0</v>
      </c>
      <c r="K42" s="33">
        <f>IF(Auto_Roster!L42="Y",G42,0)</f>
        <v>0</v>
      </c>
      <c r="L42" s="26" t="str">
        <f>Auto_Roster!K42</f>
        <v>N</v>
      </c>
      <c r="M42" s="34">
        <f>IF(L42="Y",Settings!$B$16,0)</f>
        <v>0</v>
      </c>
      <c r="N42" s="33">
        <f t="shared" si="1"/>
        <v>0</v>
      </c>
      <c r="O42" s="34">
        <f>N42*Settings!$B$17</f>
        <v>0</v>
      </c>
      <c r="P42" s="34">
        <f>IFERROR(VLOOKUP(C42,Employees!$A$4:$E$103,5,FALSE),Settings!$B$18)</f>
        <v>100</v>
      </c>
      <c r="Q42" s="34">
        <f t="shared" si="2"/>
        <v>0</v>
      </c>
      <c r="R42" s="34">
        <f>H42*P42*Settings!$B$13</f>
        <v>0</v>
      </c>
      <c r="S42" s="34">
        <f>J42*P42*(Settings!$B$14-1)</f>
        <v>0</v>
      </c>
      <c r="T42" s="34">
        <f>K42*P42*(Settings!$B$15-1)</f>
        <v>0</v>
      </c>
      <c r="U42" s="34">
        <f t="shared" si="3"/>
        <v>0</v>
      </c>
      <c r="V42" s="26" t="str">
        <f>Auto_Roster!O42</f>
        <v>Pending</v>
      </c>
      <c r="W42" s="26" t="e">
        <f ca="1">_xludf.TEXTJOIN("; ",TRUE,Auto_Roster!N42,IF(G42&gt;Settings!$B$19,"Approval required &gt; standard hours",""),IF(AND(F42&lt;&gt;"Off",G42=0),"Missing claimed hours",""))</f>
        <v>#NAME?</v>
      </c>
      <c r="X42" s="7"/>
    </row>
    <row r="43" spans="1:24" x14ac:dyDescent="0.35">
      <c r="A43" s="31">
        <f>Auto_Roster!A43</f>
        <v>46144</v>
      </c>
      <c r="B43" s="31">
        <f>Auto_Roster!B43</f>
        <v>46139</v>
      </c>
      <c r="C43" s="26" t="str">
        <f>Auto_Roster!C43</f>
        <v/>
      </c>
      <c r="D43" s="26" t="str">
        <f>Auto_Roster!D43</f>
        <v/>
      </c>
      <c r="E43" s="26" t="str">
        <f>Auto_Roster!E43</f>
        <v/>
      </c>
      <c r="F43" s="26" t="str">
        <f>Auto_Roster!G43</f>
        <v/>
      </c>
      <c r="G43" s="33">
        <f>Auto_Roster!J43</f>
        <v>0</v>
      </c>
      <c r="H43" s="33">
        <f>IF(G43&gt;Settings!$B$19,G43-Settings!$B$19,0)</f>
        <v>0</v>
      </c>
      <c r="I43" s="33">
        <f t="shared" si="0"/>
        <v>0</v>
      </c>
      <c r="J43" s="33">
        <f>IF(Auto_Roster!M43="Y",G43,0)</f>
        <v>0</v>
      </c>
      <c r="K43" s="33">
        <f>IF(Auto_Roster!L43="Y",G43,0)</f>
        <v>0</v>
      </c>
      <c r="L43" s="26" t="str">
        <f>Auto_Roster!K43</f>
        <v>N</v>
      </c>
      <c r="M43" s="34">
        <f>IF(L43="Y",Settings!$B$16,0)</f>
        <v>0</v>
      </c>
      <c r="N43" s="33">
        <f t="shared" si="1"/>
        <v>0</v>
      </c>
      <c r="O43" s="34">
        <f>N43*Settings!$B$17</f>
        <v>0</v>
      </c>
      <c r="P43" s="34">
        <f>IFERROR(VLOOKUP(C43,Employees!$A$4:$E$103,5,FALSE),Settings!$B$18)</f>
        <v>100</v>
      </c>
      <c r="Q43" s="34">
        <f t="shared" si="2"/>
        <v>0</v>
      </c>
      <c r="R43" s="34">
        <f>H43*P43*Settings!$B$13</f>
        <v>0</v>
      </c>
      <c r="S43" s="34">
        <f>J43*P43*(Settings!$B$14-1)</f>
        <v>0</v>
      </c>
      <c r="T43" s="34">
        <f>K43*P43*(Settings!$B$15-1)</f>
        <v>0</v>
      </c>
      <c r="U43" s="34">
        <f t="shared" si="3"/>
        <v>0</v>
      </c>
      <c r="V43" s="26" t="str">
        <f>Auto_Roster!O43</f>
        <v>Pending</v>
      </c>
      <c r="W43" s="26" t="e">
        <f ca="1">_xludf.TEXTJOIN("; ",TRUE,Auto_Roster!N43,IF(G43&gt;Settings!$B$19,"Approval required &gt; standard hours",""),IF(AND(F43&lt;&gt;"Off",G43=0),"Missing claimed hours",""))</f>
        <v>#NAME?</v>
      </c>
      <c r="X43" s="7"/>
    </row>
    <row r="44" spans="1:24" x14ac:dyDescent="0.35">
      <c r="A44" s="31">
        <f>Auto_Roster!A44</f>
        <v>46145</v>
      </c>
      <c r="B44" s="31">
        <f>Auto_Roster!B44</f>
        <v>46139</v>
      </c>
      <c r="C44" s="26" t="str">
        <f>Auto_Roster!C44</f>
        <v>E001</v>
      </c>
      <c r="D44" s="26" t="str">
        <f>Auto_Roster!D44</f>
        <v>Musiwa Khavalani</v>
      </c>
      <c r="E44" s="26">
        <f>Auto_Roster!E44</f>
        <v>0</v>
      </c>
      <c r="F44" s="26" t="e">
        <f>Auto_Roster!G44</f>
        <v>#N/A</v>
      </c>
      <c r="G44" s="33" t="e">
        <f>Auto_Roster!J44</f>
        <v>#N/A</v>
      </c>
      <c r="H44" s="33" t="e">
        <f>IF(G44&gt;Settings!$B$19,G44-Settings!$B$19,0)</f>
        <v>#N/A</v>
      </c>
      <c r="I44" s="33" t="e">
        <f t="shared" si="0"/>
        <v>#N/A</v>
      </c>
      <c r="J44" s="33" t="e">
        <f>IF(Auto_Roster!M44="Y",G44,0)</f>
        <v>#N/A</v>
      </c>
      <c r="K44" s="33">
        <f>IF(Auto_Roster!L44="Y",G44,0)</f>
        <v>0</v>
      </c>
      <c r="L44" s="26" t="str">
        <f>Auto_Roster!K44</f>
        <v>N</v>
      </c>
      <c r="M44" s="34">
        <f>IF(L44="Y",Settings!$B$16,0)</f>
        <v>0</v>
      </c>
      <c r="N44" s="33" t="e">
        <f t="shared" si="1"/>
        <v>#N/A</v>
      </c>
      <c r="O44" s="34" t="e">
        <f>N44*Settings!$B$17</f>
        <v>#N/A</v>
      </c>
      <c r="P44" s="34">
        <f>IFERROR(VLOOKUP(C44,Employees!$A$4:$E$103,5,FALSE),Settings!$B$18)</f>
        <v>100</v>
      </c>
      <c r="Q44" s="34" t="e">
        <f t="shared" si="2"/>
        <v>#N/A</v>
      </c>
      <c r="R44" s="34" t="e">
        <f>H44*P44*Settings!$B$13</f>
        <v>#N/A</v>
      </c>
      <c r="S44" s="34" t="e">
        <f>J44*P44*(Settings!$B$14-1)</f>
        <v>#N/A</v>
      </c>
      <c r="T44" s="34">
        <f>K44*P44*(Settings!$B$15-1)</f>
        <v>0</v>
      </c>
      <c r="U44" s="34" t="e">
        <f t="shared" si="3"/>
        <v>#N/A</v>
      </c>
      <c r="V44" s="26" t="str">
        <f>Auto_Roster!O44</f>
        <v>Pending</v>
      </c>
      <c r="W44" s="26" t="e">
        <f ca="1">_xludf.TEXTJOIN("; ",TRUE,Auto_Roster!N44,IF(G44&gt;Settings!$B$19,"Approval required &gt; standard hours",""),IF(AND(F44&lt;&gt;"Off",G44=0),"Missing claimed hours",""))</f>
        <v>#NAME?</v>
      </c>
      <c r="X44" s="7"/>
    </row>
    <row r="45" spans="1:24" x14ac:dyDescent="0.35">
      <c r="A45" s="31">
        <f>Auto_Roster!A45</f>
        <v>46145</v>
      </c>
      <c r="B45" s="31">
        <f>Auto_Roster!B45</f>
        <v>46139</v>
      </c>
      <c r="C45" s="26" t="str">
        <f>Auto_Roster!C45</f>
        <v>E002</v>
      </c>
      <c r="D45" s="26" t="str">
        <f>Auto_Roster!D45</f>
        <v>Mpho  Nembemhia</v>
      </c>
      <c r="E45" s="26" t="str">
        <f>Auto_Roster!E45</f>
        <v>B</v>
      </c>
      <c r="F45" s="26" t="str">
        <f>Auto_Roster!G45</f>
        <v>Evening</v>
      </c>
      <c r="G45" s="33">
        <f>Auto_Roster!J45</f>
        <v>8</v>
      </c>
      <c r="H45" s="33">
        <f>IF(G45&gt;Settings!$B$19,G45-Settings!$B$19,0)</f>
        <v>0</v>
      </c>
      <c r="I45" s="33">
        <f t="shared" si="0"/>
        <v>8</v>
      </c>
      <c r="J45" s="33">
        <f>IF(Auto_Roster!M45="Y",G45,0)</f>
        <v>8</v>
      </c>
      <c r="K45" s="33">
        <f>IF(Auto_Roster!L45="Y",G45,0)</f>
        <v>0</v>
      </c>
      <c r="L45" s="26" t="str">
        <f>Auto_Roster!K45</f>
        <v>N</v>
      </c>
      <c r="M45" s="34">
        <f>IF(L45="Y",Settings!$B$16,0)</f>
        <v>0</v>
      </c>
      <c r="N45" s="33">
        <f t="shared" si="1"/>
        <v>0</v>
      </c>
      <c r="O45" s="34">
        <f>N45*Settings!$B$17</f>
        <v>0</v>
      </c>
      <c r="P45" s="34">
        <f>IFERROR(VLOOKUP(C45,Employees!$A$4:$E$103,5,FALSE),Settings!$B$18)</f>
        <v>100</v>
      </c>
      <c r="Q45" s="34">
        <f t="shared" si="2"/>
        <v>800</v>
      </c>
      <c r="R45" s="34">
        <f>H45*P45*Settings!$B$13</f>
        <v>0</v>
      </c>
      <c r="S45" s="34">
        <f>J45*P45*(Settings!$B$14-1)</f>
        <v>800</v>
      </c>
      <c r="T45" s="34">
        <f>K45*P45*(Settings!$B$15-1)</f>
        <v>0</v>
      </c>
      <c r="U45" s="34">
        <f t="shared" si="3"/>
        <v>1600</v>
      </c>
      <c r="V45" s="26" t="str">
        <f>Auto_Roster!O45</f>
        <v>Pending</v>
      </c>
      <c r="W45" s="26" t="e">
        <f ca="1">_xludf.TEXTJOIN("; ",TRUE,Auto_Roster!N45,IF(G45&gt;Settings!$B$19,"Approval required &gt; standard hours",""),IF(AND(F45&lt;&gt;"Off",G45=0),"Missing claimed hours",""))</f>
        <v>#NAME?</v>
      </c>
      <c r="X45" s="7"/>
    </row>
    <row r="46" spans="1:24" x14ac:dyDescent="0.35">
      <c r="A46" s="31">
        <f>Auto_Roster!A46</f>
        <v>46145</v>
      </c>
      <c r="B46" s="31">
        <f>Auto_Roster!B46</f>
        <v>46139</v>
      </c>
      <c r="C46" s="26" t="str">
        <f>Auto_Roster!C46</f>
        <v>E003</v>
      </c>
      <c r="D46" s="26" t="str">
        <f>Auto_Roster!D46</f>
        <v>Dimpho Makhafola</v>
      </c>
      <c r="E46" s="26" t="str">
        <f>Auto_Roster!E46</f>
        <v>C</v>
      </c>
      <c r="F46" s="26" t="str">
        <f>Auto_Roster!G46</f>
        <v>Day</v>
      </c>
      <c r="G46" s="33">
        <f>Auto_Roster!J46</f>
        <v>8</v>
      </c>
      <c r="H46" s="33">
        <f>IF(G46&gt;Settings!$B$19,G46-Settings!$B$19,0)</f>
        <v>0</v>
      </c>
      <c r="I46" s="33">
        <f t="shared" si="0"/>
        <v>8</v>
      </c>
      <c r="J46" s="33">
        <f>IF(Auto_Roster!M46="Y",G46,0)</f>
        <v>8</v>
      </c>
      <c r="K46" s="33">
        <f>IF(Auto_Roster!L46="Y",G46,0)</f>
        <v>0</v>
      </c>
      <c r="L46" s="26" t="str">
        <f>Auto_Roster!K46</f>
        <v>N</v>
      </c>
      <c r="M46" s="34">
        <f>IF(L46="Y",Settings!$B$16,0)</f>
        <v>0</v>
      </c>
      <c r="N46" s="33">
        <f t="shared" si="1"/>
        <v>0</v>
      </c>
      <c r="O46" s="34">
        <f>N46*Settings!$B$17</f>
        <v>0</v>
      </c>
      <c r="P46" s="34">
        <f>IFERROR(VLOOKUP(C46,Employees!$A$4:$E$103,5,FALSE),Settings!$B$18)</f>
        <v>100</v>
      </c>
      <c r="Q46" s="34">
        <f t="shared" si="2"/>
        <v>800</v>
      </c>
      <c r="R46" s="34">
        <f>H46*P46*Settings!$B$13</f>
        <v>0</v>
      </c>
      <c r="S46" s="34">
        <f>J46*P46*(Settings!$B$14-1)</f>
        <v>800</v>
      </c>
      <c r="T46" s="34">
        <f>K46*P46*(Settings!$B$15-1)</f>
        <v>0</v>
      </c>
      <c r="U46" s="34">
        <f t="shared" si="3"/>
        <v>1600</v>
      </c>
      <c r="V46" s="26" t="str">
        <f>Auto_Roster!O46</f>
        <v>Pending</v>
      </c>
      <c r="W46" s="26" t="e">
        <f ca="1">_xludf.TEXTJOIN("; ",TRUE,Auto_Roster!N46,IF(G46&gt;Settings!$B$19,"Approval required &gt; standard hours",""),IF(AND(F46&lt;&gt;"Off",G46=0),"Missing claimed hours",""))</f>
        <v>#NAME?</v>
      </c>
      <c r="X46" s="7"/>
    </row>
    <row r="47" spans="1:24" x14ac:dyDescent="0.35">
      <c r="A47" s="31">
        <f>Auto_Roster!A47</f>
        <v>46145</v>
      </c>
      <c r="B47" s="31">
        <f>Auto_Roster!B47</f>
        <v>46139</v>
      </c>
      <c r="C47" s="26" t="str">
        <f>Auto_Roster!C47</f>
        <v>E004</v>
      </c>
      <c r="D47" s="26" t="str">
        <f>Auto_Roster!D47</f>
        <v>Bashii Fall</v>
      </c>
      <c r="E47" s="26" t="str">
        <f>Auto_Roster!E47</f>
        <v>D</v>
      </c>
      <c r="F47" s="26" t="str">
        <f>Auto_Roster!G47</f>
        <v>Off</v>
      </c>
      <c r="G47" s="33">
        <f>Auto_Roster!J47</f>
        <v>0</v>
      </c>
      <c r="H47" s="33">
        <f>IF(G47&gt;Settings!$B$19,G47-Settings!$B$19,0)</f>
        <v>0</v>
      </c>
      <c r="I47" s="33">
        <f t="shared" si="0"/>
        <v>0</v>
      </c>
      <c r="J47" s="33">
        <f>IF(Auto_Roster!M47="Y",G47,0)</f>
        <v>0</v>
      </c>
      <c r="K47" s="33">
        <f>IF(Auto_Roster!L47="Y",G47,0)</f>
        <v>0</v>
      </c>
      <c r="L47" s="26" t="str">
        <f>Auto_Roster!K47</f>
        <v>N</v>
      </c>
      <c r="M47" s="34">
        <f>IF(L47="Y",Settings!$B$16,0)</f>
        <v>0</v>
      </c>
      <c r="N47" s="33">
        <f t="shared" si="1"/>
        <v>0</v>
      </c>
      <c r="O47" s="34">
        <f>N47*Settings!$B$17</f>
        <v>0</v>
      </c>
      <c r="P47" s="34">
        <f>IFERROR(VLOOKUP(C47,Employees!$A$4:$E$103,5,FALSE),Settings!$B$18)</f>
        <v>100</v>
      </c>
      <c r="Q47" s="34">
        <f t="shared" si="2"/>
        <v>0</v>
      </c>
      <c r="R47" s="34">
        <f>H47*P47*Settings!$B$13</f>
        <v>0</v>
      </c>
      <c r="S47" s="34">
        <f>J47*P47*(Settings!$B$14-1)</f>
        <v>0</v>
      </c>
      <c r="T47" s="34">
        <f>K47*P47*(Settings!$B$15-1)</f>
        <v>0</v>
      </c>
      <c r="U47" s="34">
        <f t="shared" si="3"/>
        <v>0</v>
      </c>
      <c r="V47" s="26" t="str">
        <f>Auto_Roster!O47</f>
        <v>Pending</v>
      </c>
      <c r="W47" s="26" t="e">
        <f ca="1">_xludf.TEXTJOIN("; ",TRUE,Auto_Roster!N47,IF(G47&gt;Settings!$B$19,"Approval required &gt; standard hours",""),IF(AND(F47&lt;&gt;"Off",G47=0),"Missing claimed hours",""))</f>
        <v>#NAME?</v>
      </c>
      <c r="X47" s="7"/>
    </row>
    <row r="48" spans="1:24" x14ac:dyDescent="0.35">
      <c r="A48" s="31">
        <f>Auto_Roster!A48</f>
        <v>46145</v>
      </c>
      <c r="B48" s="31">
        <f>Auto_Roster!B48</f>
        <v>46139</v>
      </c>
      <c r="C48" s="26" t="str">
        <f>Auto_Roster!C48</f>
        <v>E005</v>
      </c>
      <c r="D48" s="26" t="str">
        <f>Auto_Roster!D48</f>
        <v>Lesego Aphane</v>
      </c>
      <c r="E48" s="26" t="str">
        <f>Auto_Roster!E48</f>
        <v>A</v>
      </c>
      <c r="F48" s="26" t="str">
        <f>Auto_Roster!G48</f>
        <v>Night</v>
      </c>
      <c r="G48" s="33">
        <f>Auto_Roster!J48</f>
        <v>8</v>
      </c>
      <c r="H48" s="33">
        <f>IF(G48&gt;Settings!$B$19,G48-Settings!$B$19,0)</f>
        <v>0</v>
      </c>
      <c r="I48" s="33">
        <f t="shared" si="0"/>
        <v>8</v>
      </c>
      <c r="J48" s="33">
        <f>IF(Auto_Roster!M48="Y",G48,0)</f>
        <v>8</v>
      </c>
      <c r="K48" s="33">
        <f>IF(Auto_Roster!L48="Y",G48,0)</f>
        <v>0</v>
      </c>
      <c r="L48" s="26" t="str">
        <f>Auto_Roster!K48</f>
        <v>N</v>
      </c>
      <c r="M48" s="34">
        <f>IF(L48="Y",Settings!$B$16,0)</f>
        <v>0</v>
      </c>
      <c r="N48" s="33">
        <f t="shared" si="1"/>
        <v>8</v>
      </c>
      <c r="O48" s="34">
        <f>N48*Settings!$B$17</f>
        <v>0</v>
      </c>
      <c r="P48" s="34">
        <f>IFERROR(VLOOKUP(C48,Employees!$A$4:$E$103,5,FALSE),Settings!$B$18)</f>
        <v>100</v>
      </c>
      <c r="Q48" s="34">
        <f t="shared" si="2"/>
        <v>800</v>
      </c>
      <c r="R48" s="34">
        <f>H48*P48*Settings!$B$13</f>
        <v>0</v>
      </c>
      <c r="S48" s="34">
        <f>J48*P48*(Settings!$B$14-1)</f>
        <v>800</v>
      </c>
      <c r="T48" s="34">
        <f>K48*P48*(Settings!$B$15-1)</f>
        <v>0</v>
      </c>
      <c r="U48" s="34">
        <f t="shared" si="3"/>
        <v>1600</v>
      </c>
      <c r="V48" s="26" t="str">
        <f>Auto_Roster!O48</f>
        <v>Pending</v>
      </c>
      <c r="W48" s="26" t="e">
        <f ca="1">_xludf.TEXTJOIN("; ",TRUE,Auto_Roster!N48,IF(G48&gt;Settings!$B$19,"Approval required &gt; standard hours",""),IF(AND(F48&lt;&gt;"Off",G48=0),"Missing claimed hours",""))</f>
        <v>#NAME?</v>
      </c>
      <c r="X48" s="7"/>
    </row>
    <row r="49" spans="1:24" x14ac:dyDescent="0.35">
      <c r="A49" s="31">
        <f>Auto_Roster!A49</f>
        <v>46145</v>
      </c>
      <c r="B49" s="31">
        <f>Auto_Roster!B49</f>
        <v>46139</v>
      </c>
      <c r="C49" s="26" t="str">
        <f>Auto_Roster!C49</f>
        <v>E006</v>
      </c>
      <c r="D49" s="26" t="str">
        <f>Auto_Roster!D49</f>
        <v>Nhalnahla</v>
      </c>
      <c r="E49" s="26" t="str">
        <f>Auto_Roster!E49</f>
        <v>B</v>
      </c>
      <c r="F49" s="26" t="str">
        <f>Auto_Roster!G49</f>
        <v>Evening</v>
      </c>
      <c r="G49" s="33">
        <f>Auto_Roster!J49</f>
        <v>8</v>
      </c>
      <c r="H49" s="33">
        <f>IF(G49&gt;Settings!$B$19,G49-Settings!$B$19,0)</f>
        <v>0</v>
      </c>
      <c r="I49" s="33">
        <f t="shared" si="0"/>
        <v>8</v>
      </c>
      <c r="J49" s="33">
        <f>IF(Auto_Roster!M49="Y",G49,0)</f>
        <v>8</v>
      </c>
      <c r="K49" s="33">
        <f>IF(Auto_Roster!L49="Y",G49,0)</f>
        <v>0</v>
      </c>
      <c r="L49" s="26" t="str">
        <f>Auto_Roster!K49</f>
        <v>N</v>
      </c>
      <c r="M49" s="34">
        <f>IF(L49="Y",Settings!$B$16,0)</f>
        <v>0</v>
      </c>
      <c r="N49" s="33">
        <f t="shared" si="1"/>
        <v>0</v>
      </c>
      <c r="O49" s="34">
        <f>N49*Settings!$B$17</f>
        <v>0</v>
      </c>
      <c r="P49" s="34">
        <f>IFERROR(VLOOKUP(C49,Employees!$A$4:$E$103,5,FALSE),Settings!$B$18)</f>
        <v>100</v>
      </c>
      <c r="Q49" s="34">
        <f t="shared" si="2"/>
        <v>800</v>
      </c>
      <c r="R49" s="34">
        <f>H49*P49*Settings!$B$13</f>
        <v>0</v>
      </c>
      <c r="S49" s="34">
        <f>J49*P49*(Settings!$B$14-1)</f>
        <v>800</v>
      </c>
      <c r="T49" s="34">
        <f>K49*P49*(Settings!$B$15-1)</f>
        <v>0</v>
      </c>
      <c r="U49" s="34">
        <f t="shared" si="3"/>
        <v>1600</v>
      </c>
      <c r="V49" s="26" t="str">
        <f>Auto_Roster!O49</f>
        <v>Pending</v>
      </c>
      <c r="W49" s="26" t="e">
        <f ca="1">_xludf.TEXTJOIN("; ",TRUE,Auto_Roster!N49,IF(G49&gt;Settings!$B$19,"Approval required &gt; standard hours",""),IF(AND(F49&lt;&gt;"Off",G49=0),"Missing claimed hours",""))</f>
        <v>#NAME?</v>
      </c>
      <c r="X49" s="7"/>
    </row>
    <row r="50" spans="1:24" x14ac:dyDescent="0.35">
      <c r="A50" s="31">
        <f>Auto_Roster!A50</f>
        <v>46145</v>
      </c>
      <c r="B50" s="31">
        <f>Auto_Roster!B50</f>
        <v>46139</v>
      </c>
      <c r="C50" s="26" t="str">
        <f>Auto_Roster!C50</f>
        <v>E007</v>
      </c>
      <c r="D50" s="26" t="str">
        <f>Auto_Roster!D50</f>
        <v>Joe</v>
      </c>
      <c r="E50" s="26" t="str">
        <f>Auto_Roster!E50</f>
        <v>C</v>
      </c>
      <c r="F50" s="26" t="str">
        <f>Auto_Roster!G50</f>
        <v>Day</v>
      </c>
      <c r="G50" s="33">
        <f>Auto_Roster!J50</f>
        <v>8</v>
      </c>
      <c r="H50" s="33">
        <f>IF(G50&gt;Settings!$B$19,G50-Settings!$B$19,0)</f>
        <v>0</v>
      </c>
      <c r="I50" s="33">
        <f t="shared" si="0"/>
        <v>8</v>
      </c>
      <c r="J50" s="33">
        <f>IF(Auto_Roster!M50="Y",G50,0)</f>
        <v>8</v>
      </c>
      <c r="K50" s="33">
        <f>IF(Auto_Roster!L50="Y",G50,0)</f>
        <v>0</v>
      </c>
      <c r="L50" s="26" t="str">
        <f>Auto_Roster!K50</f>
        <v>N</v>
      </c>
      <c r="M50" s="34">
        <f>IF(L50="Y",Settings!$B$16,0)</f>
        <v>0</v>
      </c>
      <c r="N50" s="33">
        <f t="shared" si="1"/>
        <v>0</v>
      </c>
      <c r="O50" s="34">
        <f>N50*Settings!$B$17</f>
        <v>0</v>
      </c>
      <c r="P50" s="34">
        <f>IFERROR(VLOOKUP(C50,Employees!$A$4:$E$103,5,FALSE),Settings!$B$18)</f>
        <v>100</v>
      </c>
      <c r="Q50" s="34">
        <f t="shared" si="2"/>
        <v>800</v>
      </c>
      <c r="R50" s="34">
        <f>H50*P50*Settings!$B$13</f>
        <v>0</v>
      </c>
      <c r="S50" s="34">
        <f>J50*P50*(Settings!$B$14-1)</f>
        <v>800</v>
      </c>
      <c r="T50" s="34">
        <f>K50*P50*(Settings!$B$15-1)</f>
        <v>0</v>
      </c>
      <c r="U50" s="34">
        <f t="shared" si="3"/>
        <v>1600</v>
      </c>
      <c r="V50" s="26" t="str">
        <f>Auto_Roster!O50</f>
        <v>Pending</v>
      </c>
      <c r="W50" s="26" t="e">
        <f ca="1">_xludf.TEXTJOIN("; ",TRUE,Auto_Roster!N50,IF(G50&gt;Settings!$B$19,"Approval required &gt; standard hours",""),IF(AND(F50&lt;&gt;"Off",G50=0),"Missing claimed hours",""))</f>
        <v>#NAME?</v>
      </c>
      <c r="X50" s="7"/>
    </row>
    <row r="51" spans="1:24" x14ac:dyDescent="0.35">
      <c r="A51" s="31">
        <f>Auto_Roster!A51</f>
        <v>46145</v>
      </c>
      <c r="B51" s="31">
        <f>Auto_Roster!B51</f>
        <v>46139</v>
      </c>
      <c r="C51" s="26" t="str">
        <f>Auto_Roster!C51</f>
        <v>E008</v>
      </c>
      <c r="D51" s="26" t="str">
        <f>Auto_Roster!D51</f>
        <v>Tim</v>
      </c>
      <c r="E51" s="26" t="str">
        <f>Auto_Roster!E51</f>
        <v>D</v>
      </c>
      <c r="F51" s="26" t="str">
        <f>Auto_Roster!G51</f>
        <v>Off</v>
      </c>
      <c r="G51" s="33">
        <f>Auto_Roster!J51</f>
        <v>0</v>
      </c>
      <c r="H51" s="33">
        <f>IF(G51&gt;Settings!$B$19,G51-Settings!$B$19,0)</f>
        <v>0</v>
      </c>
      <c r="I51" s="33">
        <f t="shared" si="0"/>
        <v>0</v>
      </c>
      <c r="J51" s="33">
        <f>IF(Auto_Roster!M51="Y",G51,0)</f>
        <v>0</v>
      </c>
      <c r="K51" s="33">
        <f>IF(Auto_Roster!L51="Y",G51,0)</f>
        <v>0</v>
      </c>
      <c r="L51" s="26" t="str">
        <f>Auto_Roster!K51</f>
        <v>N</v>
      </c>
      <c r="M51" s="34">
        <f>IF(L51="Y",Settings!$B$16,0)</f>
        <v>0</v>
      </c>
      <c r="N51" s="33">
        <f t="shared" si="1"/>
        <v>0</v>
      </c>
      <c r="O51" s="34">
        <f>N51*Settings!$B$17</f>
        <v>0</v>
      </c>
      <c r="P51" s="34">
        <f>IFERROR(VLOOKUP(C51,Employees!$A$4:$E$103,5,FALSE),Settings!$B$18)</f>
        <v>100</v>
      </c>
      <c r="Q51" s="34">
        <f t="shared" si="2"/>
        <v>0</v>
      </c>
      <c r="R51" s="34">
        <f>H51*P51*Settings!$B$13</f>
        <v>0</v>
      </c>
      <c r="S51" s="34">
        <f>J51*P51*(Settings!$B$14-1)</f>
        <v>0</v>
      </c>
      <c r="T51" s="34">
        <f>K51*P51*(Settings!$B$15-1)</f>
        <v>0</v>
      </c>
      <c r="U51" s="34">
        <f t="shared" si="3"/>
        <v>0</v>
      </c>
      <c r="V51" s="26" t="str">
        <f>Auto_Roster!O51</f>
        <v>Pending</v>
      </c>
      <c r="W51" s="26" t="e">
        <f ca="1">_xludf.TEXTJOIN("; ",TRUE,Auto_Roster!N51,IF(G51&gt;Settings!$B$19,"Approval required &gt; standard hours",""),IF(AND(F51&lt;&gt;"Off",G51=0),"Missing claimed hours",""))</f>
        <v>#NAME?</v>
      </c>
      <c r="X51" s="7"/>
    </row>
    <row r="52" spans="1:24" x14ac:dyDescent="0.35">
      <c r="A52" s="31">
        <f>Auto_Roster!A52</f>
        <v>46145</v>
      </c>
      <c r="B52" s="31">
        <f>Auto_Roster!B52</f>
        <v>46139</v>
      </c>
      <c r="C52" s="26" t="str">
        <f>Auto_Roster!C52</f>
        <v>E009</v>
      </c>
      <c r="D52" s="26" t="str">
        <f>Auto_Roster!D52</f>
        <v>Frank</v>
      </c>
      <c r="E52" s="26" t="str">
        <f>Auto_Roster!E52</f>
        <v>A</v>
      </c>
      <c r="F52" s="26" t="str">
        <f>Auto_Roster!G52</f>
        <v>Night</v>
      </c>
      <c r="G52" s="33">
        <f>Auto_Roster!J52</f>
        <v>8</v>
      </c>
      <c r="H52" s="33">
        <f>IF(G52&gt;Settings!$B$19,G52-Settings!$B$19,0)</f>
        <v>0</v>
      </c>
      <c r="I52" s="33">
        <f t="shared" si="0"/>
        <v>8</v>
      </c>
      <c r="J52" s="33">
        <f>IF(Auto_Roster!M52="Y",G52,0)</f>
        <v>8</v>
      </c>
      <c r="K52" s="33">
        <f>IF(Auto_Roster!L52="Y",G52,0)</f>
        <v>0</v>
      </c>
      <c r="L52" s="26" t="str">
        <f>Auto_Roster!K52</f>
        <v>N</v>
      </c>
      <c r="M52" s="34">
        <f>IF(L52="Y",Settings!$B$16,0)</f>
        <v>0</v>
      </c>
      <c r="N52" s="33">
        <f t="shared" si="1"/>
        <v>8</v>
      </c>
      <c r="O52" s="34">
        <f>N52*Settings!$B$17</f>
        <v>0</v>
      </c>
      <c r="P52" s="34">
        <f>IFERROR(VLOOKUP(C52,Employees!$A$4:$E$103,5,FALSE),Settings!$B$18)</f>
        <v>100</v>
      </c>
      <c r="Q52" s="34">
        <f t="shared" si="2"/>
        <v>800</v>
      </c>
      <c r="R52" s="34">
        <f>H52*P52*Settings!$B$13</f>
        <v>0</v>
      </c>
      <c r="S52" s="34">
        <f>J52*P52*(Settings!$B$14-1)</f>
        <v>800</v>
      </c>
      <c r="T52" s="34">
        <f>K52*P52*(Settings!$B$15-1)</f>
        <v>0</v>
      </c>
      <c r="U52" s="34">
        <f t="shared" si="3"/>
        <v>1600</v>
      </c>
      <c r="V52" s="26" t="str">
        <f>Auto_Roster!O52</f>
        <v>Pending</v>
      </c>
      <c r="W52" s="26" t="e">
        <f ca="1">_xludf.TEXTJOIN("; ",TRUE,Auto_Roster!N52,IF(G52&gt;Settings!$B$19,"Approval required &gt; standard hours",""),IF(AND(F52&lt;&gt;"Off",G52=0),"Missing claimed hours",""))</f>
        <v>#NAME?</v>
      </c>
      <c r="X52" s="7"/>
    </row>
    <row r="53" spans="1:24" x14ac:dyDescent="0.35">
      <c r="A53" s="31">
        <f>Auto_Roster!A53</f>
        <v>46145</v>
      </c>
      <c r="B53" s="31">
        <f>Auto_Roster!B53</f>
        <v>46139</v>
      </c>
      <c r="C53" s="26" t="str">
        <f>Auto_Roster!C53</f>
        <v/>
      </c>
      <c r="D53" s="26" t="str">
        <f>Auto_Roster!D53</f>
        <v/>
      </c>
      <c r="E53" s="26" t="str">
        <f>Auto_Roster!E53</f>
        <v/>
      </c>
      <c r="F53" s="26" t="str">
        <f>Auto_Roster!G53</f>
        <v/>
      </c>
      <c r="G53" s="33">
        <f>Auto_Roster!J53</f>
        <v>0</v>
      </c>
      <c r="H53" s="33">
        <f>IF(G53&gt;Settings!$B$19,G53-Settings!$B$19,0)</f>
        <v>0</v>
      </c>
      <c r="I53" s="33">
        <f t="shared" si="0"/>
        <v>0</v>
      </c>
      <c r="J53" s="33">
        <f>IF(Auto_Roster!M53="Y",G53,0)</f>
        <v>0</v>
      </c>
      <c r="K53" s="33">
        <f>IF(Auto_Roster!L53="Y",G53,0)</f>
        <v>0</v>
      </c>
      <c r="L53" s="26" t="str">
        <f>Auto_Roster!K53</f>
        <v>N</v>
      </c>
      <c r="M53" s="34">
        <f>IF(L53="Y",Settings!$B$16,0)</f>
        <v>0</v>
      </c>
      <c r="N53" s="33">
        <f t="shared" si="1"/>
        <v>0</v>
      </c>
      <c r="O53" s="34">
        <f>N53*Settings!$B$17</f>
        <v>0</v>
      </c>
      <c r="P53" s="34">
        <f>IFERROR(VLOOKUP(C53,Employees!$A$4:$E$103,5,FALSE),Settings!$B$18)</f>
        <v>100</v>
      </c>
      <c r="Q53" s="34">
        <f t="shared" si="2"/>
        <v>0</v>
      </c>
      <c r="R53" s="34">
        <f>H53*P53*Settings!$B$13</f>
        <v>0</v>
      </c>
      <c r="S53" s="34">
        <f>J53*P53*(Settings!$B$14-1)</f>
        <v>0</v>
      </c>
      <c r="T53" s="34">
        <f>K53*P53*(Settings!$B$15-1)</f>
        <v>0</v>
      </c>
      <c r="U53" s="34">
        <f t="shared" si="3"/>
        <v>0</v>
      </c>
      <c r="V53" s="26" t="str">
        <f>Auto_Roster!O53</f>
        <v>Pending</v>
      </c>
      <c r="W53" s="26" t="e">
        <f ca="1">_xludf.TEXTJOIN("; ",TRUE,Auto_Roster!N53,IF(G53&gt;Settings!$B$19,"Approval required &gt; standard hours",""),IF(AND(F53&lt;&gt;"Off",G53=0),"Missing claimed hours",""))</f>
        <v>#NAME?</v>
      </c>
      <c r="X53" s="7"/>
    </row>
    <row r="54" spans="1:24" x14ac:dyDescent="0.35">
      <c r="A54" s="31">
        <f>Auto_Roster!A54</f>
        <v>46145</v>
      </c>
      <c r="B54" s="31">
        <f>Auto_Roster!B54</f>
        <v>46139</v>
      </c>
      <c r="C54" s="26" t="str">
        <f>Auto_Roster!C54</f>
        <v/>
      </c>
      <c r="D54" s="26" t="str">
        <f>Auto_Roster!D54</f>
        <v/>
      </c>
      <c r="E54" s="26" t="str">
        <f>Auto_Roster!E54</f>
        <v/>
      </c>
      <c r="F54" s="26" t="str">
        <f>Auto_Roster!G54</f>
        <v/>
      </c>
      <c r="G54" s="33">
        <f>Auto_Roster!J54</f>
        <v>0</v>
      </c>
      <c r="H54" s="33">
        <f>IF(G54&gt;Settings!$B$19,G54-Settings!$B$19,0)</f>
        <v>0</v>
      </c>
      <c r="I54" s="33">
        <f t="shared" si="0"/>
        <v>0</v>
      </c>
      <c r="J54" s="33">
        <f>IF(Auto_Roster!M54="Y",G54,0)</f>
        <v>0</v>
      </c>
      <c r="K54" s="33">
        <f>IF(Auto_Roster!L54="Y",G54,0)</f>
        <v>0</v>
      </c>
      <c r="L54" s="26" t="str">
        <f>Auto_Roster!K54</f>
        <v>N</v>
      </c>
      <c r="M54" s="34">
        <f>IF(L54="Y",Settings!$B$16,0)</f>
        <v>0</v>
      </c>
      <c r="N54" s="33">
        <f t="shared" si="1"/>
        <v>0</v>
      </c>
      <c r="O54" s="34">
        <f>N54*Settings!$B$17</f>
        <v>0</v>
      </c>
      <c r="P54" s="34">
        <f>IFERROR(VLOOKUP(C54,Employees!$A$4:$E$103,5,FALSE),Settings!$B$18)</f>
        <v>100</v>
      </c>
      <c r="Q54" s="34">
        <f t="shared" si="2"/>
        <v>0</v>
      </c>
      <c r="R54" s="34">
        <f>H54*P54*Settings!$B$13</f>
        <v>0</v>
      </c>
      <c r="S54" s="34">
        <f>J54*P54*(Settings!$B$14-1)</f>
        <v>0</v>
      </c>
      <c r="T54" s="34">
        <f>K54*P54*(Settings!$B$15-1)</f>
        <v>0</v>
      </c>
      <c r="U54" s="34">
        <f t="shared" si="3"/>
        <v>0</v>
      </c>
      <c r="V54" s="26" t="str">
        <f>Auto_Roster!O54</f>
        <v>Pending</v>
      </c>
      <c r="W54" s="26" t="e">
        <f ca="1">_xludf.TEXTJOIN("; ",TRUE,Auto_Roster!N54,IF(G54&gt;Settings!$B$19,"Approval required &gt; standard hours",""),IF(AND(F54&lt;&gt;"Off",G54=0),"Missing claimed hours",""))</f>
        <v>#NAME?</v>
      </c>
      <c r="X54" s="7"/>
    </row>
    <row r="55" spans="1:24" x14ac:dyDescent="0.35">
      <c r="A55" s="31">
        <f>Auto_Roster!A55</f>
        <v>46145</v>
      </c>
      <c r="B55" s="31">
        <f>Auto_Roster!B55</f>
        <v>46139</v>
      </c>
      <c r="C55" s="26" t="str">
        <f>Auto_Roster!C55</f>
        <v/>
      </c>
      <c r="D55" s="26" t="str">
        <f>Auto_Roster!D55</f>
        <v/>
      </c>
      <c r="E55" s="26" t="str">
        <f>Auto_Roster!E55</f>
        <v/>
      </c>
      <c r="F55" s="26" t="str">
        <f>Auto_Roster!G55</f>
        <v/>
      </c>
      <c r="G55" s="33">
        <f>Auto_Roster!J55</f>
        <v>0</v>
      </c>
      <c r="H55" s="33">
        <f>IF(G55&gt;Settings!$B$19,G55-Settings!$B$19,0)</f>
        <v>0</v>
      </c>
      <c r="I55" s="33">
        <f t="shared" si="0"/>
        <v>0</v>
      </c>
      <c r="J55" s="33">
        <f>IF(Auto_Roster!M55="Y",G55,0)</f>
        <v>0</v>
      </c>
      <c r="K55" s="33">
        <f>IF(Auto_Roster!L55="Y",G55,0)</f>
        <v>0</v>
      </c>
      <c r="L55" s="26" t="str">
        <f>Auto_Roster!K55</f>
        <v>N</v>
      </c>
      <c r="M55" s="34">
        <f>IF(L55="Y",Settings!$B$16,0)</f>
        <v>0</v>
      </c>
      <c r="N55" s="33">
        <f t="shared" si="1"/>
        <v>0</v>
      </c>
      <c r="O55" s="34">
        <f>N55*Settings!$B$17</f>
        <v>0</v>
      </c>
      <c r="P55" s="34">
        <f>IFERROR(VLOOKUP(C55,Employees!$A$4:$E$103,5,FALSE),Settings!$B$18)</f>
        <v>100</v>
      </c>
      <c r="Q55" s="34">
        <f t="shared" si="2"/>
        <v>0</v>
      </c>
      <c r="R55" s="34">
        <f>H55*P55*Settings!$B$13</f>
        <v>0</v>
      </c>
      <c r="S55" s="34">
        <f>J55*P55*(Settings!$B$14-1)</f>
        <v>0</v>
      </c>
      <c r="T55" s="34">
        <f>K55*P55*(Settings!$B$15-1)</f>
        <v>0</v>
      </c>
      <c r="U55" s="34">
        <f t="shared" si="3"/>
        <v>0</v>
      </c>
      <c r="V55" s="26" t="str">
        <f>Auto_Roster!O55</f>
        <v>Pending</v>
      </c>
      <c r="W55" s="26" t="e">
        <f ca="1">_xludf.TEXTJOIN("; ",TRUE,Auto_Roster!N55,IF(G55&gt;Settings!$B$19,"Approval required &gt; standard hours",""),IF(AND(F55&lt;&gt;"Off",G55=0),"Missing claimed hours",""))</f>
        <v>#NAME?</v>
      </c>
      <c r="X55" s="7"/>
    </row>
    <row r="56" spans="1:24" x14ac:dyDescent="0.35">
      <c r="A56" s="31">
        <f>Auto_Roster!A56</f>
        <v>46145</v>
      </c>
      <c r="B56" s="31">
        <f>Auto_Roster!B56</f>
        <v>46139</v>
      </c>
      <c r="C56" s="26" t="str">
        <f>Auto_Roster!C56</f>
        <v/>
      </c>
      <c r="D56" s="26" t="str">
        <f>Auto_Roster!D56</f>
        <v/>
      </c>
      <c r="E56" s="26" t="str">
        <f>Auto_Roster!E56</f>
        <v/>
      </c>
      <c r="F56" s="26" t="str">
        <f>Auto_Roster!G56</f>
        <v/>
      </c>
      <c r="G56" s="33">
        <f>Auto_Roster!J56</f>
        <v>0</v>
      </c>
      <c r="H56" s="33">
        <f>IF(G56&gt;Settings!$B$19,G56-Settings!$B$19,0)</f>
        <v>0</v>
      </c>
      <c r="I56" s="33">
        <f t="shared" si="0"/>
        <v>0</v>
      </c>
      <c r="J56" s="33">
        <f>IF(Auto_Roster!M56="Y",G56,0)</f>
        <v>0</v>
      </c>
      <c r="K56" s="33">
        <f>IF(Auto_Roster!L56="Y",G56,0)</f>
        <v>0</v>
      </c>
      <c r="L56" s="26" t="str">
        <f>Auto_Roster!K56</f>
        <v>N</v>
      </c>
      <c r="M56" s="34">
        <f>IF(L56="Y",Settings!$B$16,0)</f>
        <v>0</v>
      </c>
      <c r="N56" s="33">
        <f t="shared" si="1"/>
        <v>0</v>
      </c>
      <c r="O56" s="34">
        <f>N56*Settings!$B$17</f>
        <v>0</v>
      </c>
      <c r="P56" s="34">
        <f>IFERROR(VLOOKUP(C56,Employees!$A$4:$E$103,5,FALSE),Settings!$B$18)</f>
        <v>100</v>
      </c>
      <c r="Q56" s="34">
        <f t="shared" si="2"/>
        <v>0</v>
      </c>
      <c r="R56" s="34">
        <f>H56*P56*Settings!$B$13</f>
        <v>0</v>
      </c>
      <c r="S56" s="34">
        <f>J56*P56*(Settings!$B$14-1)</f>
        <v>0</v>
      </c>
      <c r="T56" s="34">
        <f>K56*P56*(Settings!$B$15-1)</f>
        <v>0</v>
      </c>
      <c r="U56" s="34">
        <f t="shared" si="3"/>
        <v>0</v>
      </c>
      <c r="V56" s="26" t="str">
        <f>Auto_Roster!O56</f>
        <v>Pending</v>
      </c>
      <c r="W56" s="26" t="e">
        <f ca="1">_xludf.TEXTJOIN("; ",TRUE,Auto_Roster!N56,IF(G56&gt;Settings!$B$19,"Approval required &gt; standard hours",""),IF(AND(F56&lt;&gt;"Off",G56=0),"Missing claimed hours",""))</f>
        <v>#NAME?</v>
      </c>
      <c r="X56" s="7"/>
    </row>
    <row r="57" spans="1:24" x14ac:dyDescent="0.35">
      <c r="A57" s="31">
        <f>Auto_Roster!A57</f>
        <v>46145</v>
      </c>
      <c r="B57" s="31">
        <f>Auto_Roster!B57</f>
        <v>46139</v>
      </c>
      <c r="C57" s="26" t="str">
        <f>Auto_Roster!C57</f>
        <v/>
      </c>
      <c r="D57" s="26" t="str">
        <f>Auto_Roster!D57</f>
        <v/>
      </c>
      <c r="E57" s="26" t="str">
        <f>Auto_Roster!E57</f>
        <v/>
      </c>
      <c r="F57" s="26" t="str">
        <f>Auto_Roster!G57</f>
        <v/>
      </c>
      <c r="G57" s="33">
        <f>Auto_Roster!J57</f>
        <v>0</v>
      </c>
      <c r="H57" s="33">
        <f>IF(G57&gt;Settings!$B$19,G57-Settings!$B$19,0)</f>
        <v>0</v>
      </c>
      <c r="I57" s="33">
        <f t="shared" si="0"/>
        <v>0</v>
      </c>
      <c r="J57" s="33">
        <f>IF(Auto_Roster!M57="Y",G57,0)</f>
        <v>0</v>
      </c>
      <c r="K57" s="33">
        <f>IF(Auto_Roster!L57="Y",G57,0)</f>
        <v>0</v>
      </c>
      <c r="L57" s="26" t="str">
        <f>Auto_Roster!K57</f>
        <v>N</v>
      </c>
      <c r="M57" s="34">
        <f>IF(L57="Y",Settings!$B$16,0)</f>
        <v>0</v>
      </c>
      <c r="N57" s="33">
        <f t="shared" si="1"/>
        <v>0</v>
      </c>
      <c r="O57" s="34">
        <f>N57*Settings!$B$17</f>
        <v>0</v>
      </c>
      <c r="P57" s="34">
        <f>IFERROR(VLOOKUP(C57,Employees!$A$4:$E$103,5,FALSE),Settings!$B$18)</f>
        <v>100</v>
      </c>
      <c r="Q57" s="34">
        <f t="shared" si="2"/>
        <v>0</v>
      </c>
      <c r="R57" s="34">
        <f>H57*P57*Settings!$B$13</f>
        <v>0</v>
      </c>
      <c r="S57" s="34">
        <f>J57*P57*(Settings!$B$14-1)</f>
        <v>0</v>
      </c>
      <c r="T57" s="34">
        <f>K57*P57*(Settings!$B$15-1)</f>
        <v>0</v>
      </c>
      <c r="U57" s="34">
        <f t="shared" si="3"/>
        <v>0</v>
      </c>
      <c r="V57" s="26" t="str">
        <f>Auto_Roster!O57</f>
        <v>Pending</v>
      </c>
      <c r="W57" s="26" t="e">
        <f ca="1">_xludf.TEXTJOIN("; ",TRUE,Auto_Roster!N57,IF(G57&gt;Settings!$B$19,"Approval required &gt; standard hours",""),IF(AND(F57&lt;&gt;"Off",G57=0),"Missing claimed hours",""))</f>
        <v>#NAME?</v>
      </c>
      <c r="X57" s="7"/>
    </row>
    <row r="58" spans="1:24" x14ac:dyDescent="0.35">
      <c r="A58" s="31">
        <f>Auto_Roster!A58</f>
        <v>46145</v>
      </c>
      <c r="B58" s="31">
        <f>Auto_Roster!B58</f>
        <v>46139</v>
      </c>
      <c r="C58" s="26" t="str">
        <f>Auto_Roster!C58</f>
        <v/>
      </c>
      <c r="D58" s="26" t="str">
        <f>Auto_Roster!D58</f>
        <v/>
      </c>
      <c r="E58" s="26" t="str">
        <f>Auto_Roster!E58</f>
        <v/>
      </c>
      <c r="F58" s="26" t="str">
        <f>Auto_Roster!G58</f>
        <v/>
      </c>
      <c r="G58" s="33">
        <f>Auto_Roster!J58</f>
        <v>0</v>
      </c>
      <c r="H58" s="33">
        <f>IF(G58&gt;Settings!$B$19,G58-Settings!$B$19,0)</f>
        <v>0</v>
      </c>
      <c r="I58" s="33">
        <f t="shared" si="0"/>
        <v>0</v>
      </c>
      <c r="J58" s="33">
        <f>IF(Auto_Roster!M58="Y",G58,0)</f>
        <v>0</v>
      </c>
      <c r="K58" s="33">
        <f>IF(Auto_Roster!L58="Y",G58,0)</f>
        <v>0</v>
      </c>
      <c r="L58" s="26" t="str">
        <f>Auto_Roster!K58</f>
        <v>N</v>
      </c>
      <c r="M58" s="34">
        <f>IF(L58="Y",Settings!$B$16,0)</f>
        <v>0</v>
      </c>
      <c r="N58" s="33">
        <f t="shared" si="1"/>
        <v>0</v>
      </c>
      <c r="O58" s="34">
        <f>N58*Settings!$B$17</f>
        <v>0</v>
      </c>
      <c r="P58" s="34">
        <f>IFERROR(VLOOKUP(C58,Employees!$A$4:$E$103,5,FALSE),Settings!$B$18)</f>
        <v>100</v>
      </c>
      <c r="Q58" s="34">
        <f t="shared" si="2"/>
        <v>0</v>
      </c>
      <c r="R58" s="34">
        <f>H58*P58*Settings!$B$13</f>
        <v>0</v>
      </c>
      <c r="S58" s="34">
        <f>J58*P58*(Settings!$B$14-1)</f>
        <v>0</v>
      </c>
      <c r="T58" s="34">
        <f>K58*P58*(Settings!$B$15-1)</f>
        <v>0</v>
      </c>
      <c r="U58" s="34">
        <f t="shared" si="3"/>
        <v>0</v>
      </c>
      <c r="V58" s="26" t="str">
        <f>Auto_Roster!O58</f>
        <v>Pending</v>
      </c>
      <c r="W58" s="26" t="e">
        <f ca="1">_xludf.TEXTJOIN("; ",TRUE,Auto_Roster!N58,IF(G58&gt;Settings!$B$19,"Approval required &gt; standard hours",""),IF(AND(F58&lt;&gt;"Off",G58=0),"Missing claimed hours",""))</f>
        <v>#NAME?</v>
      </c>
      <c r="X58" s="7"/>
    </row>
    <row r="59" spans="1:24" x14ac:dyDescent="0.35">
      <c r="A59" s="31">
        <f>Auto_Roster!A59</f>
        <v>46145</v>
      </c>
      <c r="B59" s="31">
        <f>Auto_Roster!B59</f>
        <v>46139</v>
      </c>
      <c r="C59" s="26" t="str">
        <f>Auto_Roster!C59</f>
        <v/>
      </c>
      <c r="D59" s="26" t="str">
        <f>Auto_Roster!D59</f>
        <v/>
      </c>
      <c r="E59" s="26" t="str">
        <f>Auto_Roster!E59</f>
        <v/>
      </c>
      <c r="F59" s="26" t="str">
        <f>Auto_Roster!G59</f>
        <v/>
      </c>
      <c r="G59" s="33">
        <f>Auto_Roster!J59</f>
        <v>0</v>
      </c>
      <c r="H59" s="33">
        <f>IF(G59&gt;Settings!$B$19,G59-Settings!$B$19,0)</f>
        <v>0</v>
      </c>
      <c r="I59" s="33">
        <f t="shared" si="0"/>
        <v>0</v>
      </c>
      <c r="J59" s="33">
        <f>IF(Auto_Roster!M59="Y",G59,0)</f>
        <v>0</v>
      </c>
      <c r="K59" s="33">
        <f>IF(Auto_Roster!L59="Y",G59,0)</f>
        <v>0</v>
      </c>
      <c r="L59" s="26" t="str">
        <f>Auto_Roster!K59</f>
        <v>N</v>
      </c>
      <c r="M59" s="34">
        <f>IF(L59="Y",Settings!$B$16,0)</f>
        <v>0</v>
      </c>
      <c r="N59" s="33">
        <f t="shared" si="1"/>
        <v>0</v>
      </c>
      <c r="O59" s="34">
        <f>N59*Settings!$B$17</f>
        <v>0</v>
      </c>
      <c r="P59" s="34">
        <f>IFERROR(VLOOKUP(C59,Employees!$A$4:$E$103,5,FALSE),Settings!$B$18)</f>
        <v>100</v>
      </c>
      <c r="Q59" s="34">
        <f t="shared" si="2"/>
        <v>0</v>
      </c>
      <c r="R59" s="34">
        <f>H59*P59*Settings!$B$13</f>
        <v>0</v>
      </c>
      <c r="S59" s="34">
        <f>J59*P59*(Settings!$B$14-1)</f>
        <v>0</v>
      </c>
      <c r="T59" s="34">
        <f>K59*P59*(Settings!$B$15-1)</f>
        <v>0</v>
      </c>
      <c r="U59" s="34">
        <f t="shared" si="3"/>
        <v>0</v>
      </c>
      <c r="V59" s="26" t="str">
        <f>Auto_Roster!O59</f>
        <v>Pending</v>
      </c>
      <c r="W59" s="26" t="e">
        <f ca="1">_xludf.TEXTJOIN("; ",TRUE,Auto_Roster!N59,IF(G59&gt;Settings!$B$19,"Approval required &gt; standard hours",""),IF(AND(F59&lt;&gt;"Off",G59=0),"Missing claimed hours",""))</f>
        <v>#NAME?</v>
      </c>
      <c r="X59" s="7"/>
    </row>
    <row r="60" spans="1:24" x14ac:dyDescent="0.35">
      <c r="A60" s="31">
        <f>Auto_Roster!A60</f>
        <v>46145</v>
      </c>
      <c r="B60" s="31">
        <f>Auto_Roster!B60</f>
        <v>46139</v>
      </c>
      <c r="C60" s="26" t="str">
        <f>Auto_Roster!C60</f>
        <v/>
      </c>
      <c r="D60" s="26" t="str">
        <f>Auto_Roster!D60</f>
        <v/>
      </c>
      <c r="E60" s="26" t="str">
        <f>Auto_Roster!E60</f>
        <v/>
      </c>
      <c r="F60" s="26" t="str">
        <f>Auto_Roster!G60</f>
        <v/>
      </c>
      <c r="G60" s="33">
        <f>Auto_Roster!J60</f>
        <v>0</v>
      </c>
      <c r="H60" s="33">
        <f>IF(G60&gt;Settings!$B$19,G60-Settings!$B$19,0)</f>
        <v>0</v>
      </c>
      <c r="I60" s="33">
        <f t="shared" si="0"/>
        <v>0</v>
      </c>
      <c r="J60" s="33">
        <f>IF(Auto_Roster!M60="Y",G60,0)</f>
        <v>0</v>
      </c>
      <c r="K60" s="33">
        <f>IF(Auto_Roster!L60="Y",G60,0)</f>
        <v>0</v>
      </c>
      <c r="L60" s="26" t="str">
        <f>Auto_Roster!K60</f>
        <v>N</v>
      </c>
      <c r="M60" s="34">
        <f>IF(L60="Y",Settings!$B$16,0)</f>
        <v>0</v>
      </c>
      <c r="N60" s="33">
        <f t="shared" si="1"/>
        <v>0</v>
      </c>
      <c r="O60" s="34">
        <f>N60*Settings!$B$17</f>
        <v>0</v>
      </c>
      <c r="P60" s="34">
        <f>IFERROR(VLOOKUP(C60,Employees!$A$4:$E$103,5,FALSE),Settings!$B$18)</f>
        <v>100</v>
      </c>
      <c r="Q60" s="34">
        <f t="shared" si="2"/>
        <v>0</v>
      </c>
      <c r="R60" s="34">
        <f>H60*P60*Settings!$B$13</f>
        <v>0</v>
      </c>
      <c r="S60" s="34">
        <f>J60*P60*(Settings!$B$14-1)</f>
        <v>0</v>
      </c>
      <c r="T60" s="34">
        <f>K60*P60*(Settings!$B$15-1)</f>
        <v>0</v>
      </c>
      <c r="U60" s="34">
        <f t="shared" si="3"/>
        <v>0</v>
      </c>
      <c r="V60" s="26" t="str">
        <f>Auto_Roster!O60</f>
        <v>Pending</v>
      </c>
      <c r="W60" s="26" t="e">
        <f ca="1">_xludf.TEXTJOIN("; ",TRUE,Auto_Roster!N60,IF(G60&gt;Settings!$B$19,"Approval required &gt; standard hours",""),IF(AND(F60&lt;&gt;"Off",G60=0),"Missing claimed hours",""))</f>
        <v>#NAME?</v>
      </c>
      <c r="X60" s="7"/>
    </row>
    <row r="61" spans="1:24" x14ac:dyDescent="0.35">
      <c r="A61" s="31">
        <f>Auto_Roster!A61</f>
        <v>46145</v>
      </c>
      <c r="B61" s="31">
        <f>Auto_Roster!B61</f>
        <v>46139</v>
      </c>
      <c r="C61" s="26" t="str">
        <f>Auto_Roster!C61</f>
        <v/>
      </c>
      <c r="D61" s="26" t="str">
        <f>Auto_Roster!D61</f>
        <v/>
      </c>
      <c r="E61" s="26" t="str">
        <f>Auto_Roster!E61</f>
        <v/>
      </c>
      <c r="F61" s="26" t="str">
        <f>Auto_Roster!G61</f>
        <v/>
      </c>
      <c r="G61" s="33">
        <f>Auto_Roster!J61</f>
        <v>0</v>
      </c>
      <c r="H61" s="33">
        <f>IF(G61&gt;Settings!$B$19,G61-Settings!$B$19,0)</f>
        <v>0</v>
      </c>
      <c r="I61" s="33">
        <f t="shared" si="0"/>
        <v>0</v>
      </c>
      <c r="J61" s="33">
        <f>IF(Auto_Roster!M61="Y",G61,0)</f>
        <v>0</v>
      </c>
      <c r="K61" s="33">
        <f>IF(Auto_Roster!L61="Y",G61,0)</f>
        <v>0</v>
      </c>
      <c r="L61" s="26" t="str">
        <f>Auto_Roster!K61</f>
        <v>N</v>
      </c>
      <c r="M61" s="34">
        <f>IF(L61="Y",Settings!$B$16,0)</f>
        <v>0</v>
      </c>
      <c r="N61" s="33">
        <f t="shared" si="1"/>
        <v>0</v>
      </c>
      <c r="O61" s="34">
        <f>N61*Settings!$B$17</f>
        <v>0</v>
      </c>
      <c r="P61" s="34">
        <f>IFERROR(VLOOKUP(C61,Employees!$A$4:$E$103,5,FALSE),Settings!$B$18)</f>
        <v>100</v>
      </c>
      <c r="Q61" s="34">
        <f t="shared" si="2"/>
        <v>0</v>
      </c>
      <c r="R61" s="34">
        <f>H61*P61*Settings!$B$13</f>
        <v>0</v>
      </c>
      <c r="S61" s="34">
        <f>J61*P61*(Settings!$B$14-1)</f>
        <v>0</v>
      </c>
      <c r="T61" s="34">
        <f>K61*P61*(Settings!$B$15-1)</f>
        <v>0</v>
      </c>
      <c r="U61" s="34">
        <f t="shared" si="3"/>
        <v>0</v>
      </c>
      <c r="V61" s="26" t="str">
        <f>Auto_Roster!O61</f>
        <v>Pending</v>
      </c>
      <c r="W61" s="26" t="e">
        <f ca="1">_xludf.TEXTJOIN("; ",TRUE,Auto_Roster!N61,IF(G61&gt;Settings!$B$19,"Approval required &gt; standard hours",""),IF(AND(F61&lt;&gt;"Off",G61=0),"Missing claimed hours",""))</f>
        <v>#NAME?</v>
      </c>
      <c r="X61" s="7"/>
    </row>
    <row r="62" spans="1:24" x14ac:dyDescent="0.35">
      <c r="A62" s="31">
        <f>Auto_Roster!A62</f>
        <v>46145</v>
      </c>
      <c r="B62" s="31">
        <f>Auto_Roster!B62</f>
        <v>46139</v>
      </c>
      <c r="C62" s="26" t="str">
        <f>Auto_Roster!C62</f>
        <v/>
      </c>
      <c r="D62" s="26" t="str">
        <f>Auto_Roster!D62</f>
        <v/>
      </c>
      <c r="E62" s="26" t="str">
        <f>Auto_Roster!E62</f>
        <v/>
      </c>
      <c r="F62" s="26" t="str">
        <f>Auto_Roster!G62</f>
        <v/>
      </c>
      <c r="G62" s="33">
        <f>Auto_Roster!J62</f>
        <v>0</v>
      </c>
      <c r="H62" s="33">
        <f>IF(G62&gt;Settings!$B$19,G62-Settings!$B$19,0)</f>
        <v>0</v>
      </c>
      <c r="I62" s="33">
        <f t="shared" si="0"/>
        <v>0</v>
      </c>
      <c r="J62" s="33">
        <f>IF(Auto_Roster!M62="Y",G62,0)</f>
        <v>0</v>
      </c>
      <c r="K62" s="33">
        <f>IF(Auto_Roster!L62="Y",G62,0)</f>
        <v>0</v>
      </c>
      <c r="L62" s="26" t="str">
        <f>Auto_Roster!K62</f>
        <v>N</v>
      </c>
      <c r="M62" s="34">
        <f>IF(L62="Y",Settings!$B$16,0)</f>
        <v>0</v>
      </c>
      <c r="N62" s="33">
        <f t="shared" si="1"/>
        <v>0</v>
      </c>
      <c r="O62" s="34">
        <f>N62*Settings!$B$17</f>
        <v>0</v>
      </c>
      <c r="P62" s="34">
        <f>IFERROR(VLOOKUP(C62,Employees!$A$4:$E$103,5,FALSE),Settings!$B$18)</f>
        <v>100</v>
      </c>
      <c r="Q62" s="34">
        <f t="shared" si="2"/>
        <v>0</v>
      </c>
      <c r="R62" s="34">
        <f>H62*P62*Settings!$B$13</f>
        <v>0</v>
      </c>
      <c r="S62" s="34">
        <f>J62*P62*(Settings!$B$14-1)</f>
        <v>0</v>
      </c>
      <c r="T62" s="34">
        <f>K62*P62*(Settings!$B$15-1)</f>
        <v>0</v>
      </c>
      <c r="U62" s="34">
        <f t="shared" si="3"/>
        <v>0</v>
      </c>
      <c r="V62" s="26" t="str">
        <f>Auto_Roster!O62</f>
        <v>Pending</v>
      </c>
      <c r="W62" s="26" t="e">
        <f ca="1">_xludf.TEXTJOIN("; ",TRUE,Auto_Roster!N62,IF(G62&gt;Settings!$B$19,"Approval required &gt; standard hours",""),IF(AND(F62&lt;&gt;"Off",G62=0),"Missing claimed hours",""))</f>
        <v>#NAME?</v>
      </c>
      <c r="X62" s="7"/>
    </row>
    <row r="63" spans="1:24" x14ac:dyDescent="0.35">
      <c r="A63" s="31">
        <f>Auto_Roster!A63</f>
        <v>46145</v>
      </c>
      <c r="B63" s="31">
        <f>Auto_Roster!B63</f>
        <v>46139</v>
      </c>
      <c r="C63" s="26" t="str">
        <f>Auto_Roster!C63</f>
        <v/>
      </c>
      <c r="D63" s="26" t="str">
        <f>Auto_Roster!D63</f>
        <v/>
      </c>
      <c r="E63" s="26" t="str">
        <f>Auto_Roster!E63</f>
        <v/>
      </c>
      <c r="F63" s="26" t="str">
        <f>Auto_Roster!G63</f>
        <v/>
      </c>
      <c r="G63" s="33">
        <f>Auto_Roster!J63</f>
        <v>0</v>
      </c>
      <c r="H63" s="33">
        <f>IF(G63&gt;Settings!$B$19,G63-Settings!$B$19,0)</f>
        <v>0</v>
      </c>
      <c r="I63" s="33">
        <f t="shared" si="0"/>
        <v>0</v>
      </c>
      <c r="J63" s="33">
        <f>IF(Auto_Roster!M63="Y",G63,0)</f>
        <v>0</v>
      </c>
      <c r="K63" s="33">
        <f>IF(Auto_Roster!L63="Y",G63,0)</f>
        <v>0</v>
      </c>
      <c r="L63" s="26" t="str">
        <f>Auto_Roster!K63</f>
        <v>N</v>
      </c>
      <c r="M63" s="34">
        <f>IF(L63="Y",Settings!$B$16,0)</f>
        <v>0</v>
      </c>
      <c r="N63" s="33">
        <f t="shared" si="1"/>
        <v>0</v>
      </c>
      <c r="O63" s="34">
        <f>N63*Settings!$B$17</f>
        <v>0</v>
      </c>
      <c r="P63" s="34">
        <f>IFERROR(VLOOKUP(C63,Employees!$A$4:$E$103,5,FALSE),Settings!$B$18)</f>
        <v>100</v>
      </c>
      <c r="Q63" s="34">
        <f t="shared" si="2"/>
        <v>0</v>
      </c>
      <c r="R63" s="34">
        <f>H63*P63*Settings!$B$13</f>
        <v>0</v>
      </c>
      <c r="S63" s="34">
        <f>J63*P63*(Settings!$B$14-1)</f>
        <v>0</v>
      </c>
      <c r="T63" s="34">
        <f>K63*P63*(Settings!$B$15-1)</f>
        <v>0</v>
      </c>
      <c r="U63" s="34">
        <f t="shared" si="3"/>
        <v>0</v>
      </c>
      <c r="V63" s="26" t="str">
        <f>Auto_Roster!O63</f>
        <v>Pending</v>
      </c>
      <c r="W63" s="26" t="e">
        <f ca="1">_xludf.TEXTJOIN("; ",TRUE,Auto_Roster!N63,IF(G63&gt;Settings!$B$19,"Approval required &gt; standard hours",""),IF(AND(F63&lt;&gt;"Off",G63=0),"Missing claimed hours",""))</f>
        <v>#NAME?</v>
      </c>
      <c r="X63" s="7"/>
    </row>
    <row r="64" spans="1:24" x14ac:dyDescent="0.35">
      <c r="A64" s="31">
        <f>Auto_Roster!A64</f>
        <v>46146</v>
      </c>
      <c r="B64" s="31">
        <f>Auto_Roster!B64</f>
        <v>46146</v>
      </c>
      <c r="C64" s="26" t="str">
        <f>Auto_Roster!C64</f>
        <v>E001</v>
      </c>
      <c r="D64" s="26" t="str">
        <f>Auto_Roster!D64</f>
        <v>Musiwa Khavalani</v>
      </c>
      <c r="E64" s="26">
        <f>Auto_Roster!E64</f>
        <v>0</v>
      </c>
      <c r="F64" s="26" t="e">
        <f>Auto_Roster!G64</f>
        <v>#N/A</v>
      </c>
      <c r="G64" s="33" t="e">
        <f>Auto_Roster!J64</f>
        <v>#N/A</v>
      </c>
      <c r="H64" s="33" t="e">
        <f>IF(G64&gt;Settings!$B$19,G64-Settings!$B$19,0)</f>
        <v>#N/A</v>
      </c>
      <c r="I64" s="33" t="e">
        <f t="shared" si="0"/>
        <v>#N/A</v>
      </c>
      <c r="J64" s="33">
        <f>IF(Auto_Roster!M64="Y",G64,0)</f>
        <v>0</v>
      </c>
      <c r="K64" s="33">
        <f>IF(Auto_Roster!L64="Y",G64,0)</f>
        <v>0</v>
      </c>
      <c r="L64" s="26" t="str">
        <f>Auto_Roster!K64</f>
        <v>N</v>
      </c>
      <c r="M64" s="34">
        <f>IF(L64="Y",Settings!$B$16,0)</f>
        <v>0</v>
      </c>
      <c r="N64" s="33" t="e">
        <f t="shared" si="1"/>
        <v>#N/A</v>
      </c>
      <c r="O64" s="34" t="e">
        <f>N64*Settings!$B$17</f>
        <v>#N/A</v>
      </c>
      <c r="P64" s="34">
        <f>IFERROR(VLOOKUP(C64,Employees!$A$4:$E$103,5,FALSE),Settings!$B$18)</f>
        <v>100</v>
      </c>
      <c r="Q64" s="34" t="e">
        <f t="shared" si="2"/>
        <v>#N/A</v>
      </c>
      <c r="R64" s="34" t="e">
        <f>H64*P64*Settings!$B$13</f>
        <v>#N/A</v>
      </c>
      <c r="S64" s="34">
        <f>J64*P64*(Settings!$B$14-1)</f>
        <v>0</v>
      </c>
      <c r="T64" s="34">
        <f>K64*P64*(Settings!$B$15-1)</f>
        <v>0</v>
      </c>
      <c r="U64" s="34" t="e">
        <f t="shared" si="3"/>
        <v>#N/A</v>
      </c>
      <c r="V64" s="26" t="str">
        <f>Auto_Roster!O64</f>
        <v>Pending</v>
      </c>
      <c r="W64" s="26" t="e">
        <f ca="1">_xludf.TEXTJOIN("; ",TRUE,Auto_Roster!N64,IF(G64&gt;Settings!$B$19,"Approval required &gt; standard hours",""),IF(AND(F64&lt;&gt;"Off",G64=0),"Missing claimed hours",""))</f>
        <v>#NAME?</v>
      </c>
      <c r="X64" s="7"/>
    </row>
    <row r="65" spans="1:24" x14ac:dyDescent="0.35">
      <c r="A65" s="31">
        <f>Auto_Roster!A65</f>
        <v>46146</v>
      </c>
      <c r="B65" s="31">
        <f>Auto_Roster!B65</f>
        <v>46146</v>
      </c>
      <c r="C65" s="26" t="str">
        <f>Auto_Roster!C65</f>
        <v>E002</v>
      </c>
      <c r="D65" s="26" t="str">
        <f>Auto_Roster!D65</f>
        <v>Mpho  Nembemhia</v>
      </c>
      <c r="E65" s="26" t="str">
        <f>Auto_Roster!E65</f>
        <v>B</v>
      </c>
      <c r="F65" s="26" t="str">
        <f>Auto_Roster!G65</f>
        <v>Night</v>
      </c>
      <c r="G65" s="33">
        <f>Auto_Roster!J65</f>
        <v>8</v>
      </c>
      <c r="H65" s="33">
        <f>IF(G65&gt;Settings!$B$19,G65-Settings!$B$19,0)</f>
        <v>0</v>
      </c>
      <c r="I65" s="33">
        <f t="shared" si="0"/>
        <v>8</v>
      </c>
      <c r="J65" s="33">
        <f>IF(Auto_Roster!M65="Y",G65,0)</f>
        <v>0</v>
      </c>
      <c r="K65" s="33">
        <f>IF(Auto_Roster!L65="Y",G65,0)</f>
        <v>0</v>
      </c>
      <c r="L65" s="26" t="str">
        <f>Auto_Roster!K65</f>
        <v>N</v>
      </c>
      <c r="M65" s="34">
        <f>IF(L65="Y",Settings!$B$16,0)</f>
        <v>0</v>
      </c>
      <c r="N65" s="33">
        <f t="shared" si="1"/>
        <v>8</v>
      </c>
      <c r="O65" s="34">
        <f>N65*Settings!$B$17</f>
        <v>0</v>
      </c>
      <c r="P65" s="34">
        <f>IFERROR(VLOOKUP(C65,Employees!$A$4:$E$103,5,FALSE),Settings!$B$18)</f>
        <v>100</v>
      </c>
      <c r="Q65" s="34">
        <f t="shared" si="2"/>
        <v>800</v>
      </c>
      <c r="R65" s="34">
        <f>H65*P65*Settings!$B$13</f>
        <v>0</v>
      </c>
      <c r="S65" s="34">
        <f>J65*P65*(Settings!$B$14-1)</f>
        <v>0</v>
      </c>
      <c r="T65" s="34">
        <f>K65*P65*(Settings!$B$15-1)</f>
        <v>0</v>
      </c>
      <c r="U65" s="34">
        <f t="shared" si="3"/>
        <v>800</v>
      </c>
      <c r="V65" s="26" t="str">
        <f>Auto_Roster!O65</f>
        <v>Pending</v>
      </c>
      <c r="W65" s="26" t="e">
        <f ca="1">_xludf.TEXTJOIN("; ",TRUE,Auto_Roster!N65,IF(G65&gt;Settings!$B$19,"Approval required &gt; standard hours",""),IF(AND(F65&lt;&gt;"Off",G65=0),"Missing claimed hours",""))</f>
        <v>#NAME?</v>
      </c>
      <c r="X65" s="7"/>
    </row>
    <row r="66" spans="1:24" x14ac:dyDescent="0.35">
      <c r="A66" s="31">
        <f>Auto_Roster!A66</f>
        <v>46146</v>
      </c>
      <c r="B66" s="31">
        <f>Auto_Roster!B66</f>
        <v>46146</v>
      </c>
      <c r="C66" s="26" t="str">
        <f>Auto_Roster!C66</f>
        <v>E003</v>
      </c>
      <c r="D66" s="26" t="str">
        <f>Auto_Roster!D66</f>
        <v>Dimpho Makhafola</v>
      </c>
      <c r="E66" s="26" t="str">
        <f>Auto_Roster!E66</f>
        <v>C</v>
      </c>
      <c r="F66" s="26" t="str">
        <f>Auto_Roster!G66</f>
        <v>Evening</v>
      </c>
      <c r="G66" s="33">
        <f>Auto_Roster!J66</f>
        <v>8</v>
      </c>
      <c r="H66" s="33">
        <f>IF(G66&gt;Settings!$B$19,G66-Settings!$B$19,0)</f>
        <v>0</v>
      </c>
      <c r="I66" s="33">
        <f t="shared" si="0"/>
        <v>8</v>
      </c>
      <c r="J66" s="33">
        <f>IF(Auto_Roster!M66="Y",G66,0)</f>
        <v>0</v>
      </c>
      <c r="K66" s="33">
        <f>IF(Auto_Roster!L66="Y",G66,0)</f>
        <v>0</v>
      </c>
      <c r="L66" s="26" t="str">
        <f>Auto_Roster!K66</f>
        <v>N</v>
      </c>
      <c r="M66" s="34">
        <f>IF(L66="Y",Settings!$B$16,0)</f>
        <v>0</v>
      </c>
      <c r="N66" s="33">
        <f t="shared" si="1"/>
        <v>0</v>
      </c>
      <c r="O66" s="34">
        <f>N66*Settings!$B$17</f>
        <v>0</v>
      </c>
      <c r="P66" s="34">
        <f>IFERROR(VLOOKUP(C66,Employees!$A$4:$E$103,5,FALSE),Settings!$B$18)</f>
        <v>100</v>
      </c>
      <c r="Q66" s="34">
        <f t="shared" si="2"/>
        <v>800</v>
      </c>
      <c r="R66" s="34">
        <f>H66*P66*Settings!$B$13</f>
        <v>0</v>
      </c>
      <c r="S66" s="34">
        <f>J66*P66*(Settings!$B$14-1)</f>
        <v>0</v>
      </c>
      <c r="T66" s="34">
        <f>K66*P66*(Settings!$B$15-1)</f>
        <v>0</v>
      </c>
      <c r="U66" s="34">
        <f t="shared" si="3"/>
        <v>800</v>
      </c>
      <c r="V66" s="26" t="str">
        <f>Auto_Roster!O66</f>
        <v>Pending</v>
      </c>
      <c r="W66" s="26" t="e">
        <f ca="1">_xludf.TEXTJOIN("; ",TRUE,Auto_Roster!N66,IF(G66&gt;Settings!$B$19,"Approval required &gt; standard hours",""),IF(AND(F66&lt;&gt;"Off",G66=0),"Missing claimed hours",""))</f>
        <v>#NAME?</v>
      </c>
      <c r="X66" s="7"/>
    </row>
    <row r="67" spans="1:24" x14ac:dyDescent="0.35">
      <c r="A67" s="31">
        <f>Auto_Roster!A67</f>
        <v>46146</v>
      </c>
      <c r="B67" s="31">
        <f>Auto_Roster!B67</f>
        <v>46146</v>
      </c>
      <c r="C67" s="26" t="str">
        <f>Auto_Roster!C67</f>
        <v>E004</v>
      </c>
      <c r="D67" s="26" t="str">
        <f>Auto_Roster!D67</f>
        <v>Bashii Fall</v>
      </c>
      <c r="E67" s="26" t="str">
        <f>Auto_Roster!E67</f>
        <v>D</v>
      </c>
      <c r="F67" s="26" t="str">
        <f>Auto_Roster!G67</f>
        <v>Day</v>
      </c>
      <c r="G67" s="33">
        <f>Auto_Roster!J67</f>
        <v>8</v>
      </c>
      <c r="H67" s="33">
        <f>IF(G67&gt;Settings!$B$19,G67-Settings!$B$19,0)</f>
        <v>0</v>
      </c>
      <c r="I67" s="33">
        <f t="shared" si="0"/>
        <v>8</v>
      </c>
      <c r="J67" s="33">
        <f>IF(Auto_Roster!M67="Y",G67,0)</f>
        <v>0</v>
      </c>
      <c r="K67" s="33">
        <f>IF(Auto_Roster!L67="Y",G67,0)</f>
        <v>0</v>
      </c>
      <c r="L67" s="26" t="str">
        <f>Auto_Roster!K67</f>
        <v>N</v>
      </c>
      <c r="M67" s="34">
        <f>IF(L67="Y",Settings!$B$16,0)</f>
        <v>0</v>
      </c>
      <c r="N67" s="33">
        <f t="shared" si="1"/>
        <v>0</v>
      </c>
      <c r="O67" s="34">
        <f>N67*Settings!$B$17</f>
        <v>0</v>
      </c>
      <c r="P67" s="34">
        <f>IFERROR(VLOOKUP(C67,Employees!$A$4:$E$103,5,FALSE),Settings!$B$18)</f>
        <v>100</v>
      </c>
      <c r="Q67" s="34">
        <f t="shared" si="2"/>
        <v>800</v>
      </c>
      <c r="R67" s="34">
        <f>H67*P67*Settings!$B$13</f>
        <v>0</v>
      </c>
      <c r="S67" s="34">
        <f>J67*P67*(Settings!$B$14-1)</f>
        <v>0</v>
      </c>
      <c r="T67" s="34">
        <f>K67*P67*(Settings!$B$15-1)</f>
        <v>0</v>
      </c>
      <c r="U67" s="34">
        <f t="shared" si="3"/>
        <v>800</v>
      </c>
      <c r="V67" s="26" t="str">
        <f>Auto_Roster!O67</f>
        <v>Pending</v>
      </c>
      <c r="W67" s="26" t="e">
        <f ca="1">_xludf.TEXTJOIN("; ",TRUE,Auto_Roster!N67,IF(G67&gt;Settings!$B$19,"Approval required &gt; standard hours",""),IF(AND(F67&lt;&gt;"Off",G67=0),"Missing claimed hours",""))</f>
        <v>#NAME?</v>
      </c>
      <c r="X67" s="7"/>
    </row>
    <row r="68" spans="1:24" x14ac:dyDescent="0.35">
      <c r="A68" s="31">
        <f>Auto_Roster!A68</f>
        <v>46146</v>
      </c>
      <c r="B68" s="31">
        <f>Auto_Roster!B68</f>
        <v>46146</v>
      </c>
      <c r="C68" s="26" t="str">
        <f>Auto_Roster!C68</f>
        <v>E005</v>
      </c>
      <c r="D68" s="26" t="str">
        <f>Auto_Roster!D68</f>
        <v>Lesego Aphane</v>
      </c>
      <c r="E68" s="26" t="str">
        <f>Auto_Roster!E68</f>
        <v>A</v>
      </c>
      <c r="F68" s="26" t="str">
        <f>Auto_Roster!G68</f>
        <v>Off</v>
      </c>
      <c r="G68" s="33">
        <f>Auto_Roster!J68</f>
        <v>0</v>
      </c>
      <c r="H68" s="33">
        <f>IF(G68&gt;Settings!$B$19,G68-Settings!$B$19,0)</f>
        <v>0</v>
      </c>
      <c r="I68" s="33">
        <f t="shared" ref="I68:I131" si="4">MAX(0,G68-H68)</f>
        <v>0</v>
      </c>
      <c r="J68" s="33">
        <f>IF(Auto_Roster!M68="Y",G68,0)</f>
        <v>0</v>
      </c>
      <c r="K68" s="33">
        <f>IF(Auto_Roster!L68="Y",G68,0)</f>
        <v>0</v>
      </c>
      <c r="L68" s="26" t="str">
        <f>Auto_Roster!K68</f>
        <v>N</v>
      </c>
      <c r="M68" s="34">
        <f>IF(L68="Y",Settings!$B$16,0)</f>
        <v>0</v>
      </c>
      <c r="N68" s="33">
        <f t="shared" ref="N68:N131" si="5">IF(F68="Night",G68,0)</f>
        <v>0</v>
      </c>
      <c r="O68" s="34">
        <f>N68*Settings!$B$17</f>
        <v>0</v>
      </c>
      <c r="P68" s="34">
        <f>IFERROR(VLOOKUP(C68,Employees!$A$4:$E$103,5,FALSE),Settings!$B$18)</f>
        <v>100</v>
      </c>
      <c r="Q68" s="34">
        <f t="shared" ref="Q68:Q131" si="6">I68*P68</f>
        <v>0</v>
      </c>
      <c r="R68" s="34">
        <f>H68*P68*Settings!$B$13</f>
        <v>0</v>
      </c>
      <c r="S68" s="34">
        <f>J68*P68*(Settings!$B$14-1)</f>
        <v>0</v>
      </c>
      <c r="T68" s="34">
        <f>K68*P68*(Settings!$B$15-1)</f>
        <v>0</v>
      </c>
      <c r="U68" s="34">
        <f t="shared" ref="U68:U131" si="7">SUM(Q68:T68)+M68+O68</f>
        <v>0</v>
      </c>
      <c r="V68" s="26" t="str">
        <f>Auto_Roster!O68</f>
        <v>Pending</v>
      </c>
      <c r="W68" s="26" t="e">
        <f ca="1">_xludf.TEXTJOIN("; ",TRUE,Auto_Roster!N68,IF(G68&gt;Settings!$B$19,"Approval required &gt; standard hours",""),IF(AND(F68&lt;&gt;"Off",G68=0),"Missing claimed hours",""))</f>
        <v>#NAME?</v>
      </c>
      <c r="X68" s="7"/>
    </row>
    <row r="69" spans="1:24" x14ac:dyDescent="0.35">
      <c r="A69" s="31">
        <f>Auto_Roster!A69</f>
        <v>46146</v>
      </c>
      <c r="B69" s="31">
        <f>Auto_Roster!B69</f>
        <v>46146</v>
      </c>
      <c r="C69" s="26" t="str">
        <f>Auto_Roster!C69</f>
        <v>E006</v>
      </c>
      <c r="D69" s="26" t="str">
        <f>Auto_Roster!D69</f>
        <v>Nhalnahla</v>
      </c>
      <c r="E69" s="26" t="str">
        <f>Auto_Roster!E69</f>
        <v>B</v>
      </c>
      <c r="F69" s="26" t="str">
        <f>Auto_Roster!G69</f>
        <v>Night</v>
      </c>
      <c r="G69" s="33">
        <f>Auto_Roster!J69</f>
        <v>8</v>
      </c>
      <c r="H69" s="33">
        <f>IF(G69&gt;Settings!$B$19,G69-Settings!$B$19,0)</f>
        <v>0</v>
      </c>
      <c r="I69" s="33">
        <f t="shared" si="4"/>
        <v>8</v>
      </c>
      <c r="J69" s="33">
        <f>IF(Auto_Roster!M69="Y",G69,0)</f>
        <v>0</v>
      </c>
      <c r="K69" s="33">
        <f>IF(Auto_Roster!L69="Y",G69,0)</f>
        <v>0</v>
      </c>
      <c r="L69" s="26" t="str">
        <f>Auto_Roster!K69</f>
        <v>N</v>
      </c>
      <c r="M69" s="34">
        <f>IF(L69="Y",Settings!$B$16,0)</f>
        <v>0</v>
      </c>
      <c r="N69" s="33">
        <f t="shared" si="5"/>
        <v>8</v>
      </c>
      <c r="O69" s="34">
        <f>N69*Settings!$B$17</f>
        <v>0</v>
      </c>
      <c r="P69" s="34">
        <f>IFERROR(VLOOKUP(C69,Employees!$A$4:$E$103,5,FALSE),Settings!$B$18)</f>
        <v>100</v>
      </c>
      <c r="Q69" s="34">
        <f t="shared" si="6"/>
        <v>800</v>
      </c>
      <c r="R69" s="34">
        <f>H69*P69*Settings!$B$13</f>
        <v>0</v>
      </c>
      <c r="S69" s="34">
        <f>J69*P69*(Settings!$B$14-1)</f>
        <v>0</v>
      </c>
      <c r="T69" s="34">
        <f>K69*P69*(Settings!$B$15-1)</f>
        <v>0</v>
      </c>
      <c r="U69" s="34">
        <f t="shared" si="7"/>
        <v>800</v>
      </c>
      <c r="V69" s="26" t="str">
        <f>Auto_Roster!O69</f>
        <v>Pending</v>
      </c>
      <c r="W69" s="26" t="e">
        <f ca="1">_xludf.TEXTJOIN("; ",TRUE,Auto_Roster!N69,IF(G69&gt;Settings!$B$19,"Approval required &gt; standard hours",""),IF(AND(F69&lt;&gt;"Off",G69=0),"Missing claimed hours",""))</f>
        <v>#NAME?</v>
      </c>
      <c r="X69" s="7"/>
    </row>
    <row r="70" spans="1:24" x14ac:dyDescent="0.35">
      <c r="A70" s="31">
        <f>Auto_Roster!A70</f>
        <v>46146</v>
      </c>
      <c r="B70" s="31">
        <f>Auto_Roster!B70</f>
        <v>46146</v>
      </c>
      <c r="C70" s="26" t="str">
        <f>Auto_Roster!C70</f>
        <v>E007</v>
      </c>
      <c r="D70" s="26" t="str">
        <f>Auto_Roster!D70</f>
        <v>Joe</v>
      </c>
      <c r="E70" s="26" t="str">
        <f>Auto_Roster!E70</f>
        <v>C</v>
      </c>
      <c r="F70" s="26" t="str">
        <f>Auto_Roster!G70</f>
        <v>Evening</v>
      </c>
      <c r="G70" s="33">
        <f>Auto_Roster!J70</f>
        <v>8</v>
      </c>
      <c r="H70" s="33">
        <f>IF(G70&gt;Settings!$B$19,G70-Settings!$B$19,0)</f>
        <v>0</v>
      </c>
      <c r="I70" s="33">
        <f t="shared" si="4"/>
        <v>8</v>
      </c>
      <c r="J70" s="33">
        <f>IF(Auto_Roster!M70="Y",G70,0)</f>
        <v>0</v>
      </c>
      <c r="K70" s="33">
        <f>IF(Auto_Roster!L70="Y",G70,0)</f>
        <v>0</v>
      </c>
      <c r="L70" s="26" t="str">
        <f>Auto_Roster!K70</f>
        <v>N</v>
      </c>
      <c r="M70" s="34">
        <f>IF(L70="Y",Settings!$B$16,0)</f>
        <v>0</v>
      </c>
      <c r="N70" s="33">
        <f t="shared" si="5"/>
        <v>0</v>
      </c>
      <c r="O70" s="34">
        <f>N70*Settings!$B$17</f>
        <v>0</v>
      </c>
      <c r="P70" s="34">
        <f>IFERROR(VLOOKUP(C70,Employees!$A$4:$E$103,5,FALSE),Settings!$B$18)</f>
        <v>100</v>
      </c>
      <c r="Q70" s="34">
        <f t="shared" si="6"/>
        <v>800</v>
      </c>
      <c r="R70" s="34">
        <f>H70*P70*Settings!$B$13</f>
        <v>0</v>
      </c>
      <c r="S70" s="34">
        <f>J70*P70*(Settings!$B$14-1)</f>
        <v>0</v>
      </c>
      <c r="T70" s="34">
        <f>K70*P70*(Settings!$B$15-1)</f>
        <v>0</v>
      </c>
      <c r="U70" s="34">
        <f t="shared" si="7"/>
        <v>800</v>
      </c>
      <c r="V70" s="26" t="str">
        <f>Auto_Roster!O70</f>
        <v>Pending</v>
      </c>
      <c r="W70" s="26" t="e">
        <f ca="1">_xludf.TEXTJOIN("; ",TRUE,Auto_Roster!N70,IF(G70&gt;Settings!$B$19,"Approval required &gt; standard hours",""),IF(AND(F70&lt;&gt;"Off",G70=0),"Missing claimed hours",""))</f>
        <v>#NAME?</v>
      </c>
      <c r="X70" s="7"/>
    </row>
    <row r="71" spans="1:24" x14ac:dyDescent="0.35">
      <c r="A71" s="31">
        <f>Auto_Roster!A71</f>
        <v>46146</v>
      </c>
      <c r="B71" s="31">
        <f>Auto_Roster!B71</f>
        <v>46146</v>
      </c>
      <c r="C71" s="26" t="str">
        <f>Auto_Roster!C71</f>
        <v>E008</v>
      </c>
      <c r="D71" s="26" t="str">
        <f>Auto_Roster!D71</f>
        <v>Tim</v>
      </c>
      <c r="E71" s="26" t="str">
        <f>Auto_Roster!E71</f>
        <v>D</v>
      </c>
      <c r="F71" s="26" t="str">
        <f>Auto_Roster!G71</f>
        <v>Day</v>
      </c>
      <c r="G71" s="33">
        <f>Auto_Roster!J71</f>
        <v>8</v>
      </c>
      <c r="H71" s="33">
        <f>IF(G71&gt;Settings!$B$19,G71-Settings!$B$19,0)</f>
        <v>0</v>
      </c>
      <c r="I71" s="33">
        <f t="shared" si="4"/>
        <v>8</v>
      </c>
      <c r="J71" s="33">
        <f>IF(Auto_Roster!M71="Y",G71,0)</f>
        <v>0</v>
      </c>
      <c r="K71" s="33">
        <f>IF(Auto_Roster!L71="Y",G71,0)</f>
        <v>0</v>
      </c>
      <c r="L71" s="26" t="str">
        <f>Auto_Roster!K71</f>
        <v>N</v>
      </c>
      <c r="M71" s="34">
        <f>IF(L71="Y",Settings!$B$16,0)</f>
        <v>0</v>
      </c>
      <c r="N71" s="33">
        <f t="shared" si="5"/>
        <v>0</v>
      </c>
      <c r="O71" s="34">
        <f>N71*Settings!$B$17</f>
        <v>0</v>
      </c>
      <c r="P71" s="34">
        <f>IFERROR(VLOOKUP(C71,Employees!$A$4:$E$103,5,FALSE),Settings!$B$18)</f>
        <v>100</v>
      </c>
      <c r="Q71" s="34">
        <f t="shared" si="6"/>
        <v>800</v>
      </c>
      <c r="R71" s="34">
        <f>H71*P71*Settings!$B$13</f>
        <v>0</v>
      </c>
      <c r="S71" s="34">
        <f>J71*P71*(Settings!$B$14-1)</f>
        <v>0</v>
      </c>
      <c r="T71" s="34">
        <f>K71*P71*(Settings!$B$15-1)</f>
        <v>0</v>
      </c>
      <c r="U71" s="34">
        <f t="shared" si="7"/>
        <v>800</v>
      </c>
      <c r="V71" s="26" t="str">
        <f>Auto_Roster!O71</f>
        <v>Pending</v>
      </c>
      <c r="W71" s="26" t="e">
        <f ca="1">_xludf.TEXTJOIN("; ",TRUE,Auto_Roster!N71,IF(G71&gt;Settings!$B$19,"Approval required &gt; standard hours",""),IF(AND(F71&lt;&gt;"Off",G71=0),"Missing claimed hours",""))</f>
        <v>#NAME?</v>
      </c>
      <c r="X71" s="7"/>
    </row>
    <row r="72" spans="1:24" x14ac:dyDescent="0.35">
      <c r="A72" s="31">
        <f>Auto_Roster!A72</f>
        <v>46146</v>
      </c>
      <c r="B72" s="31">
        <f>Auto_Roster!B72</f>
        <v>46146</v>
      </c>
      <c r="C72" s="26" t="str">
        <f>Auto_Roster!C72</f>
        <v>E009</v>
      </c>
      <c r="D72" s="26" t="str">
        <f>Auto_Roster!D72</f>
        <v>Frank</v>
      </c>
      <c r="E72" s="26" t="str">
        <f>Auto_Roster!E72</f>
        <v>A</v>
      </c>
      <c r="F72" s="26" t="str">
        <f>Auto_Roster!G72</f>
        <v>Off</v>
      </c>
      <c r="G72" s="33">
        <f>Auto_Roster!J72</f>
        <v>0</v>
      </c>
      <c r="H72" s="33">
        <f>IF(G72&gt;Settings!$B$19,G72-Settings!$B$19,0)</f>
        <v>0</v>
      </c>
      <c r="I72" s="33">
        <f t="shared" si="4"/>
        <v>0</v>
      </c>
      <c r="J72" s="33">
        <f>IF(Auto_Roster!M72="Y",G72,0)</f>
        <v>0</v>
      </c>
      <c r="K72" s="33">
        <f>IF(Auto_Roster!L72="Y",G72,0)</f>
        <v>0</v>
      </c>
      <c r="L72" s="26" t="str">
        <f>Auto_Roster!K72</f>
        <v>N</v>
      </c>
      <c r="M72" s="34">
        <f>IF(L72="Y",Settings!$B$16,0)</f>
        <v>0</v>
      </c>
      <c r="N72" s="33">
        <f t="shared" si="5"/>
        <v>0</v>
      </c>
      <c r="O72" s="34">
        <f>N72*Settings!$B$17</f>
        <v>0</v>
      </c>
      <c r="P72" s="34">
        <f>IFERROR(VLOOKUP(C72,Employees!$A$4:$E$103,5,FALSE),Settings!$B$18)</f>
        <v>100</v>
      </c>
      <c r="Q72" s="34">
        <f t="shared" si="6"/>
        <v>0</v>
      </c>
      <c r="R72" s="34">
        <f>H72*P72*Settings!$B$13</f>
        <v>0</v>
      </c>
      <c r="S72" s="34">
        <f>J72*P72*(Settings!$B$14-1)</f>
        <v>0</v>
      </c>
      <c r="T72" s="34">
        <f>K72*P72*(Settings!$B$15-1)</f>
        <v>0</v>
      </c>
      <c r="U72" s="34">
        <f t="shared" si="7"/>
        <v>0</v>
      </c>
      <c r="V72" s="26" t="str">
        <f>Auto_Roster!O72</f>
        <v>Pending</v>
      </c>
      <c r="W72" s="26" t="e">
        <f ca="1">_xludf.TEXTJOIN("; ",TRUE,Auto_Roster!N72,IF(G72&gt;Settings!$B$19,"Approval required &gt; standard hours",""),IF(AND(F72&lt;&gt;"Off",G72=0),"Missing claimed hours",""))</f>
        <v>#NAME?</v>
      </c>
      <c r="X72" s="7"/>
    </row>
    <row r="73" spans="1:24" x14ac:dyDescent="0.35">
      <c r="A73" s="31">
        <f>Auto_Roster!A73</f>
        <v>46146</v>
      </c>
      <c r="B73" s="31">
        <f>Auto_Roster!B73</f>
        <v>46146</v>
      </c>
      <c r="C73" s="26" t="str">
        <f>Auto_Roster!C73</f>
        <v/>
      </c>
      <c r="D73" s="26" t="str">
        <f>Auto_Roster!D73</f>
        <v/>
      </c>
      <c r="E73" s="26" t="str">
        <f>Auto_Roster!E73</f>
        <v/>
      </c>
      <c r="F73" s="26" t="str">
        <f>Auto_Roster!G73</f>
        <v/>
      </c>
      <c r="G73" s="33">
        <f>Auto_Roster!J73</f>
        <v>0</v>
      </c>
      <c r="H73" s="33">
        <f>IF(G73&gt;Settings!$B$19,G73-Settings!$B$19,0)</f>
        <v>0</v>
      </c>
      <c r="I73" s="33">
        <f t="shared" si="4"/>
        <v>0</v>
      </c>
      <c r="J73" s="33">
        <f>IF(Auto_Roster!M73="Y",G73,0)</f>
        <v>0</v>
      </c>
      <c r="K73" s="33">
        <f>IF(Auto_Roster!L73="Y",G73,0)</f>
        <v>0</v>
      </c>
      <c r="L73" s="26" t="str">
        <f>Auto_Roster!K73</f>
        <v>N</v>
      </c>
      <c r="M73" s="34">
        <f>IF(L73="Y",Settings!$B$16,0)</f>
        <v>0</v>
      </c>
      <c r="N73" s="33">
        <f t="shared" si="5"/>
        <v>0</v>
      </c>
      <c r="O73" s="34">
        <f>N73*Settings!$B$17</f>
        <v>0</v>
      </c>
      <c r="P73" s="34">
        <f>IFERROR(VLOOKUP(C73,Employees!$A$4:$E$103,5,FALSE),Settings!$B$18)</f>
        <v>100</v>
      </c>
      <c r="Q73" s="34">
        <f t="shared" si="6"/>
        <v>0</v>
      </c>
      <c r="R73" s="34">
        <f>H73*P73*Settings!$B$13</f>
        <v>0</v>
      </c>
      <c r="S73" s="34">
        <f>J73*P73*(Settings!$B$14-1)</f>
        <v>0</v>
      </c>
      <c r="T73" s="34">
        <f>K73*P73*(Settings!$B$15-1)</f>
        <v>0</v>
      </c>
      <c r="U73" s="34">
        <f t="shared" si="7"/>
        <v>0</v>
      </c>
      <c r="V73" s="26" t="str">
        <f>Auto_Roster!O73</f>
        <v>Pending</v>
      </c>
      <c r="W73" s="26" t="e">
        <f ca="1">_xludf.TEXTJOIN("; ",TRUE,Auto_Roster!N73,IF(G73&gt;Settings!$B$19,"Approval required &gt; standard hours",""),IF(AND(F73&lt;&gt;"Off",G73=0),"Missing claimed hours",""))</f>
        <v>#NAME?</v>
      </c>
      <c r="X73" s="7"/>
    </row>
    <row r="74" spans="1:24" x14ac:dyDescent="0.35">
      <c r="A74" s="31">
        <f>Auto_Roster!A74</f>
        <v>46146</v>
      </c>
      <c r="B74" s="31">
        <f>Auto_Roster!B74</f>
        <v>46146</v>
      </c>
      <c r="C74" s="26" t="str">
        <f>Auto_Roster!C74</f>
        <v/>
      </c>
      <c r="D74" s="26" t="str">
        <f>Auto_Roster!D74</f>
        <v/>
      </c>
      <c r="E74" s="26" t="str">
        <f>Auto_Roster!E74</f>
        <v/>
      </c>
      <c r="F74" s="26" t="str">
        <f>Auto_Roster!G74</f>
        <v/>
      </c>
      <c r="G74" s="33">
        <f>Auto_Roster!J74</f>
        <v>0</v>
      </c>
      <c r="H74" s="33">
        <f>IF(G74&gt;Settings!$B$19,G74-Settings!$B$19,0)</f>
        <v>0</v>
      </c>
      <c r="I74" s="33">
        <f t="shared" si="4"/>
        <v>0</v>
      </c>
      <c r="J74" s="33">
        <f>IF(Auto_Roster!M74="Y",G74,0)</f>
        <v>0</v>
      </c>
      <c r="K74" s="33">
        <f>IF(Auto_Roster!L74="Y",G74,0)</f>
        <v>0</v>
      </c>
      <c r="L74" s="26" t="str">
        <f>Auto_Roster!K74</f>
        <v>N</v>
      </c>
      <c r="M74" s="34">
        <f>IF(L74="Y",Settings!$B$16,0)</f>
        <v>0</v>
      </c>
      <c r="N74" s="33">
        <f t="shared" si="5"/>
        <v>0</v>
      </c>
      <c r="O74" s="34">
        <f>N74*Settings!$B$17</f>
        <v>0</v>
      </c>
      <c r="P74" s="34">
        <f>IFERROR(VLOOKUP(C74,Employees!$A$4:$E$103,5,FALSE),Settings!$B$18)</f>
        <v>100</v>
      </c>
      <c r="Q74" s="34">
        <f t="shared" si="6"/>
        <v>0</v>
      </c>
      <c r="R74" s="34">
        <f>H74*P74*Settings!$B$13</f>
        <v>0</v>
      </c>
      <c r="S74" s="34">
        <f>J74*P74*(Settings!$B$14-1)</f>
        <v>0</v>
      </c>
      <c r="T74" s="34">
        <f>K74*P74*(Settings!$B$15-1)</f>
        <v>0</v>
      </c>
      <c r="U74" s="34">
        <f t="shared" si="7"/>
        <v>0</v>
      </c>
      <c r="V74" s="26" t="str">
        <f>Auto_Roster!O74</f>
        <v>Pending</v>
      </c>
      <c r="W74" s="26" t="e">
        <f ca="1">_xludf.TEXTJOIN("; ",TRUE,Auto_Roster!N74,IF(G74&gt;Settings!$B$19,"Approval required &gt; standard hours",""),IF(AND(F74&lt;&gt;"Off",G74=0),"Missing claimed hours",""))</f>
        <v>#NAME?</v>
      </c>
      <c r="X74" s="7"/>
    </row>
    <row r="75" spans="1:24" x14ac:dyDescent="0.35">
      <c r="A75" s="31">
        <f>Auto_Roster!A75</f>
        <v>46146</v>
      </c>
      <c r="B75" s="31">
        <f>Auto_Roster!B75</f>
        <v>46146</v>
      </c>
      <c r="C75" s="26" t="str">
        <f>Auto_Roster!C75</f>
        <v/>
      </c>
      <c r="D75" s="26" t="str">
        <f>Auto_Roster!D75</f>
        <v/>
      </c>
      <c r="E75" s="26" t="str">
        <f>Auto_Roster!E75</f>
        <v/>
      </c>
      <c r="F75" s="26" t="str">
        <f>Auto_Roster!G75</f>
        <v/>
      </c>
      <c r="G75" s="33">
        <f>Auto_Roster!J75</f>
        <v>0</v>
      </c>
      <c r="H75" s="33">
        <f>IF(G75&gt;Settings!$B$19,G75-Settings!$B$19,0)</f>
        <v>0</v>
      </c>
      <c r="I75" s="33">
        <f t="shared" si="4"/>
        <v>0</v>
      </c>
      <c r="J75" s="33">
        <f>IF(Auto_Roster!M75="Y",G75,0)</f>
        <v>0</v>
      </c>
      <c r="K75" s="33">
        <f>IF(Auto_Roster!L75="Y",G75,0)</f>
        <v>0</v>
      </c>
      <c r="L75" s="26" t="str">
        <f>Auto_Roster!K75</f>
        <v>N</v>
      </c>
      <c r="M75" s="34">
        <f>IF(L75="Y",Settings!$B$16,0)</f>
        <v>0</v>
      </c>
      <c r="N75" s="33">
        <f t="shared" si="5"/>
        <v>0</v>
      </c>
      <c r="O75" s="34">
        <f>N75*Settings!$B$17</f>
        <v>0</v>
      </c>
      <c r="P75" s="34">
        <f>IFERROR(VLOOKUP(C75,Employees!$A$4:$E$103,5,FALSE),Settings!$B$18)</f>
        <v>100</v>
      </c>
      <c r="Q75" s="34">
        <f t="shared" si="6"/>
        <v>0</v>
      </c>
      <c r="R75" s="34">
        <f>H75*P75*Settings!$B$13</f>
        <v>0</v>
      </c>
      <c r="S75" s="34">
        <f>J75*P75*(Settings!$B$14-1)</f>
        <v>0</v>
      </c>
      <c r="T75" s="34">
        <f>K75*P75*(Settings!$B$15-1)</f>
        <v>0</v>
      </c>
      <c r="U75" s="34">
        <f t="shared" si="7"/>
        <v>0</v>
      </c>
      <c r="V75" s="26" t="str">
        <f>Auto_Roster!O75</f>
        <v>Pending</v>
      </c>
      <c r="W75" s="26" t="e">
        <f ca="1">_xludf.TEXTJOIN("; ",TRUE,Auto_Roster!N75,IF(G75&gt;Settings!$B$19,"Approval required &gt; standard hours",""),IF(AND(F75&lt;&gt;"Off",G75=0),"Missing claimed hours",""))</f>
        <v>#NAME?</v>
      </c>
      <c r="X75" s="7"/>
    </row>
    <row r="76" spans="1:24" x14ac:dyDescent="0.35">
      <c r="A76" s="31">
        <f>Auto_Roster!A76</f>
        <v>46146</v>
      </c>
      <c r="B76" s="31">
        <f>Auto_Roster!B76</f>
        <v>46146</v>
      </c>
      <c r="C76" s="26" t="str">
        <f>Auto_Roster!C76</f>
        <v/>
      </c>
      <c r="D76" s="26" t="str">
        <f>Auto_Roster!D76</f>
        <v/>
      </c>
      <c r="E76" s="26" t="str">
        <f>Auto_Roster!E76</f>
        <v/>
      </c>
      <c r="F76" s="26" t="str">
        <f>Auto_Roster!G76</f>
        <v/>
      </c>
      <c r="G76" s="33">
        <f>Auto_Roster!J76</f>
        <v>0</v>
      </c>
      <c r="H76" s="33">
        <f>IF(G76&gt;Settings!$B$19,G76-Settings!$B$19,0)</f>
        <v>0</v>
      </c>
      <c r="I76" s="33">
        <f t="shared" si="4"/>
        <v>0</v>
      </c>
      <c r="J76" s="33">
        <f>IF(Auto_Roster!M76="Y",G76,0)</f>
        <v>0</v>
      </c>
      <c r="K76" s="33">
        <f>IF(Auto_Roster!L76="Y",G76,0)</f>
        <v>0</v>
      </c>
      <c r="L76" s="26" t="str">
        <f>Auto_Roster!K76</f>
        <v>N</v>
      </c>
      <c r="M76" s="34">
        <f>IF(L76="Y",Settings!$B$16,0)</f>
        <v>0</v>
      </c>
      <c r="N76" s="33">
        <f t="shared" si="5"/>
        <v>0</v>
      </c>
      <c r="O76" s="34">
        <f>N76*Settings!$B$17</f>
        <v>0</v>
      </c>
      <c r="P76" s="34">
        <f>IFERROR(VLOOKUP(C76,Employees!$A$4:$E$103,5,FALSE),Settings!$B$18)</f>
        <v>100</v>
      </c>
      <c r="Q76" s="34">
        <f t="shared" si="6"/>
        <v>0</v>
      </c>
      <c r="R76" s="34">
        <f>H76*P76*Settings!$B$13</f>
        <v>0</v>
      </c>
      <c r="S76" s="34">
        <f>J76*P76*(Settings!$B$14-1)</f>
        <v>0</v>
      </c>
      <c r="T76" s="34">
        <f>K76*P76*(Settings!$B$15-1)</f>
        <v>0</v>
      </c>
      <c r="U76" s="34">
        <f t="shared" si="7"/>
        <v>0</v>
      </c>
      <c r="V76" s="26" t="str">
        <f>Auto_Roster!O76</f>
        <v>Pending</v>
      </c>
      <c r="W76" s="26" t="e">
        <f ca="1">_xludf.TEXTJOIN("; ",TRUE,Auto_Roster!N76,IF(G76&gt;Settings!$B$19,"Approval required &gt; standard hours",""),IF(AND(F76&lt;&gt;"Off",G76=0),"Missing claimed hours",""))</f>
        <v>#NAME?</v>
      </c>
      <c r="X76" s="7"/>
    </row>
    <row r="77" spans="1:24" x14ac:dyDescent="0.35">
      <c r="A77" s="31">
        <f>Auto_Roster!A77</f>
        <v>46146</v>
      </c>
      <c r="B77" s="31">
        <f>Auto_Roster!B77</f>
        <v>46146</v>
      </c>
      <c r="C77" s="26" t="str">
        <f>Auto_Roster!C77</f>
        <v/>
      </c>
      <c r="D77" s="26" t="str">
        <f>Auto_Roster!D77</f>
        <v/>
      </c>
      <c r="E77" s="26" t="str">
        <f>Auto_Roster!E77</f>
        <v/>
      </c>
      <c r="F77" s="26" t="str">
        <f>Auto_Roster!G77</f>
        <v/>
      </c>
      <c r="G77" s="33">
        <f>Auto_Roster!J77</f>
        <v>0</v>
      </c>
      <c r="H77" s="33">
        <f>IF(G77&gt;Settings!$B$19,G77-Settings!$B$19,0)</f>
        <v>0</v>
      </c>
      <c r="I77" s="33">
        <f t="shared" si="4"/>
        <v>0</v>
      </c>
      <c r="J77" s="33">
        <f>IF(Auto_Roster!M77="Y",G77,0)</f>
        <v>0</v>
      </c>
      <c r="K77" s="33">
        <f>IF(Auto_Roster!L77="Y",G77,0)</f>
        <v>0</v>
      </c>
      <c r="L77" s="26" t="str">
        <f>Auto_Roster!K77</f>
        <v>N</v>
      </c>
      <c r="M77" s="34">
        <f>IF(L77="Y",Settings!$B$16,0)</f>
        <v>0</v>
      </c>
      <c r="N77" s="33">
        <f t="shared" si="5"/>
        <v>0</v>
      </c>
      <c r="O77" s="34">
        <f>N77*Settings!$B$17</f>
        <v>0</v>
      </c>
      <c r="P77" s="34">
        <f>IFERROR(VLOOKUP(C77,Employees!$A$4:$E$103,5,FALSE),Settings!$B$18)</f>
        <v>100</v>
      </c>
      <c r="Q77" s="34">
        <f t="shared" si="6"/>
        <v>0</v>
      </c>
      <c r="R77" s="34">
        <f>H77*P77*Settings!$B$13</f>
        <v>0</v>
      </c>
      <c r="S77" s="34">
        <f>J77*P77*(Settings!$B$14-1)</f>
        <v>0</v>
      </c>
      <c r="T77" s="34">
        <f>K77*P77*(Settings!$B$15-1)</f>
        <v>0</v>
      </c>
      <c r="U77" s="34">
        <f t="shared" si="7"/>
        <v>0</v>
      </c>
      <c r="V77" s="26" t="str">
        <f>Auto_Roster!O77</f>
        <v>Pending</v>
      </c>
      <c r="W77" s="26" t="e">
        <f ca="1">_xludf.TEXTJOIN("; ",TRUE,Auto_Roster!N77,IF(G77&gt;Settings!$B$19,"Approval required &gt; standard hours",""),IF(AND(F77&lt;&gt;"Off",G77=0),"Missing claimed hours",""))</f>
        <v>#NAME?</v>
      </c>
      <c r="X77" s="7"/>
    </row>
    <row r="78" spans="1:24" x14ac:dyDescent="0.35">
      <c r="A78" s="31">
        <f>Auto_Roster!A78</f>
        <v>46146</v>
      </c>
      <c r="B78" s="31">
        <f>Auto_Roster!B78</f>
        <v>46146</v>
      </c>
      <c r="C78" s="26" t="str">
        <f>Auto_Roster!C78</f>
        <v/>
      </c>
      <c r="D78" s="26" t="str">
        <f>Auto_Roster!D78</f>
        <v/>
      </c>
      <c r="E78" s="26" t="str">
        <f>Auto_Roster!E78</f>
        <v/>
      </c>
      <c r="F78" s="26" t="str">
        <f>Auto_Roster!G78</f>
        <v/>
      </c>
      <c r="G78" s="33">
        <f>Auto_Roster!J78</f>
        <v>0</v>
      </c>
      <c r="H78" s="33">
        <f>IF(G78&gt;Settings!$B$19,G78-Settings!$B$19,0)</f>
        <v>0</v>
      </c>
      <c r="I78" s="33">
        <f t="shared" si="4"/>
        <v>0</v>
      </c>
      <c r="J78" s="33">
        <f>IF(Auto_Roster!M78="Y",G78,0)</f>
        <v>0</v>
      </c>
      <c r="K78" s="33">
        <f>IF(Auto_Roster!L78="Y",G78,0)</f>
        <v>0</v>
      </c>
      <c r="L78" s="26" t="str">
        <f>Auto_Roster!K78</f>
        <v>N</v>
      </c>
      <c r="M78" s="34">
        <f>IF(L78="Y",Settings!$B$16,0)</f>
        <v>0</v>
      </c>
      <c r="N78" s="33">
        <f t="shared" si="5"/>
        <v>0</v>
      </c>
      <c r="O78" s="34">
        <f>N78*Settings!$B$17</f>
        <v>0</v>
      </c>
      <c r="P78" s="34">
        <f>IFERROR(VLOOKUP(C78,Employees!$A$4:$E$103,5,FALSE),Settings!$B$18)</f>
        <v>100</v>
      </c>
      <c r="Q78" s="34">
        <f t="shared" si="6"/>
        <v>0</v>
      </c>
      <c r="R78" s="34">
        <f>H78*P78*Settings!$B$13</f>
        <v>0</v>
      </c>
      <c r="S78" s="34">
        <f>J78*P78*(Settings!$B$14-1)</f>
        <v>0</v>
      </c>
      <c r="T78" s="34">
        <f>K78*P78*(Settings!$B$15-1)</f>
        <v>0</v>
      </c>
      <c r="U78" s="34">
        <f t="shared" si="7"/>
        <v>0</v>
      </c>
      <c r="V78" s="26" t="str">
        <f>Auto_Roster!O78</f>
        <v>Pending</v>
      </c>
      <c r="W78" s="26" t="e">
        <f ca="1">_xludf.TEXTJOIN("; ",TRUE,Auto_Roster!N78,IF(G78&gt;Settings!$B$19,"Approval required &gt; standard hours",""),IF(AND(F78&lt;&gt;"Off",G78=0),"Missing claimed hours",""))</f>
        <v>#NAME?</v>
      </c>
      <c r="X78" s="7"/>
    </row>
    <row r="79" spans="1:24" x14ac:dyDescent="0.35">
      <c r="A79" s="31">
        <f>Auto_Roster!A79</f>
        <v>46146</v>
      </c>
      <c r="B79" s="31">
        <f>Auto_Roster!B79</f>
        <v>46146</v>
      </c>
      <c r="C79" s="26" t="str">
        <f>Auto_Roster!C79</f>
        <v/>
      </c>
      <c r="D79" s="26" t="str">
        <f>Auto_Roster!D79</f>
        <v/>
      </c>
      <c r="E79" s="26" t="str">
        <f>Auto_Roster!E79</f>
        <v/>
      </c>
      <c r="F79" s="26" t="str">
        <f>Auto_Roster!G79</f>
        <v/>
      </c>
      <c r="G79" s="33">
        <f>Auto_Roster!J79</f>
        <v>0</v>
      </c>
      <c r="H79" s="33">
        <f>IF(G79&gt;Settings!$B$19,G79-Settings!$B$19,0)</f>
        <v>0</v>
      </c>
      <c r="I79" s="33">
        <f t="shared" si="4"/>
        <v>0</v>
      </c>
      <c r="J79" s="33">
        <f>IF(Auto_Roster!M79="Y",G79,0)</f>
        <v>0</v>
      </c>
      <c r="K79" s="33">
        <f>IF(Auto_Roster!L79="Y",G79,0)</f>
        <v>0</v>
      </c>
      <c r="L79" s="26" t="str">
        <f>Auto_Roster!K79</f>
        <v>N</v>
      </c>
      <c r="M79" s="34">
        <f>IF(L79="Y",Settings!$B$16,0)</f>
        <v>0</v>
      </c>
      <c r="N79" s="33">
        <f t="shared" si="5"/>
        <v>0</v>
      </c>
      <c r="O79" s="34">
        <f>N79*Settings!$B$17</f>
        <v>0</v>
      </c>
      <c r="P79" s="34">
        <f>IFERROR(VLOOKUP(C79,Employees!$A$4:$E$103,5,FALSE),Settings!$B$18)</f>
        <v>100</v>
      </c>
      <c r="Q79" s="34">
        <f t="shared" si="6"/>
        <v>0</v>
      </c>
      <c r="R79" s="34">
        <f>H79*P79*Settings!$B$13</f>
        <v>0</v>
      </c>
      <c r="S79" s="34">
        <f>J79*P79*(Settings!$B$14-1)</f>
        <v>0</v>
      </c>
      <c r="T79" s="34">
        <f>K79*P79*(Settings!$B$15-1)</f>
        <v>0</v>
      </c>
      <c r="U79" s="34">
        <f t="shared" si="7"/>
        <v>0</v>
      </c>
      <c r="V79" s="26" t="str">
        <f>Auto_Roster!O79</f>
        <v>Pending</v>
      </c>
      <c r="W79" s="26" t="e">
        <f ca="1">_xludf.TEXTJOIN("; ",TRUE,Auto_Roster!N79,IF(G79&gt;Settings!$B$19,"Approval required &gt; standard hours",""),IF(AND(F79&lt;&gt;"Off",G79=0),"Missing claimed hours",""))</f>
        <v>#NAME?</v>
      </c>
      <c r="X79" s="7"/>
    </row>
    <row r="80" spans="1:24" x14ac:dyDescent="0.35">
      <c r="A80" s="31">
        <f>Auto_Roster!A80</f>
        <v>46146</v>
      </c>
      <c r="B80" s="31">
        <f>Auto_Roster!B80</f>
        <v>46146</v>
      </c>
      <c r="C80" s="26" t="str">
        <f>Auto_Roster!C80</f>
        <v/>
      </c>
      <c r="D80" s="26" t="str">
        <f>Auto_Roster!D80</f>
        <v/>
      </c>
      <c r="E80" s="26" t="str">
        <f>Auto_Roster!E80</f>
        <v/>
      </c>
      <c r="F80" s="26" t="str">
        <f>Auto_Roster!G80</f>
        <v/>
      </c>
      <c r="G80" s="33">
        <f>Auto_Roster!J80</f>
        <v>0</v>
      </c>
      <c r="H80" s="33">
        <f>IF(G80&gt;Settings!$B$19,G80-Settings!$B$19,0)</f>
        <v>0</v>
      </c>
      <c r="I80" s="33">
        <f t="shared" si="4"/>
        <v>0</v>
      </c>
      <c r="J80" s="33">
        <f>IF(Auto_Roster!M80="Y",G80,0)</f>
        <v>0</v>
      </c>
      <c r="K80" s="33">
        <f>IF(Auto_Roster!L80="Y",G80,0)</f>
        <v>0</v>
      </c>
      <c r="L80" s="26" t="str">
        <f>Auto_Roster!K80</f>
        <v>N</v>
      </c>
      <c r="M80" s="34">
        <f>IF(L80="Y",Settings!$B$16,0)</f>
        <v>0</v>
      </c>
      <c r="N80" s="33">
        <f t="shared" si="5"/>
        <v>0</v>
      </c>
      <c r="O80" s="34">
        <f>N80*Settings!$B$17</f>
        <v>0</v>
      </c>
      <c r="P80" s="34">
        <f>IFERROR(VLOOKUP(C80,Employees!$A$4:$E$103,5,FALSE),Settings!$B$18)</f>
        <v>100</v>
      </c>
      <c r="Q80" s="34">
        <f t="shared" si="6"/>
        <v>0</v>
      </c>
      <c r="R80" s="34">
        <f>H80*P80*Settings!$B$13</f>
        <v>0</v>
      </c>
      <c r="S80" s="34">
        <f>J80*P80*(Settings!$B$14-1)</f>
        <v>0</v>
      </c>
      <c r="T80" s="34">
        <f>K80*P80*(Settings!$B$15-1)</f>
        <v>0</v>
      </c>
      <c r="U80" s="34">
        <f t="shared" si="7"/>
        <v>0</v>
      </c>
      <c r="V80" s="26" t="str">
        <f>Auto_Roster!O80</f>
        <v>Pending</v>
      </c>
      <c r="W80" s="26" t="e">
        <f ca="1">_xludf.TEXTJOIN("; ",TRUE,Auto_Roster!N80,IF(G80&gt;Settings!$B$19,"Approval required &gt; standard hours",""),IF(AND(F80&lt;&gt;"Off",G80=0),"Missing claimed hours",""))</f>
        <v>#NAME?</v>
      </c>
      <c r="X80" s="7"/>
    </row>
    <row r="81" spans="1:24" x14ac:dyDescent="0.35">
      <c r="A81" s="31">
        <f>Auto_Roster!A81</f>
        <v>46146</v>
      </c>
      <c r="B81" s="31">
        <f>Auto_Roster!B81</f>
        <v>46146</v>
      </c>
      <c r="C81" s="26" t="str">
        <f>Auto_Roster!C81</f>
        <v/>
      </c>
      <c r="D81" s="26" t="str">
        <f>Auto_Roster!D81</f>
        <v/>
      </c>
      <c r="E81" s="26" t="str">
        <f>Auto_Roster!E81</f>
        <v/>
      </c>
      <c r="F81" s="26" t="str">
        <f>Auto_Roster!G81</f>
        <v/>
      </c>
      <c r="G81" s="33">
        <f>Auto_Roster!J81</f>
        <v>0</v>
      </c>
      <c r="H81" s="33">
        <f>IF(G81&gt;Settings!$B$19,G81-Settings!$B$19,0)</f>
        <v>0</v>
      </c>
      <c r="I81" s="33">
        <f t="shared" si="4"/>
        <v>0</v>
      </c>
      <c r="J81" s="33">
        <f>IF(Auto_Roster!M81="Y",G81,0)</f>
        <v>0</v>
      </c>
      <c r="K81" s="33">
        <f>IF(Auto_Roster!L81="Y",G81,0)</f>
        <v>0</v>
      </c>
      <c r="L81" s="26" t="str">
        <f>Auto_Roster!K81</f>
        <v>N</v>
      </c>
      <c r="M81" s="34">
        <f>IF(L81="Y",Settings!$B$16,0)</f>
        <v>0</v>
      </c>
      <c r="N81" s="33">
        <f t="shared" si="5"/>
        <v>0</v>
      </c>
      <c r="O81" s="34">
        <f>N81*Settings!$B$17</f>
        <v>0</v>
      </c>
      <c r="P81" s="34">
        <f>IFERROR(VLOOKUP(C81,Employees!$A$4:$E$103,5,FALSE),Settings!$B$18)</f>
        <v>100</v>
      </c>
      <c r="Q81" s="34">
        <f t="shared" si="6"/>
        <v>0</v>
      </c>
      <c r="R81" s="34">
        <f>H81*P81*Settings!$B$13</f>
        <v>0</v>
      </c>
      <c r="S81" s="34">
        <f>J81*P81*(Settings!$B$14-1)</f>
        <v>0</v>
      </c>
      <c r="T81" s="34">
        <f>K81*P81*(Settings!$B$15-1)</f>
        <v>0</v>
      </c>
      <c r="U81" s="34">
        <f t="shared" si="7"/>
        <v>0</v>
      </c>
      <c r="V81" s="26" t="str">
        <f>Auto_Roster!O81</f>
        <v>Pending</v>
      </c>
      <c r="W81" s="26" t="e">
        <f ca="1">_xludf.TEXTJOIN("; ",TRUE,Auto_Roster!N81,IF(G81&gt;Settings!$B$19,"Approval required &gt; standard hours",""),IF(AND(F81&lt;&gt;"Off",G81=0),"Missing claimed hours",""))</f>
        <v>#NAME?</v>
      </c>
      <c r="X81" s="7"/>
    </row>
    <row r="82" spans="1:24" x14ac:dyDescent="0.35">
      <c r="A82" s="31">
        <f>Auto_Roster!A82</f>
        <v>46146</v>
      </c>
      <c r="B82" s="31">
        <f>Auto_Roster!B82</f>
        <v>46146</v>
      </c>
      <c r="C82" s="26" t="str">
        <f>Auto_Roster!C82</f>
        <v/>
      </c>
      <c r="D82" s="26" t="str">
        <f>Auto_Roster!D82</f>
        <v/>
      </c>
      <c r="E82" s="26" t="str">
        <f>Auto_Roster!E82</f>
        <v/>
      </c>
      <c r="F82" s="26" t="str">
        <f>Auto_Roster!G82</f>
        <v/>
      </c>
      <c r="G82" s="33">
        <f>Auto_Roster!J82</f>
        <v>0</v>
      </c>
      <c r="H82" s="33">
        <f>IF(G82&gt;Settings!$B$19,G82-Settings!$B$19,0)</f>
        <v>0</v>
      </c>
      <c r="I82" s="33">
        <f t="shared" si="4"/>
        <v>0</v>
      </c>
      <c r="J82" s="33">
        <f>IF(Auto_Roster!M82="Y",G82,0)</f>
        <v>0</v>
      </c>
      <c r="K82" s="33">
        <f>IF(Auto_Roster!L82="Y",G82,0)</f>
        <v>0</v>
      </c>
      <c r="L82" s="26" t="str">
        <f>Auto_Roster!K82</f>
        <v>N</v>
      </c>
      <c r="M82" s="34">
        <f>IF(L82="Y",Settings!$B$16,0)</f>
        <v>0</v>
      </c>
      <c r="N82" s="33">
        <f t="shared" si="5"/>
        <v>0</v>
      </c>
      <c r="O82" s="34">
        <f>N82*Settings!$B$17</f>
        <v>0</v>
      </c>
      <c r="P82" s="34">
        <f>IFERROR(VLOOKUP(C82,Employees!$A$4:$E$103,5,FALSE),Settings!$B$18)</f>
        <v>100</v>
      </c>
      <c r="Q82" s="34">
        <f t="shared" si="6"/>
        <v>0</v>
      </c>
      <c r="R82" s="34">
        <f>H82*P82*Settings!$B$13</f>
        <v>0</v>
      </c>
      <c r="S82" s="34">
        <f>J82*P82*(Settings!$B$14-1)</f>
        <v>0</v>
      </c>
      <c r="T82" s="34">
        <f>K82*P82*(Settings!$B$15-1)</f>
        <v>0</v>
      </c>
      <c r="U82" s="34">
        <f t="shared" si="7"/>
        <v>0</v>
      </c>
      <c r="V82" s="26" t="str">
        <f>Auto_Roster!O82</f>
        <v>Pending</v>
      </c>
      <c r="W82" s="26" t="e">
        <f ca="1">_xludf.TEXTJOIN("; ",TRUE,Auto_Roster!N82,IF(G82&gt;Settings!$B$19,"Approval required &gt; standard hours",""),IF(AND(F82&lt;&gt;"Off",G82=0),"Missing claimed hours",""))</f>
        <v>#NAME?</v>
      </c>
      <c r="X82" s="7"/>
    </row>
    <row r="83" spans="1:24" x14ac:dyDescent="0.35">
      <c r="A83" s="31">
        <f>Auto_Roster!A83</f>
        <v>46146</v>
      </c>
      <c r="B83" s="31">
        <f>Auto_Roster!B83</f>
        <v>46146</v>
      </c>
      <c r="C83" s="26" t="str">
        <f>Auto_Roster!C83</f>
        <v/>
      </c>
      <c r="D83" s="26" t="str">
        <f>Auto_Roster!D83</f>
        <v/>
      </c>
      <c r="E83" s="26" t="str">
        <f>Auto_Roster!E83</f>
        <v/>
      </c>
      <c r="F83" s="26" t="str">
        <f>Auto_Roster!G83</f>
        <v/>
      </c>
      <c r="G83" s="33">
        <f>Auto_Roster!J83</f>
        <v>0</v>
      </c>
      <c r="H83" s="33">
        <f>IF(G83&gt;Settings!$B$19,G83-Settings!$B$19,0)</f>
        <v>0</v>
      </c>
      <c r="I83" s="33">
        <f t="shared" si="4"/>
        <v>0</v>
      </c>
      <c r="J83" s="33">
        <f>IF(Auto_Roster!M83="Y",G83,0)</f>
        <v>0</v>
      </c>
      <c r="K83" s="33">
        <f>IF(Auto_Roster!L83="Y",G83,0)</f>
        <v>0</v>
      </c>
      <c r="L83" s="26" t="str">
        <f>Auto_Roster!K83</f>
        <v>N</v>
      </c>
      <c r="M83" s="34">
        <f>IF(L83="Y",Settings!$B$16,0)</f>
        <v>0</v>
      </c>
      <c r="N83" s="33">
        <f t="shared" si="5"/>
        <v>0</v>
      </c>
      <c r="O83" s="34">
        <f>N83*Settings!$B$17</f>
        <v>0</v>
      </c>
      <c r="P83" s="34">
        <f>IFERROR(VLOOKUP(C83,Employees!$A$4:$E$103,5,FALSE),Settings!$B$18)</f>
        <v>100</v>
      </c>
      <c r="Q83" s="34">
        <f t="shared" si="6"/>
        <v>0</v>
      </c>
      <c r="R83" s="34">
        <f>H83*P83*Settings!$B$13</f>
        <v>0</v>
      </c>
      <c r="S83" s="34">
        <f>J83*P83*(Settings!$B$14-1)</f>
        <v>0</v>
      </c>
      <c r="T83" s="34">
        <f>K83*P83*(Settings!$B$15-1)</f>
        <v>0</v>
      </c>
      <c r="U83" s="34">
        <f t="shared" si="7"/>
        <v>0</v>
      </c>
      <c r="V83" s="26" t="str">
        <f>Auto_Roster!O83</f>
        <v>Pending</v>
      </c>
      <c r="W83" s="26" t="e">
        <f ca="1">_xludf.TEXTJOIN("; ",TRUE,Auto_Roster!N83,IF(G83&gt;Settings!$B$19,"Approval required &gt; standard hours",""),IF(AND(F83&lt;&gt;"Off",G83=0),"Missing claimed hours",""))</f>
        <v>#NAME?</v>
      </c>
      <c r="X83" s="7"/>
    </row>
    <row r="84" spans="1:24" x14ac:dyDescent="0.35">
      <c r="A84" s="31">
        <f>Auto_Roster!A84</f>
        <v>46147</v>
      </c>
      <c r="B84" s="31">
        <f>Auto_Roster!B84</f>
        <v>46146</v>
      </c>
      <c r="C84" s="26" t="str">
        <f>Auto_Roster!C84</f>
        <v>E001</v>
      </c>
      <c r="D84" s="26" t="str">
        <f>Auto_Roster!D84</f>
        <v>Musiwa Khavalani</v>
      </c>
      <c r="E84" s="26">
        <f>Auto_Roster!E84</f>
        <v>0</v>
      </c>
      <c r="F84" s="26" t="e">
        <f>Auto_Roster!G84</f>
        <v>#N/A</v>
      </c>
      <c r="G84" s="33" t="e">
        <f>Auto_Roster!J84</f>
        <v>#N/A</v>
      </c>
      <c r="H84" s="33" t="e">
        <f>IF(G84&gt;Settings!$B$19,G84-Settings!$B$19,0)</f>
        <v>#N/A</v>
      </c>
      <c r="I84" s="33" t="e">
        <f t="shared" si="4"/>
        <v>#N/A</v>
      </c>
      <c r="J84" s="33">
        <f>IF(Auto_Roster!M84="Y",G84,0)</f>
        <v>0</v>
      </c>
      <c r="K84" s="33">
        <f>IF(Auto_Roster!L84="Y",G84,0)</f>
        <v>0</v>
      </c>
      <c r="L84" s="26" t="str">
        <f>Auto_Roster!K84</f>
        <v>N</v>
      </c>
      <c r="M84" s="34">
        <f>IF(L84="Y",Settings!$B$16,0)</f>
        <v>0</v>
      </c>
      <c r="N84" s="33" t="e">
        <f t="shared" si="5"/>
        <v>#N/A</v>
      </c>
      <c r="O84" s="34" t="e">
        <f>N84*Settings!$B$17</f>
        <v>#N/A</v>
      </c>
      <c r="P84" s="34">
        <f>IFERROR(VLOOKUP(C84,Employees!$A$4:$E$103,5,FALSE),Settings!$B$18)</f>
        <v>100</v>
      </c>
      <c r="Q84" s="34" t="e">
        <f t="shared" si="6"/>
        <v>#N/A</v>
      </c>
      <c r="R84" s="34" t="e">
        <f>H84*P84*Settings!$B$13</f>
        <v>#N/A</v>
      </c>
      <c r="S84" s="34">
        <f>J84*P84*(Settings!$B$14-1)</f>
        <v>0</v>
      </c>
      <c r="T84" s="34">
        <f>K84*P84*(Settings!$B$15-1)</f>
        <v>0</v>
      </c>
      <c r="U84" s="34" t="e">
        <f t="shared" si="7"/>
        <v>#N/A</v>
      </c>
      <c r="V84" s="26" t="str">
        <f>Auto_Roster!O84</f>
        <v>Pending</v>
      </c>
      <c r="W84" s="26" t="e">
        <f ca="1">_xludf.TEXTJOIN("; ",TRUE,Auto_Roster!N84,IF(G84&gt;Settings!$B$19,"Approval required &gt; standard hours",""),IF(AND(F84&lt;&gt;"Off",G84=0),"Missing claimed hours",""))</f>
        <v>#NAME?</v>
      </c>
      <c r="X84" s="7"/>
    </row>
    <row r="85" spans="1:24" x14ac:dyDescent="0.35">
      <c r="A85" s="31">
        <f>Auto_Roster!A85</f>
        <v>46147</v>
      </c>
      <c r="B85" s="31">
        <f>Auto_Roster!B85</f>
        <v>46146</v>
      </c>
      <c r="C85" s="26" t="str">
        <f>Auto_Roster!C85</f>
        <v>E002</v>
      </c>
      <c r="D85" s="26" t="str">
        <f>Auto_Roster!D85</f>
        <v>Mpho  Nembemhia</v>
      </c>
      <c r="E85" s="26" t="str">
        <f>Auto_Roster!E85</f>
        <v>B</v>
      </c>
      <c r="F85" s="26" t="str">
        <f>Auto_Roster!G85</f>
        <v>Off</v>
      </c>
      <c r="G85" s="33">
        <f>Auto_Roster!J85</f>
        <v>0</v>
      </c>
      <c r="H85" s="33">
        <f>IF(G85&gt;Settings!$B$19,G85-Settings!$B$19,0)</f>
        <v>0</v>
      </c>
      <c r="I85" s="33">
        <f t="shared" si="4"/>
        <v>0</v>
      </c>
      <c r="J85" s="33">
        <f>IF(Auto_Roster!M85="Y",G85,0)</f>
        <v>0</v>
      </c>
      <c r="K85" s="33">
        <f>IF(Auto_Roster!L85="Y",G85,0)</f>
        <v>0</v>
      </c>
      <c r="L85" s="26" t="str">
        <f>Auto_Roster!K85</f>
        <v>N</v>
      </c>
      <c r="M85" s="34">
        <f>IF(L85="Y",Settings!$B$16,0)</f>
        <v>0</v>
      </c>
      <c r="N85" s="33">
        <f t="shared" si="5"/>
        <v>0</v>
      </c>
      <c r="O85" s="34">
        <f>N85*Settings!$B$17</f>
        <v>0</v>
      </c>
      <c r="P85" s="34">
        <f>IFERROR(VLOOKUP(C85,Employees!$A$4:$E$103,5,FALSE),Settings!$B$18)</f>
        <v>100</v>
      </c>
      <c r="Q85" s="34">
        <f t="shared" si="6"/>
        <v>0</v>
      </c>
      <c r="R85" s="34">
        <f>H85*P85*Settings!$B$13</f>
        <v>0</v>
      </c>
      <c r="S85" s="34">
        <f>J85*P85*(Settings!$B$14-1)</f>
        <v>0</v>
      </c>
      <c r="T85" s="34">
        <f>K85*P85*(Settings!$B$15-1)</f>
        <v>0</v>
      </c>
      <c r="U85" s="34">
        <f t="shared" si="7"/>
        <v>0</v>
      </c>
      <c r="V85" s="26" t="str">
        <f>Auto_Roster!O85</f>
        <v>Pending</v>
      </c>
      <c r="W85" s="26" t="e">
        <f ca="1">_xludf.TEXTJOIN("; ",TRUE,Auto_Roster!N85,IF(G85&gt;Settings!$B$19,"Approval required &gt; standard hours",""),IF(AND(F85&lt;&gt;"Off",G85=0),"Missing claimed hours",""))</f>
        <v>#NAME?</v>
      </c>
      <c r="X85" s="7"/>
    </row>
    <row r="86" spans="1:24" x14ac:dyDescent="0.35">
      <c r="A86" s="31">
        <f>Auto_Roster!A86</f>
        <v>46147</v>
      </c>
      <c r="B86" s="31">
        <f>Auto_Roster!B86</f>
        <v>46146</v>
      </c>
      <c r="C86" s="26" t="str">
        <f>Auto_Roster!C86</f>
        <v>E003</v>
      </c>
      <c r="D86" s="26" t="str">
        <f>Auto_Roster!D86</f>
        <v>Dimpho Makhafola</v>
      </c>
      <c r="E86" s="26" t="str">
        <f>Auto_Roster!E86</f>
        <v>C</v>
      </c>
      <c r="F86" s="26" t="str">
        <f>Auto_Roster!G86</f>
        <v>Evening</v>
      </c>
      <c r="G86" s="33">
        <f>Auto_Roster!J86</f>
        <v>8</v>
      </c>
      <c r="H86" s="33">
        <f>IF(G86&gt;Settings!$B$19,G86-Settings!$B$19,0)</f>
        <v>0</v>
      </c>
      <c r="I86" s="33">
        <f t="shared" si="4"/>
        <v>8</v>
      </c>
      <c r="J86" s="33">
        <f>IF(Auto_Roster!M86="Y",G86,0)</f>
        <v>0</v>
      </c>
      <c r="K86" s="33">
        <f>IF(Auto_Roster!L86="Y",G86,0)</f>
        <v>0</v>
      </c>
      <c r="L86" s="26" t="str">
        <f>Auto_Roster!K86</f>
        <v>N</v>
      </c>
      <c r="M86" s="34">
        <f>IF(L86="Y",Settings!$B$16,0)</f>
        <v>0</v>
      </c>
      <c r="N86" s="33">
        <f t="shared" si="5"/>
        <v>0</v>
      </c>
      <c r="O86" s="34">
        <f>N86*Settings!$B$17</f>
        <v>0</v>
      </c>
      <c r="P86" s="34">
        <f>IFERROR(VLOOKUP(C86,Employees!$A$4:$E$103,5,FALSE),Settings!$B$18)</f>
        <v>100</v>
      </c>
      <c r="Q86" s="34">
        <f t="shared" si="6"/>
        <v>800</v>
      </c>
      <c r="R86" s="34">
        <f>H86*P86*Settings!$B$13</f>
        <v>0</v>
      </c>
      <c r="S86" s="34">
        <f>J86*P86*(Settings!$B$14-1)</f>
        <v>0</v>
      </c>
      <c r="T86" s="34">
        <f>K86*P86*(Settings!$B$15-1)</f>
        <v>0</v>
      </c>
      <c r="U86" s="34">
        <f t="shared" si="7"/>
        <v>800</v>
      </c>
      <c r="V86" s="26" t="str">
        <f>Auto_Roster!O86</f>
        <v>Pending</v>
      </c>
      <c r="W86" s="26" t="e">
        <f ca="1">_xludf.TEXTJOIN("; ",TRUE,Auto_Roster!N86,IF(G86&gt;Settings!$B$19,"Approval required &gt; standard hours",""),IF(AND(F86&lt;&gt;"Off",G86=0),"Missing claimed hours",""))</f>
        <v>#NAME?</v>
      </c>
      <c r="X86" s="7"/>
    </row>
    <row r="87" spans="1:24" x14ac:dyDescent="0.35">
      <c r="A87" s="31">
        <f>Auto_Roster!A87</f>
        <v>46147</v>
      </c>
      <c r="B87" s="31">
        <f>Auto_Roster!B87</f>
        <v>46146</v>
      </c>
      <c r="C87" s="26" t="str">
        <f>Auto_Roster!C87</f>
        <v>E004</v>
      </c>
      <c r="D87" s="26" t="str">
        <f>Auto_Roster!D87</f>
        <v>Bashii Fall</v>
      </c>
      <c r="E87" s="26" t="str">
        <f>Auto_Roster!E87</f>
        <v>D</v>
      </c>
      <c r="F87" s="26" t="str">
        <f>Auto_Roster!G87</f>
        <v>Night</v>
      </c>
      <c r="G87" s="33">
        <f>Auto_Roster!J87</f>
        <v>8</v>
      </c>
      <c r="H87" s="33">
        <f>IF(G87&gt;Settings!$B$19,G87-Settings!$B$19,0)</f>
        <v>0</v>
      </c>
      <c r="I87" s="33">
        <f t="shared" si="4"/>
        <v>8</v>
      </c>
      <c r="J87" s="33">
        <f>IF(Auto_Roster!M87="Y",G87,0)</f>
        <v>0</v>
      </c>
      <c r="K87" s="33">
        <f>IF(Auto_Roster!L87="Y",G87,0)</f>
        <v>0</v>
      </c>
      <c r="L87" s="26" t="str">
        <f>Auto_Roster!K87</f>
        <v>N</v>
      </c>
      <c r="M87" s="34">
        <f>IF(L87="Y",Settings!$B$16,0)</f>
        <v>0</v>
      </c>
      <c r="N87" s="33">
        <f t="shared" si="5"/>
        <v>8</v>
      </c>
      <c r="O87" s="34">
        <f>N87*Settings!$B$17</f>
        <v>0</v>
      </c>
      <c r="P87" s="34">
        <f>IFERROR(VLOOKUP(C87,Employees!$A$4:$E$103,5,FALSE),Settings!$B$18)</f>
        <v>100</v>
      </c>
      <c r="Q87" s="34">
        <f t="shared" si="6"/>
        <v>800</v>
      </c>
      <c r="R87" s="34">
        <f>H87*P87*Settings!$B$13</f>
        <v>0</v>
      </c>
      <c r="S87" s="34">
        <f>J87*P87*(Settings!$B$14-1)</f>
        <v>0</v>
      </c>
      <c r="T87" s="34">
        <f>K87*P87*(Settings!$B$15-1)</f>
        <v>0</v>
      </c>
      <c r="U87" s="34">
        <f t="shared" si="7"/>
        <v>800</v>
      </c>
      <c r="V87" s="26" t="str">
        <f>Auto_Roster!O87</f>
        <v>Pending</v>
      </c>
      <c r="W87" s="26" t="e">
        <f ca="1">_xludf.TEXTJOIN("; ",TRUE,Auto_Roster!N87,IF(G87&gt;Settings!$B$19,"Approval required &gt; standard hours",""),IF(AND(F87&lt;&gt;"Off",G87=0),"Missing claimed hours",""))</f>
        <v>#NAME?</v>
      </c>
      <c r="X87" s="7"/>
    </row>
    <row r="88" spans="1:24" x14ac:dyDescent="0.35">
      <c r="A88" s="31">
        <f>Auto_Roster!A88</f>
        <v>46147</v>
      </c>
      <c r="B88" s="31">
        <f>Auto_Roster!B88</f>
        <v>46146</v>
      </c>
      <c r="C88" s="26" t="str">
        <f>Auto_Roster!C88</f>
        <v>E005</v>
      </c>
      <c r="D88" s="26" t="str">
        <f>Auto_Roster!D88</f>
        <v>Lesego Aphane</v>
      </c>
      <c r="E88" s="26" t="str">
        <f>Auto_Roster!E88</f>
        <v>A</v>
      </c>
      <c r="F88" s="26" t="str">
        <f>Auto_Roster!G88</f>
        <v>Day</v>
      </c>
      <c r="G88" s="33">
        <f>Auto_Roster!J88</f>
        <v>8</v>
      </c>
      <c r="H88" s="33">
        <f>IF(G88&gt;Settings!$B$19,G88-Settings!$B$19,0)</f>
        <v>0</v>
      </c>
      <c r="I88" s="33">
        <f t="shared" si="4"/>
        <v>8</v>
      </c>
      <c r="J88" s="33">
        <f>IF(Auto_Roster!M88="Y",G88,0)</f>
        <v>0</v>
      </c>
      <c r="K88" s="33">
        <f>IF(Auto_Roster!L88="Y",G88,0)</f>
        <v>0</v>
      </c>
      <c r="L88" s="26" t="str">
        <f>Auto_Roster!K88</f>
        <v>N</v>
      </c>
      <c r="M88" s="34">
        <f>IF(L88="Y",Settings!$B$16,0)</f>
        <v>0</v>
      </c>
      <c r="N88" s="33">
        <f t="shared" si="5"/>
        <v>0</v>
      </c>
      <c r="O88" s="34">
        <f>N88*Settings!$B$17</f>
        <v>0</v>
      </c>
      <c r="P88" s="34">
        <f>IFERROR(VLOOKUP(C88,Employees!$A$4:$E$103,5,FALSE),Settings!$B$18)</f>
        <v>100</v>
      </c>
      <c r="Q88" s="34">
        <f t="shared" si="6"/>
        <v>800</v>
      </c>
      <c r="R88" s="34">
        <f>H88*P88*Settings!$B$13</f>
        <v>0</v>
      </c>
      <c r="S88" s="34">
        <f>J88*P88*(Settings!$B$14-1)</f>
        <v>0</v>
      </c>
      <c r="T88" s="34">
        <f>K88*P88*(Settings!$B$15-1)</f>
        <v>0</v>
      </c>
      <c r="U88" s="34">
        <f t="shared" si="7"/>
        <v>800</v>
      </c>
      <c r="V88" s="26" t="str">
        <f>Auto_Roster!O88</f>
        <v>Pending</v>
      </c>
      <c r="W88" s="26" t="e">
        <f ca="1">_xludf.TEXTJOIN("; ",TRUE,Auto_Roster!N88,IF(G88&gt;Settings!$B$19,"Approval required &gt; standard hours",""),IF(AND(F88&lt;&gt;"Off",G88=0),"Missing claimed hours",""))</f>
        <v>#NAME?</v>
      </c>
      <c r="X88" s="7"/>
    </row>
    <row r="89" spans="1:24" x14ac:dyDescent="0.35">
      <c r="A89" s="31">
        <f>Auto_Roster!A89</f>
        <v>46147</v>
      </c>
      <c r="B89" s="31">
        <f>Auto_Roster!B89</f>
        <v>46146</v>
      </c>
      <c r="C89" s="26" t="str">
        <f>Auto_Roster!C89</f>
        <v>E006</v>
      </c>
      <c r="D89" s="26" t="str">
        <f>Auto_Roster!D89</f>
        <v>Nhalnahla</v>
      </c>
      <c r="E89" s="26" t="str">
        <f>Auto_Roster!E89</f>
        <v>B</v>
      </c>
      <c r="F89" s="26" t="str">
        <f>Auto_Roster!G89</f>
        <v>Off</v>
      </c>
      <c r="G89" s="33">
        <f>Auto_Roster!J89</f>
        <v>0</v>
      </c>
      <c r="H89" s="33">
        <f>IF(G89&gt;Settings!$B$19,G89-Settings!$B$19,0)</f>
        <v>0</v>
      </c>
      <c r="I89" s="33">
        <f t="shared" si="4"/>
        <v>0</v>
      </c>
      <c r="J89" s="33">
        <f>IF(Auto_Roster!M89="Y",G89,0)</f>
        <v>0</v>
      </c>
      <c r="K89" s="33">
        <f>IF(Auto_Roster!L89="Y",G89,0)</f>
        <v>0</v>
      </c>
      <c r="L89" s="26" t="str">
        <f>Auto_Roster!K89</f>
        <v>N</v>
      </c>
      <c r="M89" s="34">
        <f>IF(L89="Y",Settings!$B$16,0)</f>
        <v>0</v>
      </c>
      <c r="N89" s="33">
        <f t="shared" si="5"/>
        <v>0</v>
      </c>
      <c r="O89" s="34">
        <f>N89*Settings!$B$17</f>
        <v>0</v>
      </c>
      <c r="P89" s="34">
        <f>IFERROR(VLOOKUP(C89,Employees!$A$4:$E$103,5,FALSE),Settings!$B$18)</f>
        <v>100</v>
      </c>
      <c r="Q89" s="34">
        <f t="shared" si="6"/>
        <v>0</v>
      </c>
      <c r="R89" s="34">
        <f>H89*P89*Settings!$B$13</f>
        <v>0</v>
      </c>
      <c r="S89" s="34">
        <f>J89*P89*(Settings!$B$14-1)</f>
        <v>0</v>
      </c>
      <c r="T89" s="34">
        <f>K89*P89*(Settings!$B$15-1)</f>
        <v>0</v>
      </c>
      <c r="U89" s="34">
        <f t="shared" si="7"/>
        <v>0</v>
      </c>
      <c r="V89" s="26" t="str">
        <f>Auto_Roster!O89</f>
        <v>Pending</v>
      </c>
      <c r="W89" s="26" t="e">
        <f ca="1">_xludf.TEXTJOIN("; ",TRUE,Auto_Roster!N89,IF(G89&gt;Settings!$B$19,"Approval required &gt; standard hours",""),IF(AND(F89&lt;&gt;"Off",G89=0),"Missing claimed hours",""))</f>
        <v>#NAME?</v>
      </c>
      <c r="X89" s="7"/>
    </row>
    <row r="90" spans="1:24" x14ac:dyDescent="0.35">
      <c r="A90" s="31">
        <f>Auto_Roster!A90</f>
        <v>46147</v>
      </c>
      <c r="B90" s="31">
        <f>Auto_Roster!B90</f>
        <v>46146</v>
      </c>
      <c r="C90" s="26" t="str">
        <f>Auto_Roster!C90</f>
        <v>E007</v>
      </c>
      <c r="D90" s="26" t="str">
        <f>Auto_Roster!D90</f>
        <v>Joe</v>
      </c>
      <c r="E90" s="26" t="str">
        <f>Auto_Roster!E90</f>
        <v>C</v>
      </c>
      <c r="F90" s="26" t="str">
        <f>Auto_Roster!G90</f>
        <v>Evening</v>
      </c>
      <c r="G90" s="33">
        <f>Auto_Roster!J90</f>
        <v>8</v>
      </c>
      <c r="H90" s="33">
        <f>IF(G90&gt;Settings!$B$19,G90-Settings!$B$19,0)</f>
        <v>0</v>
      </c>
      <c r="I90" s="33">
        <f t="shared" si="4"/>
        <v>8</v>
      </c>
      <c r="J90" s="33">
        <f>IF(Auto_Roster!M90="Y",G90,0)</f>
        <v>0</v>
      </c>
      <c r="K90" s="33">
        <f>IF(Auto_Roster!L90="Y",G90,0)</f>
        <v>0</v>
      </c>
      <c r="L90" s="26" t="str">
        <f>Auto_Roster!K90</f>
        <v>N</v>
      </c>
      <c r="M90" s="34">
        <f>IF(L90="Y",Settings!$B$16,0)</f>
        <v>0</v>
      </c>
      <c r="N90" s="33">
        <f t="shared" si="5"/>
        <v>0</v>
      </c>
      <c r="O90" s="34">
        <f>N90*Settings!$B$17</f>
        <v>0</v>
      </c>
      <c r="P90" s="34">
        <f>IFERROR(VLOOKUP(C90,Employees!$A$4:$E$103,5,FALSE),Settings!$B$18)</f>
        <v>100</v>
      </c>
      <c r="Q90" s="34">
        <f t="shared" si="6"/>
        <v>800</v>
      </c>
      <c r="R90" s="34">
        <f>H90*P90*Settings!$B$13</f>
        <v>0</v>
      </c>
      <c r="S90" s="34">
        <f>J90*P90*(Settings!$B$14-1)</f>
        <v>0</v>
      </c>
      <c r="T90" s="34">
        <f>K90*P90*(Settings!$B$15-1)</f>
        <v>0</v>
      </c>
      <c r="U90" s="34">
        <f t="shared" si="7"/>
        <v>800</v>
      </c>
      <c r="V90" s="26" t="str">
        <f>Auto_Roster!O90</f>
        <v>Pending</v>
      </c>
      <c r="W90" s="26" t="e">
        <f ca="1">_xludf.TEXTJOIN("; ",TRUE,Auto_Roster!N90,IF(G90&gt;Settings!$B$19,"Approval required &gt; standard hours",""),IF(AND(F90&lt;&gt;"Off",G90=0),"Missing claimed hours",""))</f>
        <v>#NAME?</v>
      </c>
      <c r="X90" s="7"/>
    </row>
    <row r="91" spans="1:24" x14ac:dyDescent="0.35">
      <c r="A91" s="31">
        <f>Auto_Roster!A91</f>
        <v>46147</v>
      </c>
      <c r="B91" s="31">
        <f>Auto_Roster!B91</f>
        <v>46146</v>
      </c>
      <c r="C91" s="26" t="str">
        <f>Auto_Roster!C91</f>
        <v>E008</v>
      </c>
      <c r="D91" s="26" t="str">
        <f>Auto_Roster!D91</f>
        <v>Tim</v>
      </c>
      <c r="E91" s="26" t="str">
        <f>Auto_Roster!E91</f>
        <v>D</v>
      </c>
      <c r="F91" s="26" t="str">
        <f>Auto_Roster!G91</f>
        <v>Night</v>
      </c>
      <c r="G91" s="33">
        <f>Auto_Roster!J91</f>
        <v>8</v>
      </c>
      <c r="H91" s="33">
        <f>IF(G91&gt;Settings!$B$19,G91-Settings!$B$19,0)</f>
        <v>0</v>
      </c>
      <c r="I91" s="33">
        <f t="shared" si="4"/>
        <v>8</v>
      </c>
      <c r="J91" s="33">
        <f>IF(Auto_Roster!M91="Y",G91,0)</f>
        <v>0</v>
      </c>
      <c r="K91" s="33">
        <f>IF(Auto_Roster!L91="Y",G91,0)</f>
        <v>0</v>
      </c>
      <c r="L91" s="26" t="str">
        <f>Auto_Roster!K91</f>
        <v>N</v>
      </c>
      <c r="M91" s="34">
        <f>IF(L91="Y",Settings!$B$16,0)</f>
        <v>0</v>
      </c>
      <c r="N91" s="33">
        <f t="shared" si="5"/>
        <v>8</v>
      </c>
      <c r="O91" s="34">
        <f>N91*Settings!$B$17</f>
        <v>0</v>
      </c>
      <c r="P91" s="34">
        <f>IFERROR(VLOOKUP(C91,Employees!$A$4:$E$103,5,FALSE),Settings!$B$18)</f>
        <v>100</v>
      </c>
      <c r="Q91" s="34">
        <f t="shared" si="6"/>
        <v>800</v>
      </c>
      <c r="R91" s="34">
        <f>H91*P91*Settings!$B$13</f>
        <v>0</v>
      </c>
      <c r="S91" s="34">
        <f>J91*P91*(Settings!$B$14-1)</f>
        <v>0</v>
      </c>
      <c r="T91" s="34">
        <f>K91*P91*(Settings!$B$15-1)</f>
        <v>0</v>
      </c>
      <c r="U91" s="34">
        <f t="shared" si="7"/>
        <v>800</v>
      </c>
      <c r="V91" s="26" t="str">
        <f>Auto_Roster!O91</f>
        <v>Pending</v>
      </c>
      <c r="W91" s="26" t="e">
        <f ca="1">_xludf.TEXTJOIN("; ",TRUE,Auto_Roster!N91,IF(G91&gt;Settings!$B$19,"Approval required &gt; standard hours",""),IF(AND(F91&lt;&gt;"Off",G91=0),"Missing claimed hours",""))</f>
        <v>#NAME?</v>
      </c>
      <c r="X91" s="7"/>
    </row>
    <row r="92" spans="1:24" x14ac:dyDescent="0.35">
      <c r="A92" s="31">
        <f>Auto_Roster!A92</f>
        <v>46147</v>
      </c>
      <c r="B92" s="31">
        <f>Auto_Roster!B92</f>
        <v>46146</v>
      </c>
      <c r="C92" s="26" t="str">
        <f>Auto_Roster!C92</f>
        <v>E009</v>
      </c>
      <c r="D92" s="26" t="str">
        <f>Auto_Roster!D92</f>
        <v>Frank</v>
      </c>
      <c r="E92" s="26" t="str">
        <f>Auto_Roster!E92</f>
        <v>A</v>
      </c>
      <c r="F92" s="26" t="str">
        <f>Auto_Roster!G92</f>
        <v>Day</v>
      </c>
      <c r="G92" s="33">
        <f>Auto_Roster!J92</f>
        <v>8</v>
      </c>
      <c r="H92" s="33">
        <f>IF(G92&gt;Settings!$B$19,G92-Settings!$B$19,0)</f>
        <v>0</v>
      </c>
      <c r="I92" s="33">
        <f t="shared" si="4"/>
        <v>8</v>
      </c>
      <c r="J92" s="33">
        <f>IF(Auto_Roster!M92="Y",G92,0)</f>
        <v>0</v>
      </c>
      <c r="K92" s="33">
        <f>IF(Auto_Roster!L92="Y",G92,0)</f>
        <v>0</v>
      </c>
      <c r="L92" s="26" t="str">
        <f>Auto_Roster!K92</f>
        <v>N</v>
      </c>
      <c r="M92" s="34">
        <f>IF(L92="Y",Settings!$B$16,0)</f>
        <v>0</v>
      </c>
      <c r="N92" s="33">
        <f t="shared" si="5"/>
        <v>0</v>
      </c>
      <c r="O92" s="34">
        <f>N92*Settings!$B$17</f>
        <v>0</v>
      </c>
      <c r="P92" s="34">
        <f>IFERROR(VLOOKUP(C92,Employees!$A$4:$E$103,5,FALSE),Settings!$B$18)</f>
        <v>100</v>
      </c>
      <c r="Q92" s="34">
        <f t="shared" si="6"/>
        <v>800</v>
      </c>
      <c r="R92" s="34">
        <f>H92*P92*Settings!$B$13</f>
        <v>0</v>
      </c>
      <c r="S92" s="34">
        <f>J92*P92*(Settings!$B$14-1)</f>
        <v>0</v>
      </c>
      <c r="T92" s="34">
        <f>K92*P92*(Settings!$B$15-1)</f>
        <v>0</v>
      </c>
      <c r="U92" s="34">
        <f t="shared" si="7"/>
        <v>800</v>
      </c>
      <c r="V92" s="26" t="str">
        <f>Auto_Roster!O92</f>
        <v>Pending</v>
      </c>
      <c r="W92" s="26" t="e">
        <f ca="1">_xludf.TEXTJOIN("; ",TRUE,Auto_Roster!N92,IF(G92&gt;Settings!$B$19,"Approval required &gt; standard hours",""),IF(AND(F92&lt;&gt;"Off",G92=0),"Missing claimed hours",""))</f>
        <v>#NAME?</v>
      </c>
      <c r="X92" s="7"/>
    </row>
    <row r="93" spans="1:24" x14ac:dyDescent="0.35">
      <c r="A93" s="31">
        <f>Auto_Roster!A93</f>
        <v>46147</v>
      </c>
      <c r="B93" s="31">
        <f>Auto_Roster!B93</f>
        <v>46146</v>
      </c>
      <c r="C93" s="26" t="str">
        <f>Auto_Roster!C93</f>
        <v/>
      </c>
      <c r="D93" s="26" t="str">
        <f>Auto_Roster!D93</f>
        <v/>
      </c>
      <c r="E93" s="26" t="str">
        <f>Auto_Roster!E93</f>
        <v/>
      </c>
      <c r="F93" s="26" t="str">
        <f>Auto_Roster!G93</f>
        <v/>
      </c>
      <c r="G93" s="33">
        <f>Auto_Roster!J93</f>
        <v>0</v>
      </c>
      <c r="H93" s="33">
        <f>IF(G93&gt;Settings!$B$19,G93-Settings!$B$19,0)</f>
        <v>0</v>
      </c>
      <c r="I93" s="33">
        <f t="shared" si="4"/>
        <v>0</v>
      </c>
      <c r="J93" s="33">
        <f>IF(Auto_Roster!M93="Y",G93,0)</f>
        <v>0</v>
      </c>
      <c r="K93" s="33">
        <f>IF(Auto_Roster!L93="Y",G93,0)</f>
        <v>0</v>
      </c>
      <c r="L93" s="26" t="str">
        <f>Auto_Roster!K93</f>
        <v>N</v>
      </c>
      <c r="M93" s="34">
        <f>IF(L93="Y",Settings!$B$16,0)</f>
        <v>0</v>
      </c>
      <c r="N93" s="33">
        <f t="shared" si="5"/>
        <v>0</v>
      </c>
      <c r="O93" s="34">
        <f>N93*Settings!$B$17</f>
        <v>0</v>
      </c>
      <c r="P93" s="34">
        <f>IFERROR(VLOOKUP(C93,Employees!$A$4:$E$103,5,FALSE),Settings!$B$18)</f>
        <v>100</v>
      </c>
      <c r="Q93" s="34">
        <f t="shared" si="6"/>
        <v>0</v>
      </c>
      <c r="R93" s="34">
        <f>H93*P93*Settings!$B$13</f>
        <v>0</v>
      </c>
      <c r="S93" s="34">
        <f>J93*P93*(Settings!$B$14-1)</f>
        <v>0</v>
      </c>
      <c r="T93" s="34">
        <f>K93*P93*(Settings!$B$15-1)</f>
        <v>0</v>
      </c>
      <c r="U93" s="34">
        <f t="shared" si="7"/>
        <v>0</v>
      </c>
      <c r="V93" s="26" t="str">
        <f>Auto_Roster!O93</f>
        <v>Pending</v>
      </c>
      <c r="W93" s="26" t="e">
        <f ca="1">_xludf.TEXTJOIN("; ",TRUE,Auto_Roster!N93,IF(G93&gt;Settings!$B$19,"Approval required &gt; standard hours",""),IF(AND(F93&lt;&gt;"Off",G93=0),"Missing claimed hours",""))</f>
        <v>#NAME?</v>
      </c>
      <c r="X93" s="7"/>
    </row>
    <row r="94" spans="1:24" x14ac:dyDescent="0.35">
      <c r="A94" s="31">
        <f>Auto_Roster!A94</f>
        <v>46147</v>
      </c>
      <c r="B94" s="31">
        <f>Auto_Roster!B94</f>
        <v>46146</v>
      </c>
      <c r="C94" s="26" t="str">
        <f>Auto_Roster!C94</f>
        <v/>
      </c>
      <c r="D94" s="26" t="str">
        <f>Auto_Roster!D94</f>
        <v/>
      </c>
      <c r="E94" s="26" t="str">
        <f>Auto_Roster!E94</f>
        <v/>
      </c>
      <c r="F94" s="26" t="str">
        <f>Auto_Roster!G94</f>
        <v/>
      </c>
      <c r="G94" s="33">
        <f>Auto_Roster!J94</f>
        <v>0</v>
      </c>
      <c r="H94" s="33">
        <f>IF(G94&gt;Settings!$B$19,G94-Settings!$B$19,0)</f>
        <v>0</v>
      </c>
      <c r="I94" s="33">
        <f t="shared" si="4"/>
        <v>0</v>
      </c>
      <c r="J94" s="33">
        <f>IF(Auto_Roster!M94="Y",G94,0)</f>
        <v>0</v>
      </c>
      <c r="K94" s="33">
        <f>IF(Auto_Roster!L94="Y",G94,0)</f>
        <v>0</v>
      </c>
      <c r="L94" s="26" t="str">
        <f>Auto_Roster!K94</f>
        <v>N</v>
      </c>
      <c r="M94" s="34">
        <f>IF(L94="Y",Settings!$B$16,0)</f>
        <v>0</v>
      </c>
      <c r="N94" s="33">
        <f t="shared" si="5"/>
        <v>0</v>
      </c>
      <c r="O94" s="34">
        <f>N94*Settings!$B$17</f>
        <v>0</v>
      </c>
      <c r="P94" s="34">
        <f>IFERROR(VLOOKUP(C94,Employees!$A$4:$E$103,5,FALSE),Settings!$B$18)</f>
        <v>100</v>
      </c>
      <c r="Q94" s="34">
        <f t="shared" si="6"/>
        <v>0</v>
      </c>
      <c r="R94" s="34">
        <f>H94*P94*Settings!$B$13</f>
        <v>0</v>
      </c>
      <c r="S94" s="34">
        <f>J94*P94*(Settings!$B$14-1)</f>
        <v>0</v>
      </c>
      <c r="T94" s="34">
        <f>K94*P94*(Settings!$B$15-1)</f>
        <v>0</v>
      </c>
      <c r="U94" s="34">
        <f t="shared" si="7"/>
        <v>0</v>
      </c>
      <c r="V94" s="26" t="str">
        <f>Auto_Roster!O94</f>
        <v>Pending</v>
      </c>
      <c r="W94" s="26" t="e">
        <f ca="1">_xludf.TEXTJOIN("; ",TRUE,Auto_Roster!N94,IF(G94&gt;Settings!$B$19,"Approval required &gt; standard hours",""),IF(AND(F94&lt;&gt;"Off",G94=0),"Missing claimed hours",""))</f>
        <v>#NAME?</v>
      </c>
      <c r="X94" s="7"/>
    </row>
    <row r="95" spans="1:24" x14ac:dyDescent="0.35">
      <c r="A95" s="31">
        <f>Auto_Roster!A95</f>
        <v>46147</v>
      </c>
      <c r="B95" s="31">
        <f>Auto_Roster!B95</f>
        <v>46146</v>
      </c>
      <c r="C95" s="26" t="str">
        <f>Auto_Roster!C95</f>
        <v/>
      </c>
      <c r="D95" s="26" t="str">
        <f>Auto_Roster!D95</f>
        <v/>
      </c>
      <c r="E95" s="26" t="str">
        <f>Auto_Roster!E95</f>
        <v/>
      </c>
      <c r="F95" s="26" t="str">
        <f>Auto_Roster!G95</f>
        <v/>
      </c>
      <c r="G95" s="33">
        <f>Auto_Roster!J95</f>
        <v>0</v>
      </c>
      <c r="H95" s="33">
        <f>IF(G95&gt;Settings!$B$19,G95-Settings!$B$19,0)</f>
        <v>0</v>
      </c>
      <c r="I95" s="33">
        <f t="shared" si="4"/>
        <v>0</v>
      </c>
      <c r="J95" s="33">
        <f>IF(Auto_Roster!M95="Y",G95,0)</f>
        <v>0</v>
      </c>
      <c r="K95" s="33">
        <f>IF(Auto_Roster!L95="Y",G95,0)</f>
        <v>0</v>
      </c>
      <c r="L95" s="26" t="str">
        <f>Auto_Roster!K95</f>
        <v>N</v>
      </c>
      <c r="M95" s="34">
        <f>IF(L95="Y",Settings!$B$16,0)</f>
        <v>0</v>
      </c>
      <c r="N95" s="33">
        <f t="shared" si="5"/>
        <v>0</v>
      </c>
      <c r="O95" s="34">
        <f>N95*Settings!$B$17</f>
        <v>0</v>
      </c>
      <c r="P95" s="34">
        <f>IFERROR(VLOOKUP(C95,Employees!$A$4:$E$103,5,FALSE),Settings!$B$18)</f>
        <v>100</v>
      </c>
      <c r="Q95" s="34">
        <f t="shared" si="6"/>
        <v>0</v>
      </c>
      <c r="R95" s="34">
        <f>H95*P95*Settings!$B$13</f>
        <v>0</v>
      </c>
      <c r="S95" s="34">
        <f>J95*P95*(Settings!$B$14-1)</f>
        <v>0</v>
      </c>
      <c r="T95" s="34">
        <f>K95*P95*(Settings!$B$15-1)</f>
        <v>0</v>
      </c>
      <c r="U95" s="34">
        <f t="shared" si="7"/>
        <v>0</v>
      </c>
      <c r="V95" s="26" t="str">
        <f>Auto_Roster!O95</f>
        <v>Pending</v>
      </c>
      <c r="W95" s="26" t="e">
        <f ca="1">_xludf.TEXTJOIN("; ",TRUE,Auto_Roster!N95,IF(G95&gt;Settings!$B$19,"Approval required &gt; standard hours",""),IF(AND(F95&lt;&gt;"Off",G95=0),"Missing claimed hours",""))</f>
        <v>#NAME?</v>
      </c>
      <c r="X95" s="7"/>
    </row>
    <row r="96" spans="1:24" x14ac:dyDescent="0.35">
      <c r="A96" s="31">
        <f>Auto_Roster!A96</f>
        <v>46147</v>
      </c>
      <c r="B96" s="31">
        <f>Auto_Roster!B96</f>
        <v>46146</v>
      </c>
      <c r="C96" s="26" t="str">
        <f>Auto_Roster!C96</f>
        <v/>
      </c>
      <c r="D96" s="26" t="str">
        <f>Auto_Roster!D96</f>
        <v/>
      </c>
      <c r="E96" s="26" t="str">
        <f>Auto_Roster!E96</f>
        <v/>
      </c>
      <c r="F96" s="26" t="str">
        <f>Auto_Roster!G96</f>
        <v/>
      </c>
      <c r="G96" s="33">
        <f>Auto_Roster!J96</f>
        <v>0</v>
      </c>
      <c r="H96" s="33">
        <f>IF(G96&gt;Settings!$B$19,G96-Settings!$B$19,0)</f>
        <v>0</v>
      </c>
      <c r="I96" s="33">
        <f t="shared" si="4"/>
        <v>0</v>
      </c>
      <c r="J96" s="33">
        <f>IF(Auto_Roster!M96="Y",G96,0)</f>
        <v>0</v>
      </c>
      <c r="K96" s="33">
        <f>IF(Auto_Roster!L96="Y",G96,0)</f>
        <v>0</v>
      </c>
      <c r="L96" s="26" t="str">
        <f>Auto_Roster!K96</f>
        <v>N</v>
      </c>
      <c r="M96" s="34">
        <f>IF(L96="Y",Settings!$B$16,0)</f>
        <v>0</v>
      </c>
      <c r="N96" s="33">
        <f t="shared" si="5"/>
        <v>0</v>
      </c>
      <c r="O96" s="34">
        <f>N96*Settings!$B$17</f>
        <v>0</v>
      </c>
      <c r="P96" s="34">
        <f>IFERROR(VLOOKUP(C96,Employees!$A$4:$E$103,5,FALSE),Settings!$B$18)</f>
        <v>100</v>
      </c>
      <c r="Q96" s="34">
        <f t="shared" si="6"/>
        <v>0</v>
      </c>
      <c r="R96" s="34">
        <f>H96*P96*Settings!$B$13</f>
        <v>0</v>
      </c>
      <c r="S96" s="34">
        <f>J96*P96*(Settings!$B$14-1)</f>
        <v>0</v>
      </c>
      <c r="T96" s="34">
        <f>K96*P96*(Settings!$B$15-1)</f>
        <v>0</v>
      </c>
      <c r="U96" s="34">
        <f t="shared" si="7"/>
        <v>0</v>
      </c>
      <c r="V96" s="26" t="str">
        <f>Auto_Roster!O96</f>
        <v>Pending</v>
      </c>
      <c r="W96" s="26" t="e">
        <f ca="1">_xludf.TEXTJOIN("; ",TRUE,Auto_Roster!N96,IF(G96&gt;Settings!$B$19,"Approval required &gt; standard hours",""),IF(AND(F96&lt;&gt;"Off",G96=0),"Missing claimed hours",""))</f>
        <v>#NAME?</v>
      </c>
      <c r="X96" s="7"/>
    </row>
    <row r="97" spans="1:24" x14ac:dyDescent="0.35">
      <c r="A97" s="31">
        <f>Auto_Roster!A97</f>
        <v>46147</v>
      </c>
      <c r="B97" s="31">
        <f>Auto_Roster!B97</f>
        <v>46146</v>
      </c>
      <c r="C97" s="26" t="str">
        <f>Auto_Roster!C97</f>
        <v/>
      </c>
      <c r="D97" s="26" t="str">
        <f>Auto_Roster!D97</f>
        <v/>
      </c>
      <c r="E97" s="26" t="str">
        <f>Auto_Roster!E97</f>
        <v/>
      </c>
      <c r="F97" s="26" t="str">
        <f>Auto_Roster!G97</f>
        <v/>
      </c>
      <c r="G97" s="33">
        <f>Auto_Roster!J97</f>
        <v>0</v>
      </c>
      <c r="H97" s="33">
        <f>IF(G97&gt;Settings!$B$19,G97-Settings!$B$19,0)</f>
        <v>0</v>
      </c>
      <c r="I97" s="33">
        <f t="shared" si="4"/>
        <v>0</v>
      </c>
      <c r="J97" s="33">
        <f>IF(Auto_Roster!M97="Y",G97,0)</f>
        <v>0</v>
      </c>
      <c r="K97" s="33">
        <f>IF(Auto_Roster!L97="Y",G97,0)</f>
        <v>0</v>
      </c>
      <c r="L97" s="26" t="str">
        <f>Auto_Roster!K97</f>
        <v>N</v>
      </c>
      <c r="M97" s="34">
        <f>IF(L97="Y",Settings!$B$16,0)</f>
        <v>0</v>
      </c>
      <c r="N97" s="33">
        <f t="shared" si="5"/>
        <v>0</v>
      </c>
      <c r="O97" s="34">
        <f>N97*Settings!$B$17</f>
        <v>0</v>
      </c>
      <c r="P97" s="34">
        <f>IFERROR(VLOOKUP(C97,Employees!$A$4:$E$103,5,FALSE),Settings!$B$18)</f>
        <v>100</v>
      </c>
      <c r="Q97" s="34">
        <f t="shared" si="6"/>
        <v>0</v>
      </c>
      <c r="R97" s="34">
        <f>H97*P97*Settings!$B$13</f>
        <v>0</v>
      </c>
      <c r="S97" s="34">
        <f>J97*P97*(Settings!$B$14-1)</f>
        <v>0</v>
      </c>
      <c r="T97" s="34">
        <f>K97*P97*(Settings!$B$15-1)</f>
        <v>0</v>
      </c>
      <c r="U97" s="34">
        <f t="shared" si="7"/>
        <v>0</v>
      </c>
      <c r="V97" s="26" t="str">
        <f>Auto_Roster!O97</f>
        <v>Pending</v>
      </c>
      <c r="W97" s="26" t="e">
        <f ca="1">_xludf.TEXTJOIN("; ",TRUE,Auto_Roster!N97,IF(G97&gt;Settings!$B$19,"Approval required &gt; standard hours",""),IF(AND(F97&lt;&gt;"Off",G97=0),"Missing claimed hours",""))</f>
        <v>#NAME?</v>
      </c>
      <c r="X97" s="7"/>
    </row>
    <row r="98" spans="1:24" x14ac:dyDescent="0.35">
      <c r="A98" s="31">
        <f>Auto_Roster!A98</f>
        <v>46147</v>
      </c>
      <c r="B98" s="31">
        <f>Auto_Roster!B98</f>
        <v>46146</v>
      </c>
      <c r="C98" s="26" t="str">
        <f>Auto_Roster!C98</f>
        <v/>
      </c>
      <c r="D98" s="26" t="str">
        <f>Auto_Roster!D98</f>
        <v/>
      </c>
      <c r="E98" s="26" t="str">
        <f>Auto_Roster!E98</f>
        <v/>
      </c>
      <c r="F98" s="26" t="str">
        <f>Auto_Roster!G98</f>
        <v/>
      </c>
      <c r="G98" s="33">
        <f>Auto_Roster!J98</f>
        <v>0</v>
      </c>
      <c r="H98" s="33">
        <f>IF(G98&gt;Settings!$B$19,G98-Settings!$B$19,0)</f>
        <v>0</v>
      </c>
      <c r="I98" s="33">
        <f t="shared" si="4"/>
        <v>0</v>
      </c>
      <c r="J98" s="33">
        <f>IF(Auto_Roster!M98="Y",G98,0)</f>
        <v>0</v>
      </c>
      <c r="K98" s="33">
        <f>IF(Auto_Roster!L98="Y",G98,0)</f>
        <v>0</v>
      </c>
      <c r="L98" s="26" t="str">
        <f>Auto_Roster!K98</f>
        <v>N</v>
      </c>
      <c r="M98" s="34">
        <f>IF(L98="Y",Settings!$B$16,0)</f>
        <v>0</v>
      </c>
      <c r="N98" s="33">
        <f t="shared" si="5"/>
        <v>0</v>
      </c>
      <c r="O98" s="34">
        <f>N98*Settings!$B$17</f>
        <v>0</v>
      </c>
      <c r="P98" s="34">
        <f>IFERROR(VLOOKUP(C98,Employees!$A$4:$E$103,5,FALSE),Settings!$B$18)</f>
        <v>100</v>
      </c>
      <c r="Q98" s="34">
        <f t="shared" si="6"/>
        <v>0</v>
      </c>
      <c r="R98" s="34">
        <f>H98*P98*Settings!$B$13</f>
        <v>0</v>
      </c>
      <c r="S98" s="34">
        <f>J98*P98*(Settings!$B$14-1)</f>
        <v>0</v>
      </c>
      <c r="T98" s="34">
        <f>K98*P98*(Settings!$B$15-1)</f>
        <v>0</v>
      </c>
      <c r="U98" s="34">
        <f t="shared" si="7"/>
        <v>0</v>
      </c>
      <c r="V98" s="26" t="str">
        <f>Auto_Roster!O98</f>
        <v>Pending</v>
      </c>
      <c r="W98" s="26" t="e">
        <f ca="1">_xludf.TEXTJOIN("; ",TRUE,Auto_Roster!N98,IF(G98&gt;Settings!$B$19,"Approval required &gt; standard hours",""),IF(AND(F98&lt;&gt;"Off",G98=0),"Missing claimed hours",""))</f>
        <v>#NAME?</v>
      </c>
      <c r="X98" s="7"/>
    </row>
    <row r="99" spans="1:24" x14ac:dyDescent="0.35">
      <c r="A99" s="31">
        <f>Auto_Roster!A99</f>
        <v>46147</v>
      </c>
      <c r="B99" s="31">
        <f>Auto_Roster!B99</f>
        <v>46146</v>
      </c>
      <c r="C99" s="26" t="str">
        <f>Auto_Roster!C99</f>
        <v/>
      </c>
      <c r="D99" s="26" t="str">
        <f>Auto_Roster!D99</f>
        <v/>
      </c>
      <c r="E99" s="26" t="str">
        <f>Auto_Roster!E99</f>
        <v/>
      </c>
      <c r="F99" s="26" t="str">
        <f>Auto_Roster!G99</f>
        <v/>
      </c>
      <c r="G99" s="33">
        <f>Auto_Roster!J99</f>
        <v>0</v>
      </c>
      <c r="H99" s="33">
        <f>IF(G99&gt;Settings!$B$19,G99-Settings!$B$19,0)</f>
        <v>0</v>
      </c>
      <c r="I99" s="33">
        <f t="shared" si="4"/>
        <v>0</v>
      </c>
      <c r="J99" s="33">
        <f>IF(Auto_Roster!M99="Y",G99,0)</f>
        <v>0</v>
      </c>
      <c r="K99" s="33">
        <f>IF(Auto_Roster!L99="Y",G99,0)</f>
        <v>0</v>
      </c>
      <c r="L99" s="26" t="str">
        <f>Auto_Roster!K99</f>
        <v>N</v>
      </c>
      <c r="M99" s="34">
        <f>IF(L99="Y",Settings!$B$16,0)</f>
        <v>0</v>
      </c>
      <c r="N99" s="33">
        <f t="shared" si="5"/>
        <v>0</v>
      </c>
      <c r="O99" s="34">
        <f>N99*Settings!$B$17</f>
        <v>0</v>
      </c>
      <c r="P99" s="34">
        <f>IFERROR(VLOOKUP(C99,Employees!$A$4:$E$103,5,FALSE),Settings!$B$18)</f>
        <v>100</v>
      </c>
      <c r="Q99" s="34">
        <f t="shared" si="6"/>
        <v>0</v>
      </c>
      <c r="R99" s="34">
        <f>H99*P99*Settings!$B$13</f>
        <v>0</v>
      </c>
      <c r="S99" s="34">
        <f>J99*P99*(Settings!$B$14-1)</f>
        <v>0</v>
      </c>
      <c r="T99" s="34">
        <f>K99*P99*(Settings!$B$15-1)</f>
        <v>0</v>
      </c>
      <c r="U99" s="34">
        <f t="shared" si="7"/>
        <v>0</v>
      </c>
      <c r="V99" s="26" t="str">
        <f>Auto_Roster!O99</f>
        <v>Pending</v>
      </c>
      <c r="W99" s="26" t="e">
        <f ca="1">_xludf.TEXTJOIN("; ",TRUE,Auto_Roster!N99,IF(G99&gt;Settings!$B$19,"Approval required &gt; standard hours",""),IF(AND(F99&lt;&gt;"Off",G99=0),"Missing claimed hours",""))</f>
        <v>#NAME?</v>
      </c>
      <c r="X99" s="7"/>
    </row>
    <row r="100" spans="1:24" x14ac:dyDescent="0.35">
      <c r="A100" s="31">
        <f>Auto_Roster!A100</f>
        <v>46147</v>
      </c>
      <c r="B100" s="31">
        <f>Auto_Roster!B100</f>
        <v>46146</v>
      </c>
      <c r="C100" s="26" t="str">
        <f>Auto_Roster!C100</f>
        <v/>
      </c>
      <c r="D100" s="26" t="str">
        <f>Auto_Roster!D100</f>
        <v/>
      </c>
      <c r="E100" s="26" t="str">
        <f>Auto_Roster!E100</f>
        <v/>
      </c>
      <c r="F100" s="26" t="str">
        <f>Auto_Roster!G100</f>
        <v/>
      </c>
      <c r="G100" s="33">
        <f>Auto_Roster!J100</f>
        <v>0</v>
      </c>
      <c r="H100" s="33">
        <f>IF(G100&gt;Settings!$B$19,G100-Settings!$B$19,0)</f>
        <v>0</v>
      </c>
      <c r="I100" s="33">
        <f t="shared" si="4"/>
        <v>0</v>
      </c>
      <c r="J100" s="33">
        <f>IF(Auto_Roster!M100="Y",G100,0)</f>
        <v>0</v>
      </c>
      <c r="K100" s="33">
        <f>IF(Auto_Roster!L100="Y",G100,0)</f>
        <v>0</v>
      </c>
      <c r="L100" s="26" t="str">
        <f>Auto_Roster!K100</f>
        <v>N</v>
      </c>
      <c r="M100" s="34">
        <f>IF(L100="Y",Settings!$B$16,0)</f>
        <v>0</v>
      </c>
      <c r="N100" s="33">
        <f t="shared" si="5"/>
        <v>0</v>
      </c>
      <c r="O100" s="34">
        <f>N100*Settings!$B$17</f>
        <v>0</v>
      </c>
      <c r="P100" s="34">
        <f>IFERROR(VLOOKUP(C100,Employees!$A$4:$E$103,5,FALSE),Settings!$B$18)</f>
        <v>100</v>
      </c>
      <c r="Q100" s="34">
        <f t="shared" si="6"/>
        <v>0</v>
      </c>
      <c r="R100" s="34">
        <f>H100*P100*Settings!$B$13</f>
        <v>0</v>
      </c>
      <c r="S100" s="34">
        <f>J100*P100*(Settings!$B$14-1)</f>
        <v>0</v>
      </c>
      <c r="T100" s="34">
        <f>K100*P100*(Settings!$B$15-1)</f>
        <v>0</v>
      </c>
      <c r="U100" s="34">
        <f t="shared" si="7"/>
        <v>0</v>
      </c>
      <c r="V100" s="26" t="str">
        <f>Auto_Roster!O100</f>
        <v>Pending</v>
      </c>
      <c r="W100" s="26" t="e">
        <f ca="1">_xludf.TEXTJOIN("; ",TRUE,Auto_Roster!N100,IF(G100&gt;Settings!$B$19,"Approval required &gt; standard hours",""),IF(AND(F100&lt;&gt;"Off",G100=0),"Missing claimed hours",""))</f>
        <v>#NAME?</v>
      </c>
      <c r="X100" s="7"/>
    </row>
    <row r="101" spans="1:24" x14ac:dyDescent="0.35">
      <c r="A101" s="31">
        <f>Auto_Roster!A101</f>
        <v>46147</v>
      </c>
      <c r="B101" s="31">
        <f>Auto_Roster!B101</f>
        <v>46146</v>
      </c>
      <c r="C101" s="26" t="str">
        <f>Auto_Roster!C101</f>
        <v/>
      </c>
      <c r="D101" s="26" t="str">
        <f>Auto_Roster!D101</f>
        <v/>
      </c>
      <c r="E101" s="26" t="str">
        <f>Auto_Roster!E101</f>
        <v/>
      </c>
      <c r="F101" s="26" t="str">
        <f>Auto_Roster!G101</f>
        <v/>
      </c>
      <c r="G101" s="33">
        <f>Auto_Roster!J101</f>
        <v>0</v>
      </c>
      <c r="H101" s="33">
        <f>IF(G101&gt;Settings!$B$19,G101-Settings!$B$19,0)</f>
        <v>0</v>
      </c>
      <c r="I101" s="33">
        <f t="shared" si="4"/>
        <v>0</v>
      </c>
      <c r="J101" s="33">
        <f>IF(Auto_Roster!M101="Y",G101,0)</f>
        <v>0</v>
      </c>
      <c r="K101" s="33">
        <f>IF(Auto_Roster!L101="Y",G101,0)</f>
        <v>0</v>
      </c>
      <c r="L101" s="26" t="str">
        <f>Auto_Roster!K101</f>
        <v>N</v>
      </c>
      <c r="M101" s="34">
        <f>IF(L101="Y",Settings!$B$16,0)</f>
        <v>0</v>
      </c>
      <c r="N101" s="33">
        <f t="shared" si="5"/>
        <v>0</v>
      </c>
      <c r="O101" s="34">
        <f>N101*Settings!$B$17</f>
        <v>0</v>
      </c>
      <c r="P101" s="34">
        <f>IFERROR(VLOOKUP(C101,Employees!$A$4:$E$103,5,FALSE),Settings!$B$18)</f>
        <v>100</v>
      </c>
      <c r="Q101" s="34">
        <f t="shared" si="6"/>
        <v>0</v>
      </c>
      <c r="R101" s="34">
        <f>H101*P101*Settings!$B$13</f>
        <v>0</v>
      </c>
      <c r="S101" s="34">
        <f>J101*P101*(Settings!$B$14-1)</f>
        <v>0</v>
      </c>
      <c r="T101" s="34">
        <f>K101*P101*(Settings!$B$15-1)</f>
        <v>0</v>
      </c>
      <c r="U101" s="34">
        <f t="shared" si="7"/>
        <v>0</v>
      </c>
      <c r="V101" s="26" t="str">
        <f>Auto_Roster!O101</f>
        <v>Pending</v>
      </c>
      <c r="W101" s="26" t="e">
        <f ca="1">_xludf.TEXTJOIN("; ",TRUE,Auto_Roster!N101,IF(G101&gt;Settings!$B$19,"Approval required &gt; standard hours",""),IF(AND(F101&lt;&gt;"Off",G101=0),"Missing claimed hours",""))</f>
        <v>#NAME?</v>
      </c>
      <c r="X101" s="7"/>
    </row>
    <row r="102" spans="1:24" x14ac:dyDescent="0.35">
      <c r="A102" s="31">
        <f>Auto_Roster!A102</f>
        <v>46147</v>
      </c>
      <c r="B102" s="31">
        <f>Auto_Roster!B102</f>
        <v>46146</v>
      </c>
      <c r="C102" s="26" t="str">
        <f>Auto_Roster!C102</f>
        <v/>
      </c>
      <c r="D102" s="26" t="str">
        <f>Auto_Roster!D102</f>
        <v/>
      </c>
      <c r="E102" s="26" t="str">
        <f>Auto_Roster!E102</f>
        <v/>
      </c>
      <c r="F102" s="26" t="str">
        <f>Auto_Roster!G102</f>
        <v/>
      </c>
      <c r="G102" s="33">
        <f>Auto_Roster!J102</f>
        <v>0</v>
      </c>
      <c r="H102" s="33">
        <f>IF(G102&gt;Settings!$B$19,G102-Settings!$B$19,0)</f>
        <v>0</v>
      </c>
      <c r="I102" s="33">
        <f t="shared" si="4"/>
        <v>0</v>
      </c>
      <c r="J102" s="33">
        <f>IF(Auto_Roster!M102="Y",G102,0)</f>
        <v>0</v>
      </c>
      <c r="K102" s="33">
        <f>IF(Auto_Roster!L102="Y",G102,0)</f>
        <v>0</v>
      </c>
      <c r="L102" s="26" t="str">
        <f>Auto_Roster!K102</f>
        <v>N</v>
      </c>
      <c r="M102" s="34">
        <f>IF(L102="Y",Settings!$B$16,0)</f>
        <v>0</v>
      </c>
      <c r="N102" s="33">
        <f t="shared" si="5"/>
        <v>0</v>
      </c>
      <c r="O102" s="34">
        <f>N102*Settings!$B$17</f>
        <v>0</v>
      </c>
      <c r="P102" s="34">
        <f>IFERROR(VLOOKUP(C102,Employees!$A$4:$E$103,5,FALSE),Settings!$B$18)</f>
        <v>100</v>
      </c>
      <c r="Q102" s="34">
        <f t="shared" si="6"/>
        <v>0</v>
      </c>
      <c r="R102" s="34">
        <f>H102*P102*Settings!$B$13</f>
        <v>0</v>
      </c>
      <c r="S102" s="34">
        <f>J102*P102*(Settings!$B$14-1)</f>
        <v>0</v>
      </c>
      <c r="T102" s="34">
        <f>K102*P102*(Settings!$B$15-1)</f>
        <v>0</v>
      </c>
      <c r="U102" s="34">
        <f t="shared" si="7"/>
        <v>0</v>
      </c>
      <c r="V102" s="26" t="str">
        <f>Auto_Roster!O102</f>
        <v>Pending</v>
      </c>
      <c r="W102" s="26" t="e">
        <f ca="1">_xludf.TEXTJOIN("; ",TRUE,Auto_Roster!N102,IF(G102&gt;Settings!$B$19,"Approval required &gt; standard hours",""),IF(AND(F102&lt;&gt;"Off",G102=0),"Missing claimed hours",""))</f>
        <v>#NAME?</v>
      </c>
      <c r="X102" s="7"/>
    </row>
    <row r="103" spans="1:24" x14ac:dyDescent="0.35">
      <c r="A103" s="31">
        <f>Auto_Roster!A103</f>
        <v>46147</v>
      </c>
      <c r="B103" s="31">
        <f>Auto_Roster!B103</f>
        <v>46146</v>
      </c>
      <c r="C103" s="26" t="str">
        <f>Auto_Roster!C103</f>
        <v/>
      </c>
      <c r="D103" s="26" t="str">
        <f>Auto_Roster!D103</f>
        <v/>
      </c>
      <c r="E103" s="26" t="str">
        <f>Auto_Roster!E103</f>
        <v/>
      </c>
      <c r="F103" s="26" t="str">
        <f>Auto_Roster!G103</f>
        <v/>
      </c>
      <c r="G103" s="33">
        <f>Auto_Roster!J103</f>
        <v>0</v>
      </c>
      <c r="H103" s="33">
        <f>IF(G103&gt;Settings!$B$19,G103-Settings!$B$19,0)</f>
        <v>0</v>
      </c>
      <c r="I103" s="33">
        <f t="shared" si="4"/>
        <v>0</v>
      </c>
      <c r="J103" s="33">
        <f>IF(Auto_Roster!M103="Y",G103,0)</f>
        <v>0</v>
      </c>
      <c r="K103" s="33">
        <f>IF(Auto_Roster!L103="Y",G103,0)</f>
        <v>0</v>
      </c>
      <c r="L103" s="26" t="str">
        <f>Auto_Roster!K103</f>
        <v>N</v>
      </c>
      <c r="M103" s="34">
        <f>IF(L103="Y",Settings!$B$16,0)</f>
        <v>0</v>
      </c>
      <c r="N103" s="33">
        <f t="shared" si="5"/>
        <v>0</v>
      </c>
      <c r="O103" s="34">
        <f>N103*Settings!$B$17</f>
        <v>0</v>
      </c>
      <c r="P103" s="34">
        <f>IFERROR(VLOOKUP(C103,Employees!$A$4:$E$103,5,FALSE),Settings!$B$18)</f>
        <v>100</v>
      </c>
      <c r="Q103" s="34">
        <f t="shared" si="6"/>
        <v>0</v>
      </c>
      <c r="R103" s="34">
        <f>H103*P103*Settings!$B$13</f>
        <v>0</v>
      </c>
      <c r="S103" s="34">
        <f>J103*P103*(Settings!$B$14-1)</f>
        <v>0</v>
      </c>
      <c r="T103" s="34">
        <f>K103*P103*(Settings!$B$15-1)</f>
        <v>0</v>
      </c>
      <c r="U103" s="34">
        <f t="shared" si="7"/>
        <v>0</v>
      </c>
      <c r="V103" s="26" t="str">
        <f>Auto_Roster!O103</f>
        <v>Pending</v>
      </c>
      <c r="W103" s="26" t="e">
        <f ca="1">_xludf.TEXTJOIN("; ",TRUE,Auto_Roster!N103,IF(G103&gt;Settings!$B$19,"Approval required &gt; standard hours",""),IF(AND(F103&lt;&gt;"Off",G103=0),"Missing claimed hours",""))</f>
        <v>#NAME?</v>
      </c>
      <c r="X103" s="7"/>
    </row>
    <row r="104" spans="1:24" x14ac:dyDescent="0.35">
      <c r="A104" s="31">
        <f>Auto_Roster!A104</f>
        <v>46148</v>
      </c>
      <c r="B104" s="31">
        <f>Auto_Roster!B104</f>
        <v>46146</v>
      </c>
      <c r="C104" s="26" t="str">
        <f>Auto_Roster!C104</f>
        <v>E001</v>
      </c>
      <c r="D104" s="26" t="str">
        <f>Auto_Roster!D104</f>
        <v>Musiwa Khavalani</v>
      </c>
      <c r="E104" s="26">
        <f>Auto_Roster!E104</f>
        <v>0</v>
      </c>
      <c r="F104" s="26" t="e">
        <f>Auto_Roster!G104</f>
        <v>#N/A</v>
      </c>
      <c r="G104" s="33" t="e">
        <f>Auto_Roster!J104</f>
        <v>#N/A</v>
      </c>
      <c r="H104" s="33" t="e">
        <f>IF(G104&gt;Settings!$B$19,G104-Settings!$B$19,0)</f>
        <v>#N/A</v>
      </c>
      <c r="I104" s="33" t="e">
        <f t="shared" si="4"/>
        <v>#N/A</v>
      </c>
      <c r="J104" s="33">
        <f>IF(Auto_Roster!M104="Y",G104,0)</f>
        <v>0</v>
      </c>
      <c r="K104" s="33">
        <f>IF(Auto_Roster!L104="Y",G104,0)</f>
        <v>0</v>
      </c>
      <c r="L104" s="26" t="str">
        <f>Auto_Roster!K104</f>
        <v>N</v>
      </c>
      <c r="M104" s="34">
        <f>IF(L104="Y",Settings!$B$16,0)</f>
        <v>0</v>
      </c>
      <c r="N104" s="33" t="e">
        <f t="shared" si="5"/>
        <v>#N/A</v>
      </c>
      <c r="O104" s="34" t="e">
        <f>N104*Settings!$B$17</f>
        <v>#N/A</v>
      </c>
      <c r="P104" s="34">
        <f>IFERROR(VLOOKUP(C104,Employees!$A$4:$E$103,5,FALSE),Settings!$B$18)</f>
        <v>100</v>
      </c>
      <c r="Q104" s="34" t="e">
        <f t="shared" si="6"/>
        <v>#N/A</v>
      </c>
      <c r="R104" s="34" t="e">
        <f>H104*P104*Settings!$B$13</f>
        <v>#N/A</v>
      </c>
      <c r="S104" s="34">
        <f>J104*P104*(Settings!$B$14-1)</f>
        <v>0</v>
      </c>
      <c r="T104" s="34">
        <f>K104*P104*(Settings!$B$15-1)</f>
        <v>0</v>
      </c>
      <c r="U104" s="34" t="e">
        <f t="shared" si="7"/>
        <v>#N/A</v>
      </c>
      <c r="V104" s="26" t="str">
        <f>Auto_Roster!O104</f>
        <v>Pending</v>
      </c>
      <c r="W104" s="26" t="e">
        <f ca="1">_xludf.TEXTJOIN("; ",TRUE,Auto_Roster!N104,IF(G104&gt;Settings!$B$19,"Approval required &gt; standard hours",""),IF(AND(F104&lt;&gt;"Off",G104=0),"Missing claimed hours",""))</f>
        <v>#NAME?</v>
      </c>
      <c r="X104" s="7"/>
    </row>
    <row r="105" spans="1:24" x14ac:dyDescent="0.35">
      <c r="A105" s="31">
        <f>Auto_Roster!A105</f>
        <v>46148</v>
      </c>
      <c r="B105" s="31">
        <f>Auto_Roster!B105</f>
        <v>46146</v>
      </c>
      <c r="C105" s="26" t="str">
        <f>Auto_Roster!C105</f>
        <v>E002</v>
      </c>
      <c r="D105" s="26" t="str">
        <f>Auto_Roster!D105</f>
        <v>Mpho  Nembemhia</v>
      </c>
      <c r="E105" s="26" t="str">
        <f>Auto_Roster!E105</f>
        <v>B</v>
      </c>
      <c r="F105" s="26" t="str">
        <f>Auto_Roster!G105</f>
        <v>Day</v>
      </c>
      <c r="G105" s="33">
        <f>Auto_Roster!J105</f>
        <v>8</v>
      </c>
      <c r="H105" s="33">
        <f>IF(G105&gt;Settings!$B$19,G105-Settings!$B$19,0)</f>
        <v>0</v>
      </c>
      <c r="I105" s="33">
        <f t="shared" si="4"/>
        <v>8</v>
      </c>
      <c r="J105" s="33">
        <f>IF(Auto_Roster!M105="Y",G105,0)</f>
        <v>0</v>
      </c>
      <c r="K105" s="33">
        <f>IF(Auto_Roster!L105="Y",G105,0)</f>
        <v>0</v>
      </c>
      <c r="L105" s="26" t="str">
        <f>Auto_Roster!K105</f>
        <v>N</v>
      </c>
      <c r="M105" s="34">
        <f>IF(L105="Y",Settings!$B$16,0)</f>
        <v>0</v>
      </c>
      <c r="N105" s="33">
        <f t="shared" si="5"/>
        <v>0</v>
      </c>
      <c r="O105" s="34">
        <f>N105*Settings!$B$17</f>
        <v>0</v>
      </c>
      <c r="P105" s="34">
        <f>IFERROR(VLOOKUP(C105,Employees!$A$4:$E$103,5,FALSE),Settings!$B$18)</f>
        <v>100</v>
      </c>
      <c r="Q105" s="34">
        <f t="shared" si="6"/>
        <v>800</v>
      </c>
      <c r="R105" s="34">
        <f>H105*P105*Settings!$B$13</f>
        <v>0</v>
      </c>
      <c r="S105" s="34">
        <f>J105*P105*(Settings!$B$14-1)</f>
        <v>0</v>
      </c>
      <c r="T105" s="34">
        <f>K105*P105*(Settings!$B$15-1)</f>
        <v>0</v>
      </c>
      <c r="U105" s="34">
        <f t="shared" si="7"/>
        <v>800</v>
      </c>
      <c r="V105" s="26" t="str">
        <f>Auto_Roster!O105</f>
        <v>Pending</v>
      </c>
      <c r="W105" s="26" t="e">
        <f ca="1">_xludf.TEXTJOIN("; ",TRUE,Auto_Roster!N105,IF(G105&gt;Settings!$B$19,"Approval required &gt; standard hours",""),IF(AND(F105&lt;&gt;"Off",G105=0),"Missing claimed hours",""))</f>
        <v>#NAME?</v>
      </c>
      <c r="X105" s="7"/>
    </row>
    <row r="106" spans="1:24" x14ac:dyDescent="0.35">
      <c r="A106" s="31">
        <f>Auto_Roster!A106</f>
        <v>46148</v>
      </c>
      <c r="B106" s="31">
        <f>Auto_Roster!B106</f>
        <v>46146</v>
      </c>
      <c r="C106" s="26" t="str">
        <f>Auto_Roster!C106</f>
        <v>E003</v>
      </c>
      <c r="D106" s="26" t="str">
        <f>Auto_Roster!D106</f>
        <v>Dimpho Makhafola</v>
      </c>
      <c r="E106" s="26" t="str">
        <f>Auto_Roster!E106</f>
        <v>C</v>
      </c>
      <c r="F106" s="26" t="str">
        <f>Auto_Roster!G106</f>
        <v>Off</v>
      </c>
      <c r="G106" s="33">
        <f>Auto_Roster!J106</f>
        <v>0</v>
      </c>
      <c r="H106" s="33">
        <f>IF(G106&gt;Settings!$B$19,G106-Settings!$B$19,0)</f>
        <v>0</v>
      </c>
      <c r="I106" s="33">
        <f t="shared" si="4"/>
        <v>0</v>
      </c>
      <c r="J106" s="33">
        <f>IF(Auto_Roster!M106="Y",G106,0)</f>
        <v>0</v>
      </c>
      <c r="K106" s="33">
        <f>IF(Auto_Roster!L106="Y",G106,0)</f>
        <v>0</v>
      </c>
      <c r="L106" s="26" t="str">
        <f>Auto_Roster!K106</f>
        <v>N</v>
      </c>
      <c r="M106" s="34">
        <f>IF(L106="Y",Settings!$B$16,0)</f>
        <v>0</v>
      </c>
      <c r="N106" s="33">
        <f t="shared" si="5"/>
        <v>0</v>
      </c>
      <c r="O106" s="34">
        <f>N106*Settings!$B$17</f>
        <v>0</v>
      </c>
      <c r="P106" s="34">
        <f>IFERROR(VLOOKUP(C106,Employees!$A$4:$E$103,5,FALSE),Settings!$B$18)</f>
        <v>100</v>
      </c>
      <c r="Q106" s="34">
        <f t="shared" si="6"/>
        <v>0</v>
      </c>
      <c r="R106" s="34">
        <f>H106*P106*Settings!$B$13</f>
        <v>0</v>
      </c>
      <c r="S106" s="34">
        <f>J106*P106*(Settings!$B$14-1)</f>
        <v>0</v>
      </c>
      <c r="T106" s="34">
        <f>K106*P106*(Settings!$B$15-1)</f>
        <v>0</v>
      </c>
      <c r="U106" s="34">
        <f t="shared" si="7"/>
        <v>0</v>
      </c>
      <c r="V106" s="26" t="str">
        <f>Auto_Roster!O106</f>
        <v>Pending</v>
      </c>
      <c r="W106" s="26" t="e">
        <f ca="1">_xludf.TEXTJOIN("; ",TRUE,Auto_Roster!N106,IF(G106&gt;Settings!$B$19,"Approval required &gt; standard hours",""),IF(AND(F106&lt;&gt;"Off",G106=0),"Missing claimed hours",""))</f>
        <v>#NAME?</v>
      </c>
      <c r="X106" s="7"/>
    </row>
    <row r="107" spans="1:24" x14ac:dyDescent="0.35">
      <c r="A107" s="31">
        <f>Auto_Roster!A107</f>
        <v>46148</v>
      </c>
      <c r="B107" s="31">
        <f>Auto_Roster!B107</f>
        <v>46146</v>
      </c>
      <c r="C107" s="26" t="str">
        <f>Auto_Roster!C107</f>
        <v>E004</v>
      </c>
      <c r="D107" s="26" t="str">
        <f>Auto_Roster!D107</f>
        <v>Bashii Fall</v>
      </c>
      <c r="E107" s="26" t="str">
        <f>Auto_Roster!E107</f>
        <v>D</v>
      </c>
      <c r="F107" s="26" t="str">
        <f>Auto_Roster!G107</f>
        <v>Night</v>
      </c>
      <c r="G107" s="33">
        <f>Auto_Roster!J107</f>
        <v>8</v>
      </c>
      <c r="H107" s="33">
        <f>IF(G107&gt;Settings!$B$19,G107-Settings!$B$19,0)</f>
        <v>0</v>
      </c>
      <c r="I107" s="33">
        <f t="shared" si="4"/>
        <v>8</v>
      </c>
      <c r="J107" s="33">
        <f>IF(Auto_Roster!M107="Y",G107,0)</f>
        <v>0</v>
      </c>
      <c r="K107" s="33">
        <f>IF(Auto_Roster!L107="Y",G107,0)</f>
        <v>0</v>
      </c>
      <c r="L107" s="26" t="str">
        <f>Auto_Roster!K107</f>
        <v>N</v>
      </c>
      <c r="M107" s="34">
        <f>IF(L107="Y",Settings!$B$16,0)</f>
        <v>0</v>
      </c>
      <c r="N107" s="33">
        <f t="shared" si="5"/>
        <v>8</v>
      </c>
      <c r="O107" s="34">
        <f>N107*Settings!$B$17</f>
        <v>0</v>
      </c>
      <c r="P107" s="34">
        <f>IFERROR(VLOOKUP(C107,Employees!$A$4:$E$103,5,FALSE),Settings!$B$18)</f>
        <v>100</v>
      </c>
      <c r="Q107" s="34">
        <f t="shared" si="6"/>
        <v>800</v>
      </c>
      <c r="R107" s="34">
        <f>H107*P107*Settings!$B$13</f>
        <v>0</v>
      </c>
      <c r="S107" s="34">
        <f>J107*P107*(Settings!$B$14-1)</f>
        <v>0</v>
      </c>
      <c r="T107" s="34">
        <f>K107*P107*(Settings!$B$15-1)</f>
        <v>0</v>
      </c>
      <c r="U107" s="34">
        <f t="shared" si="7"/>
        <v>800</v>
      </c>
      <c r="V107" s="26" t="str">
        <f>Auto_Roster!O107</f>
        <v>Pending</v>
      </c>
      <c r="W107" s="26" t="e">
        <f ca="1">_xludf.TEXTJOIN("; ",TRUE,Auto_Roster!N107,IF(G107&gt;Settings!$B$19,"Approval required &gt; standard hours",""),IF(AND(F107&lt;&gt;"Off",G107=0),"Missing claimed hours",""))</f>
        <v>#NAME?</v>
      </c>
      <c r="X107" s="7"/>
    </row>
    <row r="108" spans="1:24" x14ac:dyDescent="0.35">
      <c r="A108" s="31">
        <f>Auto_Roster!A108</f>
        <v>46148</v>
      </c>
      <c r="B108" s="31">
        <f>Auto_Roster!B108</f>
        <v>46146</v>
      </c>
      <c r="C108" s="26" t="str">
        <f>Auto_Roster!C108</f>
        <v>E005</v>
      </c>
      <c r="D108" s="26" t="str">
        <f>Auto_Roster!D108</f>
        <v>Lesego Aphane</v>
      </c>
      <c r="E108" s="26" t="str">
        <f>Auto_Roster!E108</f>
        <v>A</v>
      </c>
      <c r="F108" s="26" t="str">
        <f>Auto_Roster!G108</f>
        <v>Evening</v>
      </c>
      <c r="G108" s="33">
        <f>Auto_Roster!J108</f>
        <v>8</v>
      </c>
      <c r="H108" s="33">
        <f>IF(G108&gt;Settings!$B$19,G108-Settings!$B$19,0)</f>
        <v>0</v>
      </c>
      <c r="I108" s="33">
        <f t="shared" si="4"/>
        <v>8</v>
      </c>
      <c r="J108" s="33">
        <f>IF(Auto_Roster!M108="Y",G108,0)</f>
        <v>0</v>
      </c>
      <c r="K108" s="33">
        <f>IF(Auto_Roster!L108="Y",G108,0)</f>
        <v>0</v>
      </c>
      <c r="L108" s="26" t="str">
        <f>Auto_Roster!K108</f>
        <v>N</v>
      </c>
      <c r="M108" s="34">
        <f>IF(L108="Y",Settings!$B$16,0)</f>
        <v>0</v>
      </c>
      <c r="N108" s="33">
        <f t="shared" si="5"/>
        <v>0</v>
      </c>
      <c r="O108" s="34">
        <f>N108*Settings!$B$17</f>
        <v>0</v>
      </c>
      <c r="P108" s="34">
        <f>IFERROR(VLOOKUP(C108,Employees!$A$4:$E$103,5,FALSE),Settings!$B$18)</f>
        <v>100</v>
      </c>
      <c r="Q108" s="34">
        <f t="shared" si="6"/>
        <v>800</v>
      </c>
      <c r="R108" s="34">
        <f>H108*P108*Settings!$B$13</f>
        <v>0</v>
      </c>
      <c r="S108" s="34">
        <f>J108*P108*(Settings!$B$14-1)</f>
        <v>0</v>
      </c>
      <c r="T108" s="34">
        <f>K108*P108*(Settings!$B$15-1)</f>
        <v>0</v>
      </c>
      <c r="U108" s="34">
        <f t="shared" si="7"/>
        <v>800</v>
      </c>
      <c r="V108" s="26" t="str">
        <f>Auto_Roster!O108</f>
        <v>Pending</v>
      </c>
      <c r="W108" s="26" t="e">
        <f ca="1">_xludf.TEXTJOIN("; ",TRUE,Auto_Roster!N108,IF(G108&gt;Settings!$B$19,"Approval required &gt; standard hours",""),IF(AND(F108&lt;&gt;"Off",G108=0),"Missing claimed hours",""))</f>
        <v>#NAME?</v>
      </c>
      <c r="X108" s="7"/>
    </row>
    <row r="109" spans="1:24" x14ac:dyDescent="0.35">
      <c r="A109" s="31">
        <f>Auto_Roster!A109</f>
        <v>46148</v>
      </c>
      <c r="B109" s="31">
        <f>Auto_Roster!B109</f>
        <v>46146</v>
      </c>
      <c r="C109" s="26" t="str">
        <f>Auto_Roster!C109</f>
        <v>E006</v>
      </c>
      <c r="D109" s="26" t="str">
        <f>Auto_Roster!D109</f>
        <v>Nhalnahla</v>
      </c>
      <c r="E109" s="26" t="str">
        <f>Auto_Roster!E109</f>
        <v>B</v>
      </c>
      <c r="F109" s="26" t="str">
        <f>Auto_Roster!G109</f>
        <v>Day</v>
      </c>
      <c r="G109" s="33">
        <f>Auto_Roster!J109</f>
        <v>8</v>
      </c>
      <c r="H109" s="33">
        <f>IF(G109&gt;Settings!$B$19,G109-Settings!$B$19,0)</f>
        <v>0</v>
      </c>
      <c r="I109" s="33">
        <f t="shared" si="4"/>
        <v>8</v>
      </c>
      <c r="J109" s="33">
        <f>IF(Auto_Roster!M109="Y",G109,0)</f>
        <v>0</v>
      </c>
      <c r="K109" s="33">
        <f>IF(Auto_Roster!L109="Y",G109,0)</f>
        <v>0</v>
      </c>
      <c r="L109" s="26" t="str">
        <f>Auto_Roster!K109</f>
        <v>N</v>
      </c>
      <c r="M109" s="34">
        <f>IF(L109="Y",Settings!$B$16,0)</f>
        <v>0</v>
      </c>
      <c r="N109" s="33">
        <f t="shared" si="5"/>
        <v>0</v>
      </c>
      <c r="O109" s="34">
        <f>N109*Settings!$B$17</f>
        <v>0</v>
      </c>
      <c r="P109" s="34">
        <f>IFERROR(VLOOKUP(C109,Employees!$A$4:$E$103,5,FALSE),Settings!$B$18)</f>
        <v>100</v>
      </c>
      <c r="Q109" s="34">
        <f t="shared" si="6"/>
        <v>800</v>
      </c>
      <c r="R109" s="34">
        <f>H109*P109*Settings!$B$13</f>
        <v>0</v>
      </c>
      <c r="S109" s="34">
        <f>J109*P109*(Settings!$B$14-1)</f>
        <v>0</v>
      </c>
      <c r="T109" s="34">
        <f>K109*P109*(Settings!$B$15-1)</f>
        <v>0</v>
      </c>
      <c r="U109" s="34">
        <f t="shared" si="7"/>
        <v>800</v>
      </c>
      <c r="V109" s="26" t="str">
        <f>Auto_Roster!O109</f>
        <v>Pending</v>
      </c>
      <c r="W109" s="26" t="e">
        <f ca="1">_xludf.TEXTJOIN("; ",TRUE,Auto_Roster!N109,IF(G109&gt;Settings!$B$19,"Approval required &gt; standard hours",""),IF(AND(F109&lt;&gt;"Off",G109=0),"Missing claimed hours",""))</f>
        <v>#NAME?</v>
      </c>
      <c r="X109" s="7"/>
    </row>
    <row r="110" spans="1:24" x14ac:dyDescent="0.35">
      <c r="A110" s="31">
        <f>Auto_Roster!A110</f>
        <v>46148</v>
      </c>
      <c r="B110" s="31">
        <f>Auto_Roster!B110</f>
        <v>46146</v>
      </c>
      <c r="C110" s="26" t="str">
        <f>Auto_Roster!C110</f>
        <v>E007</v>
      </c>
      <c r="D110" s="26" t="str">
        <f>Auto_Roster!D110</f>
        <v>Joe</v>
      </c>
      <c r="E110" s="26" t="str">
        <f>Auto_Roster!E110</f>
        <v>C</v>
      </c>
      <c r="F110" s="26" t="str">
        <f>Auto_Roster!G110</f>
        <v>Off</v>
      </c>
      <c r="G110" s="33">
        <f>Auto_Roster!J110</f>
        <v>0</v>
      </c>
      <c r="H110" s="33">
        <f>IF(G110&gt;Settings!$B$19,G110-Settings!$B$19,0)</f>
        <v>0</v>
      </c>
      <c r="I110" s="33">
        <f t="shared" si="4"/>
        <v>0</v>
      </c>
      <c r="J110" s="33">
        <f>IF(Auto_Roster!M110="Y",G110,0)</f>
        <v>0</v>
      </c>
      <c r="K110" s="33">
        <f>IF(Auto_Roster!L110="Y",G110,0)</f>
        <v>0</v>
      </c>
      <c r="L110" s="26" t="str">
        <f>Auto_Roster!K110</f>
        <v>N</v>
      </c>
      <c r="M110" s="34">
        <f>IF(L110="Y",Settings!$B$16,0)</f>
        <v>0</v>
      </c>
      <c r="N110" s="33">
        <f t="shared" si="5"/>
        <v>0</v>
      </c>
      <c r="O110" s="34">
        <f>N110*Settings!$B$17</f>
        <v>0</v>
      </c>
      <c r="P110" s="34">
        <f>IFERROR(VLOOKUP(C110,Employees!$A$4:$E$103,5,FALSE),Settings!$B$18)</f>
        <v>100</v>
      </c>
      <c r="Q110" s="34">
        <f t="shared" si="6"/>
        <v>0</v>
      </c>
      <c r="R110" s="34">
        <f>H110*P110*Settings!$B$13</f>
        <v>0</v>
      </c>
      <c r="S110" s="34">
        <f>J110*P110*(Settings!$B$14-1)</f>
        <v>0</v>
      </c>
      <c r="T110" s="34">
        <f>K110*P110*(Settings!$B$15-1)</f>
        <v>0</v>
      </c>
      <c r="U110" s="34">
        <f t="shared" si="7"/>
        <v>0</v>
      </c>
      <c r="V110" s="26" t="str">
        <f>Auto_Roster!O110</f>
        <v>Pending</v>
      </c>
      <c r="W110" s="26" t="e">
        <f ca="1">_xludf.TEXTJOIN("; ",TRUE,Auto_Roster!N110,IF(G110&gt;Settings!$B$19,"Approval required &gt; standard hours",""),IF(AND(F110&lt;&gt;"Off",G110=0),"Missing claimed hours",""))</f>
        <v>#NAME?</v>
      </c>
      <c r="X110" s="7"/>
    </row>
    <row r="111" spans="1:24" x14ac:dyDescent="0.35">
      <c r="A111" s="31">
        <f>Auto_Roster!A111</f>
        <v>46148</v>
      </c>
      <c r="B111" s="31">
        <f>Auto_Roster!B111</f>
        <v>46146</v>
      </c>
      <c r="C111" s="26" t="str">
        <f>Auto_Roster!C111</f>
        <v>E008</v>
      </c>
      <c r="D111" s="26" t="str">
        <f>Auto_Roster!D111</f>
        <v>Tim</v>
      </c>
      <c r="E111" s="26" t="str">
        <f>Auto_Roster!E111</f>
        <v>D</v>
      </c>
      <c r="F111" s="26" t="str">
        <f>Auto_Roster!G111</f>
        <v>Night</v>
      </c>
      <c r="G111" s="33">
        <f>Auto_Roster!J111</f>
        <v>8</v>
      </c>
      <c r="H111" s="33">
        <f>IF(G111&gt;Settings!$B$19,G111-Settings!$B$19,0)</f>
        <v>0</v>
      </c>
      <c r="I111" s="33">
        <f t="shared" si="4"/>
        <v>8</v>
      </c>
      <c r="J111" s="33">
        <f>IF(Auto_Roster!M111="Y",G111,0)</f>
        <v>0</v>
      </c>
      <c r="K111" s="33">
        <f>IF(Auto_Roster!L111="Y",G111,0)</f>
        <v>0</v>
      </c>
      <c r="L111" s="26" t="str">
        <f>Auto_Roster!K111</f>
        <v>N</v>
      </c>
      <c r="M111" s="34">
        <f>IF(L111="Y",Settings!$B$16,0)</f>
        <v>0</v>
      </c>
      <c r="N111" s="33">
        <f t="shared" si="5"/>
        <v>8</v>
      </c>
      <c r="O111" s="34">
        <f>N111*Settings!$B$17</f>
        <v>0</v>
      </c>
      <c r="P111" s="34">
        <f>IFERROR(VLOOKUP(C111,Employees!$A$4:$E$103,5,FALSE),Settings!$B$18)</f>
        <v>100</v>
      </c>
      <c r="Q111" s="34">
        <f t="shared" si="6"/>
        <v>800</v>
      </c>
      <c r="R111" s="34">
        <f>H111*P111*Settings!$B$13</f>
        <v>0</v>
      </c>
      <c r="S111" s="34">
        <f>J111*P111*(Settings!$B$14-1)</f>
        <v>0</v>
      </c>
      <c r="T111" s="34">
        <f>K111*P111*(Settings!$B$15-1)</f>
        <v>0</v>
      </c>
      <c r="U111" s="34">
        <f t="shared" si="7"/>
        <v>800</v>
      </c>
      <c r="V111" s="26" t="str">
        <f>Auto_Roster!O111</f>
        <v>Pending</v>
      </c>
      <c r="W111" s="26" t="e">
        <f ca="1">_xludf.TEXTJOIN("; ",TRUE,Auto_Roster!N111,IF(G111&gt;Settings!$B$19,"Approval required &gt; standard hours",""),IF(AND(F111&lt;&gt;"Off",G111=0),"Missing claimed hours",""))</f>
        <v>#NAME?</v>
      </c>
      <c r="X111" s="7"/>
    </row>
    <row r="112" spans="1:24" x14ac:dyDescent="0.35">
      <c r="A112" s="31">
        <f>Auto_Roster!A112</f>
        <v>46148</v>
      </c>
      <c r="B112" s="31">
        <f>Auto_Roster!B112</f>
        <v>46146</v>
      </c>
      <c r="C112" s="26" t="str">
        <f>Auto_Roster!C112</f>
        <v>E009</v>
      </c>
      <c r="D112" s="26" t="str">
        <f>Auto_Roster!D112</f>
        <v>Frank</v>
      </c>
      <c r="E112" s="26" t="str">
        <f>Auto_Roster!E112</f>
        <v>A</v>
      </c>
      <c r="F112" s="26" t="str">
        <f>Auto_Roster!G112</f>
        <v>Evening</v>
      </c>
      <c r="G112" s="33">
        <f>Auto_Roster!J112</f>
        <v>8</v>
      </c>
      <c r="H112" s="33">
        <f>IF(G112&gt;Settings!$B$19,G112-Settings!$B$19,0)</f>
        <v>0</v>
      </c>
      <c r="I112" s="33">
        <f t="shared" si="4"/>
        <v>8</v>
      </c>
      <c r="J112" s="33">
        <f>IF(Auto_Roster!M112="Y",G112,0)</f>
        <v>0</v>
      </c>
      <c r="K112" s="33">
        <f>IF(Auto_Roster!L112="Y",G112,0)</f>
        <v>0</v>
      </c>
      <c r="L112" s="26" t="str">
        <f>Auto_Roster!K112</f>
        <v>N</v>
      </c>
      <c r="M112" s="34">
        <f>IF(L112="Y",Settings!$B$16,0)</f>
        <v>0</v>
      </c>
      <c r="N112" s="33">
        <f t="shared" si="5"/>
        <v>0</v>
      </c>
      <c r="O112" s="34">
        <f>N112*Settings!$B$17</f>
        <v>0</v>
      </c>
      <c r="P112" s="34">
        <f>IFERROR(VLOOKUP(C112,Employees!$A$4:$E$103,5,FALSE),Settings!$B$18)</f>
        <v>100</v>
      </c>
      <c r="Q112" s="34">
        <f t="shared" si="6"/>
        <v>800</v>
      </c>
      <c r="R112" s="34">
        <f>H112*P112*Settings!$B$13</f>
        <v>0</v>
      </c>
      <c r="S112" s="34">
        <f>J112*P112*(Settings!$B$14-1)</f>
        <v>0</v>
      </c>
      <c r="T112" s="34">
        <f>K112*P112*(Settings!$B$15-1)</f>
        <v>0</v>
      </c>
      <c r="U112" s="34">
        <f t="shared" si="7"/>
        <v>800</v>
      </c>
      <c r="V112" s="26" t="str">
        <f>Auto_Roster!O112</f>
        <v>Pending</v>
      </c>
      <c r="W112" s="26" t="e">
        <f ca="1">_xludf.TEXTJOIN("; ",TRUE,Auto_Roster!N112,IF(G112&gt;Settings!$B$19,"Approval required &gt; standard hours",""),IF(AND(F112&lt;&gt;"Off",G112=0),"Missing claimed hours",""))</f>
        <v>#NAME?</v>
      </c>
      <c r="X112" s="7"/>
    </row>
    <row r="113" spans="1:24" x14ac:dyDescent="0.35">
      <c r="A113" s="31">
        <f>Auto_Roster!A113</f>
        <v>46148</v>
      </c>
      <c r="B113" s="31">
        <f>Auto_Roster!B113</f>
        <v>46146</v>
      </c>
      <c r="C113" s="26" t="str">
        <f>Auto_Roster!C113</f>
        <v/>
      </c>
      <c r="D113" s="26" t="str">
        <f>Auto_Roster!D113</f>
        <v/>
      </c>
      <c r="E113" s="26" t="str">
        <f>Auto_Roster!E113</f>
        <v/>
      </c>
      <c r="F113" s="26" t="str">
        <f>Auto_Roster!G113</f>
        <v/>
      </c>
      <c r="G113" s="33">
        <f>Auto_Roster!J113</f>
        <v>0</v>
      </c>
      <c r="H113" s="33">
        <f>IF(G113&gt;Settings!$B$19,G113-Settings!$B$19,0)</f>
        <v>0</v>
      </c>
      <c r="I113" s="33">
        <f t="shared" si="4"/>
        <v>0</v>
      </c>
      <c r="J113" s="33">
        <f>IF(Auto_Roster!M113="Y",G113,0)</f>
        <v>0</v>
      </c>
      <c r="K113" s="33">
        <f>IF(Auto_Roster!L113="Y",G113,0)</f>
        <v>0</v>
      </c>
      <c r="L113" s="26" t="str">
        <f>Auto_Roster!K113</f>
        <v>N</v>
      </c>
      <c r="M113" s="34">
        <f>IF(L113="Y",Settings!$B$16,0)</f>
        <v>0</v>
      </c>
      <c r="N113" s="33">
        <f t="shared" si="5"/>
        <v>0</v>
      </c>
      <c r="O113" s="34">
        <f>N113*Settings!$B$17</f>
        <v>0</v>
      </c>
      <c r="P113" s="34">
        <f>IFERROR(VLOOKUP(C113,Employees!$A$4:$E$103,5,FALSE),Settings!$B$18)</f>
        <v>100</v>
      </c>
      <c r="Q113" s="34">
        <f t="shared" si="6"/>
        <v>0</v>
      </c>
      <c r="R113" s="34">
        <f>H113*P113*Settings!$B$13</f>
        <v>0</v>
      </c>
      <c r="S113" s="34">
        <f>J113*P113*(Settings!$B$14-1)</f>
        <v>0</v>
      </c>
      <c r="T113" s="34">
        <f>K113*P113*(Settings!$B$15-1)</f>
        <v>0</v>
      </c>
      <c r="U113" s="34">
        <f t="shared" si="7"/>
        <v>0</v>
      </c>
      <c r="V113" s="26" t="str">
        <f>Auto_Roster!O113</f>
        <v>Pending</v>
      </c>
      <c r="W113" s="26" t="e">
        <f ca="1">_xludf.TEXTJOIN("; ",TRUE,Auto_Roster!N113,IF(G113&gt;Settings!$B$19,"Approval required &gt; standard hours",""),IF(AND(F113&lt;&gt;"Off",G113=0),"Missing claimed hours",""))</f>
        <v>#NAME?</v>
      </c>
      <c r="X113" s="7"/>
    </row>
    <row r="114" spans="1:24" x14ac:dyDescent="0.35">
      <c r="A114" s="31">
        <f>Auto_Roster!A114</f>
        <v>46148</v>
      </c>
      <c r="B114" s="31">
        <f>Auto_Roster!B114</f>
        <v>46146</v>
      </c>
      <c r="C114" s="26" t="str">
        <f>Auto_Roster!C114</f>
        <v/>
      </c>
      <c r="D114" s="26" t="str">
        <f>Auto_Roster!D114</f>
        <v/>
      </c>
      <c r="E114" s="26" t="str">
        <f>Auto_Roster!E114</f>
        <v/>
      </c>
      <c r="F114" s="26" t="str">
        <f>Auto_Roster!G114</f>
        <v/>
      </c>
      <c r="G114" s="33">
        <f>Auto_Roster!J114</f>
        <v>0</v>
      </c>
      <c r="H114" s="33">
        <f>IF(G114&gt;Settings!$B$19,G114-Settings!$B$19,0)</f>
        <v>0</v>
      </c>
      <c r="I114" s="33">
        <f t="shared" si="4"/>
        <v>0</v>
      </c>
      <c r="J114" s="33">
        <f>IF(Auto_Roster!M114="Y",G114,0)</f>
        <v>0</v>
      </c>
      <c r="K114" s="33">
        <f>IF(Auto_Roster!L114="Y",G114,0)</f>
        <v>0</v>
      </c>
      <c r="L114" s="26" t="str">
        <f>Auto_Roster!K114</f>
        <v>N</v>
      </c>
      <c r="M114" s="34">
        <f>IF(L114="Y",Settings!$B$16,0)</f>
        <v>0</v>
      </c>
      <c r="N114" s="33">
        <f t="shared" si="5"/>
        <v>0</v>
      </c>
      <c r="O114" s="34">
        <f>N114*Settings!$B$17</f>
        <v>0</v>
      </c>
      <c r="P114" s="34">
        <f>IFERROR(VLOOKUP(C114,Employees!$A$4:$E$103,5,FALSE),Settings!$B$18)</f>
        <v>100</v>
      </c>
      <c r="Q114" s="34">
        <f t="shared" si="6"/>
        <v>0</v>
      </c>
      <c r="R114" s="34">
        <f>H114*P114*Settings!$B$13</f>
        <v>0</v>
      </c>
      <c r="S114" s="34">
        <f>J114*P114*(Settings!$B$14-1)</f>
        <v>0</v>
      </c>
      <c r="T114" s="34">
        <f>K114*P114*(Settings!$B$15-1)</f>
        <v>0</v>
      </c>
      <c r="U114" s="34">
        <f t="shared" si="7"/>
        <v>0</v>
      </c>
      <c r="V114" s="26" t="str">
        <f>Auto_Roster!O114</f>
        <v>Pending</v>
      </c>
      <c r="W114" s="26" t="e">
        <f ca="1">_xludf.TEXTJOIN("; ",TRUE,Auto_Roster!N114,IF(G114&gt;Settings!$B$19,"Approval required &gt; standard hours",""),IF(AND(F114&lt;&gt;"Off",G114=0),"Missing claimed hours",""))</f>
        <v>#NAME?</v>
      </c>
      <c r="X114" s="7"/>
    </row>
    <row r="115" spans="1:24" x14ac:dyDescent="0.35">
      <c r="A115" s="31">
        <f>Auto_Roster!A115</f>
        <v>46148</v>
      </c>
      <c r="B115" s="31">
        <f>Auto_Roster!B115</f>
        <v>46146</v>
      </c>
      <c r="C115" s="26" t="str">
        <f>Auto_Roster!C115</f>
        <v/>
      </c>
      <c r="D115" s="26" t="str">
        <f>Auto_Roster!D115</f>
        <v/>
      </c>
      <c r="E115" s="26" t="str">
        <f>Auto_Roster!E115</f>
        <v/>
      </c>
      <c r="F115" s="26" t="str">
        <f>Auto_Roster!G115</f>
        <v/>
      </c>
      <c r="G115" s="33">
        <f>Auto_Roster!J115</f>
        <v>0</v>
      </c>
      <c r="H115" s="33">
        <f>IF(G115&gt;Settings!$B$19,G115-Settings!$B$19,0)</f>
        <v>0</v>
      </c>
      <c r="I115" s="33">
        <f t="shared" si="4"/>
        <v>0</v>
      </c>
      <c r="J115" s="33">
        <f>IF(Auto_Roster!M115="Y",G115,0)</f>
        <v>0</v>
      </c>
      <c r="K115" s="33">
        <f>IF(Auto_Roster!L115="Y",G115,0)</f>
        <v>0</v>
      </c>
      <c r="L115" s="26" t="str">
        <f>Auto_Roster!K115</f>
        <v>N</v>
      </c>
      <c r="M115" s="34">
        <f>IF(L115="Y",Settings!$B$16,0)</f>
        <v>0</v>
      </c>
      <c r="N115" s="33">
        <f t="shared" si="5"/>
        <v>0</v>
      </c>
      <c r="O115" s="34">
        <f>N115*Settings!$B$17</f>
        <v>0</v>
      </c>
      <c r="P115" s="34">
        <f>IFERROR(VLOOKUP(C115,Employees!$A$4:$E$103,5,FALSE),Settings!$B$18)</f>
        <v>100</v>
      </c>
      <c r="Q115" s="34">
        <f t="shared" si="6"/>
        <v>0</v>
      </c>
      <c r="R115" s="34">
        <f>H115*P115*Settings!$B$13</f>
        <v>0</v>
      </c>
      <c r="S115" s="34">
        <f>J115*P115*(Settings!$B$14-1)</f>
        <v>0</v>
      </c>
      <c r="T115" s="34">
        <f>K115*P115*(Settings!$B$15-1)</f>
        <v>0</v>
      </c>
      <c r="U115" s="34">
        <f t="shared" si="7"/>
        <v>0</v>
      </c>
      <c r="V115" s="26" t="str">
        <f>Auto_Roster!O115</f>
        <v>Pending</v>
      </c>
      <c r="W115" s="26" t="e">
        <f ca="1">_xludf.TEXTJOIN("; ",TRUE,Auto_Roster!N115,IF(G115&gt;Settings!$B$19,"Approval required &gt; standard hours",""),IF(AND(F115&lt;&gt;"Off",G115=0),"Missing claimed hours",""))</f>
        <v>#NAME?</v>
      </c>
      <c r="X115" s="7"/>
    </row>
    <row r="116" spans="1:24" x14ac:dyDescent="0.35">
      <c r="A116" s="31">
        <f>Auto_Roster!A116</f>
        <v>46148</v>
      </c>
      <c r="B116" s="31">
        <f>Auto_Roster!B116</f>
        <v>46146</v>
      </c>
      <c r="C116" s="26" t="str">
        <f>Auto_Roster!C116</f>
        <v/>
      </c>
      <c r="D116" s="26" t="str">
        <f>Auto_Roster!D116</f>
        <v/>
      </c>
      <c r="E116" s="26" t="str">
        <f>Auto_Roster!E116</f>
        <v/>
      </c>
      <c r="F116" s="26" t="str">
        <f>Auto_Roster!G116</f>
        <v/>
      </c>
      <c r="G116" s="33">
        <f>Auto_Roster!J116</f>
        <v>0</v>
      </c>
      <c r="H116" s="33">
        <f>IF(G116&gt;Settings!$B$19,G116-Settings!$B$19,0)</f>
        <v>0</v>
      </c>
      <c r="I116" s="33">
        <f t="shared" si="4"/>
        <v>0</v>
      </c>
      <c r="J116" s="33">
        <f>IF(Auto_Roster!M116="Y",G116,0)</f>
        <v>0</v>
      </c>
      <c r="K116" s="33">
        <f>IF(Auto_Roster!L116="Y",G116,0)</f>
        <v>0</v>
      </c>
      <c r="L116" s="26" t="str">
        <f>Auto_Roster!K116</f>
        <v>N</v>
      </c>
      <c r="M116" s="34">
        <f>IF(L116="Y",Settings!$B$16,0)</f>
        <v>0</v>
      </c>
      <c r="N116" s="33">
        <f t="shared" si="5"/>
        <v>0</v>
      </c>
      <c r="O116" s="34">
        <f>N116*Settings!$B$17</f>
        <v>0</v>
      </c>
      <c r="P116" s="34">
        <f>IFERROR(VLOOKUP(C116,Employees!$A$4:$E$103,5,FALSE),Settings!$B$18)</f>
        <v>100</v>
      </c>
      <c r="Q116" s="34">
        <f t="shared" si="6"/>
        <v>0</v>
      </c>
      <c r="R116" s="34">
        <f>H116*P116*Settings!$B$13</f>
        <v>0</v>
      </c>
      <c r="S116" s="34">
        <f>J116*P116*(Settings!$B$14-1)</f>
        <v>0</v>
      </c>
      <c r="T116" s="34">
        <f>K116*P116*(Settings!$B$15-1)</f>
        <v>0</v>
      </c>
      <c r="U116" s="34">
        <f t="shared" si="7"/>
        <v>0</v>
      </c>
      <c r="V116" s="26" t="str">
        <f>Auto_Roster!O116</f>
        <v>Pending</v>
      </c>
      <c r="W116" s="26" t="e">
        <f ca="1">_xludf.TEXTJOIN("; ",TRUE,Auto_Roster!N116,IF(G116&gt;Settings!$B$19,"Approval required &gt; standard hours",""),IF(AND(F116&lt;&gt;"Off",G116=0),"Missing claimed hours",""))</f>
        <v>#NAME?</v>
      </c>
      <c r="X116" s="7"/>
    </row>
    <row r="117" spans="1:24" x14ac:dyDescent="0.35">
      <c r="A117" s="31">
        <f>Auto_Roster!A117</f>
        <v>46148</v>
      </c>
      <c r="B117" s="31">
        <f>Auto_Roster!B117</f>
        <v>46146</v>
      </c>
      <c r="C117" s="26" t="str">
        <f>Auto_Roster!C117</f>
        <v/>
      </c>
      <c r="D117" s="26" t="str">
        <f>Auto_Roster!D117</f>
        <v/>
      </c>
      <c r="E117" s="26" t="str">
        <f>Auto_Roster!E117</f>
        <v/>
      </c>
      <c r="F117" s="26" t="str">
        <f>Auto_Roster!G117</f>
        <v/>
      </c>
      <c r="G117" s="33">
        <f>Auto_Roster!J117</f>
        <v>0</v>
      </c>
      <c r="H117" s="33">
        <f>IF(G117&gt;Settings!$B$19,G117-Settings!$B$19,0)</f>
        <v>0</v>
      </c>
      <c r="I117" s="33">
        <f t="shared" si="4"/>
        <v>0</v>
      </c>
      <c r="J117" s="33">
        <f>IF(Auto_Roster!M117="Y",G117,0)</f>
        <v>0</v>
      </c>
      <c r="K117" s="33">
        <f>IF(Auto_Roster!L117="Y",G117,0)</f>
        <v>0</v>
      </c>
      <c r="L117" s="26" t="str">
        <f>Auto_Roster!K117</f>
        <v>N</v>
      </c>
      <c r="M117" s="34">
        <f>IF(L117="Y",Settings!$B$16,0)</f>
        <v>0</v>
      </c>
      <c r="N117" s="33">
        <f t="shared" si="5"/>
        <v>0</v>
      </c>
      <c r="O117" s="34">
        <f>N117*Settings!$B$17</f>
        <v>0</v>
      </c>
      <c r="P117" s="34">
        <f>IFERROR(VLOOKUP(C117,Employees!$A$4:$E$103,5,FALSE),Settings!$B$18)</f>
        <v>100</v>
      </c>
      <c r="Q117" s="34">
        <f t="shared" si="6"/>
        <v>0</v>
      </c>
      <c r="R117" s="34">
        <f>H117*P117*Settings!$B$13</f>
        <v>0</v>
      </c>
      <c r="S117" s="34">
        <f>J117*P117*(Settings!$B$14-1)</f>
        <v>0</v>
      </c>
      <c r="T117" s="34">
        <f>K117*P117*(Settings!$B$15-1)</f>
        <v>0</v>
      </c>
      <c r="U117" s="34">
        <f t="shared" si="7"/>
        <v>0</v>
      </c>
      <c r="V117" s="26" t="str">
        <f>Auto_Roster!O117</f>
        <v>Pending</v>
      </c>
      <c r="W117" s="26" t="e">
        <f ca="1">_xludf.TEXTJOIN("; ",TRUE,Auto_Roster!N117,IF(G117&gt;Settings!$B$19,"Approval required &gt; standard hours",""),IF(AND(F117&lt;&gt;"Off",G117=0),"Missing claimed hours",""))</f>
        <v>#NAME?</v>
      </c>
      <c r="X117" s="7"/>
    </row>
    <row r="118" spans="1:24" x14ac:dyDescent="0.35">
      <c r="A118" s="31">
        <f>Auto_Roster!A118</f>
        <v>46148</v>
      </c>
      <c r="B118" s="31">
        <f>Auto_Roster!B118</f>
        <v>46146</v>
      </c>
      <c r="C118" s="26" t="str">
        <f>Auto_Roster!C118</f>
        <v/>
      </c>
      <c r="D118" s="26" t="str">
        <f>Auto_Roster!D118</f>
        <v/>
      </c>
      <c r="E118" s="26" t="str">
        <f>Auto_Roster!E118</f>
        <v/>
      </c>
      <c r="F118" s="26" t="str">
        <f>Auto_Roster!G118</f>
        <v/>
      </c>
      <c r="G118" s="33">
        <f>Auto_Roster!J118</f>
        <v>0</v>
      </c>
      <c r="H118" s="33">
        <f>IF(G118&gt;Settings!$B$19,G118-Settings!$B$19,0)</f>
        <v>0</v>
      </c>
      <c r="I118" s="33">
        <f t="shared" si="4"/>
        <v>0</v>
      </c>
      <c r="J118" s="33">
        <f>IF(Auto_Roster!M118="Y",G118,0)</f>
        <v>0</v>
      </c>
      <c r="K118" s="33">
        <f>IF(Auto_Roster!L118="Y",G118,0)</f>
        <v>0</v>
      </c>
      <c r="L118" s="26" t="str">
        <f>Auto_Roster!K118</f>
        <v>N</v>
      </c>
      <c r="M118" s="34">
        <f>IF(L118="Y",Settings!$B$16,0)</f>
        <v>0</v>
      </c>
      <c r="N118" s="33">
        <f t="shared" si="5"/>
        <v>0</v>
      </c>
      <c r="O118" s="34">
        <f>N118*Settings!$B$17</f>
        <v>0</v>
      </c>
      <c r="P118" s="34">
        <f>IFERROR(VLOOKUP(C118,Employees!$A$4:$E$103,5,FALSE),Settings!$B$18)</f>
        <v>100</v>
      </c>
      <c r="Q118" s="34">
        <f t="shared" si="6"/>
        <v>0</v>
      </c>
      <c r="R118" s="34">
        <f>H118*P118*Settings!$B$13</f>
        <v>0</v>
      </c>
      <c r="S118" s="34">
        <f>J118*P118*(Settings!$B$14-1)</f>
        <v>0</v>
      </c>
      <c r="T118" s="34">
        <f>K118*P118*(Settings!$B$15-1)</f>
        <v>0</v>
      </c>
      <c r="U118" s="34">
        <f t="shared" si="7"/>
        <v>0</v>
      </c>
      <c r="V118" s="26" t="str">
        <f>Auto_Roster!O118</f>
        <v>Pending</v>
      </c>
      <c r="W118" s="26" t="e">
        <f ca="1">_xludf.TEXTJOIN("; ",TRUE,Auto_Roster!N118,IF(G118&gt;Settings!$B$19,"Approval required &gt; standard hours",""),IF(AND(F118&lt;&gt;"Off",G118=0),"Missing claimed hours",""))</f>
        <v>#NAME?</v>
      </c>
      <c r="X118" s="7"/>
    </row>
    <row r="119" spans="1:24" x14ac:dyDescent="0.35">
      <c r="A119" s="31">
        <f>Auto_Roster!A119</f>
        <v>46148</v>
      </c>
      <c r="B119" s="31">
        <f>Auto_Roster!B119</f>
        <v>46146</v>
      </c>
      <c r="C119" s="26" t="str">
        <f>Auto_Roster!C119</f>
        <v/>
      </c>
      <c r="D119" s="26" t="str">
        <f>Auto_Roster!D119</f>
        <v/>
      </c>
      <c r="E119" s="26" t="str">
        <f>Auto_Roster!E119</f>
        <v/>
      </c>
      <c r="F119" s="26" t="str">
        <f>Auto_Roster!G119</f>
        <v/>
      </c>
      <c r="G119" s="33">
        <f>Auto_Roster!J119</f>
        <v>0</v>
      </c>
      <c r="H119" s="33">
        <f>IF(G119&gt;Settings!$B$19,G119-Settings!$B$19,0)</f>
        <v>0</v>
      </c>
      <c r="I119" s="33">
        <f t="shared" si="4"/>
        <v>0</v>
      </c>
      <c r="J119" s="33">
        <f>IF(Auto_Roster!M119="Y",G119,0)</f>
        <v>0</v>
      </c>
      <c r="K119" s="33">
        <f>IF(Auto_Roster!L119="Y",G119,0)</f>
        <v>0</v>
      </c>
      <c r="L119" s="26" t="str">
        <f>Auto_Roster!K119</f>
        <v>N</v>
      </c>
      <c r="M119" s="34">
        <f>IF(L119="Y",Settings!$B$16,0)</f>
        <v>0</v>
      </c>
      <c r="N119" s="33">
        <f t="shared" si="5"/>
        <v>0</v>
      </c>
      <c r="O119" s="34">
        <f>N119*Settings!$B$17</f>
        <v>0</v>
      </c>
      <c r="P119" s="34">
        <f>IFERROR(VLOOKUP(C119,Employees!$A$4:$E$103,5,FALSE),Settings!$B$18)</f>
        <v>100</v>
      </c>
      <c r="Q119" s="34">
        <f t="shared" si="6"/>
        <v>0</v>
      </c>
      <c r="R119" s="34">
        <f>H119*P119*Settings!$B$13</f>
        <v>0</v>
      </c>
      <c r="S119" s="34">
        <f>J119*P119*(Settings!$B$14-1)</f>
        <v>0</v>
      </c>
      <c r="T119" s="34">
        <f>K119*P119*(Settings!$B$15-1)</f>
        <v>0</v>
      </c>
      <c r="U119" s="34">
        <f t="shared" si="7"/>
        <v>0</v>
      </c>
      <c r="V119" s="26" t="str">
        <f>Auto_Roster!O119</f>
        <v>Pending</v>
      </c>
      <c r="W119" s="26" t="e">
        <f ca="1">_xludf.TEXTJOIN("; ",TRUE,Auto_Roster!N119,IF(G119&gt;Settings!$B$19,"Approval required &gt; standard hours",""),IF(AND(F119&lt;&gt;"Off",G119=0),"Missing claimed hours",""))</f>
        <v>#NAME?</v>
      </c>
      <c r="X119" s="7"/>
    </row>
    <row r="120" spans="1:24" x14ac:dyDescent="0.35">
      <c r="A120" s="31">
        <f>Auto_Roster!A120</f>
        <v>46148</v>
      </c>
      <c r="B120" s="31">
        <f>Auto_Roster!B120</f>
        <v>46146</v>
      </c>
      <c r="C120" s="26" t="str">
        <f>Auto_Roster!C120</f>
        <v/>
      </c>
      <c r="D120" s="26" t="str">
        <f>Auto_Roster!D120</f>
        <v/>
      </c>
      <c r="E120" s="26" t="str">
        <f>Auto_Roster!E120</f>
        <v/>
      </c>
      <c r="F120" s="26" t="str">
        <f>Auto_Roster!G120</f>
        <v/>
      </c>
      <c r="G120" s="33">
        <f>Auto_Roster!J120</f>
        <v>0</v>
      </c>
      <c r="H120" s="33">
        <f>IF(G120&gt;Settings!$B$19,G120-Settings!$B$19,0)</f>
        <v>0</v>
      </c>
      <c r="I120" s="33">
        <f t="shared" si="4"/>
        <v>0</v>
      </c>
      <c r="J120" s="33">
        <f>IF(Auto_Roster!M120="Y",G120,0)</f>
        <v>0</v>
      </c>
      <c r="K120" s="33">
        <f>IF(Auto_Roster!L120="Y",G120,0)</f>
        <v>0</v>
      </c>
      <c r="L120" s="26" t="str">
        <f>Auto_Roster!K120</f>
        <v>N</v>
      </c>
      <c r="M120" s="34">
        <f>IF(L120="Y",Settings!$B$16,0)</f>
        <v>0</v>
      </c>
      <c r="N120" s="33">
        <f t="shared" si="5"/>
        <v>0</v>
      </c>
      <c r="O120" s="34">
        <f>N120*Settings!$B$17</f>
        <v>0</v>
      </c>
      <c r="P120" s="34">
        <f>IFERROR(VLOOKUP(C120,Employees!$A$4:$E$103,5,FALSE),Settings!$B$18)</f>
        <v>100</v>
      </c>
      <c r="Q120" s="34">
        <f t="shared" si="6"/>
        <v>0</v>
      </c>
      <c r="R120" s="34">
        <f>H120*P120*Settings!$B$13</f>
        <v>0</v>
      </c>
      <c r="S120" s="34">
        <f>J120*P120*(Settings!$B$14-1)</f>
        <v>0</v>
      </c>
      <c r="T120" s="34">
        <f>K120*P120*(Settings!$B$15-1)</f>
        <v>0</v>
      </c>
      <c r="U120" s="34">
        <f t="shared" si="7"/>
        <v>0</v>
      </c>
      <c r="V120" s="26" t="str">
        <f>Auto_Roster!O120</f>
        <v>Pending</v>
      </c>
      <c r="W120" s="26" t="e">
        <f ca="1">_xludf.TEXTJOIN("; ",TRUE,Auto_Roster!N120,IF(G120&gt;Settings!$B$19,"Approval required &gt; standard hours",""),IF(AND(F120&lt;&gt;"Off",G120=0),"Missing claimed hours",""))</f>
        <v>#NAME?</v>
      </c>
      <c r="X120" s="7"/>
    </row>
    <row r="121" spans="1:24" x14ac:dyDescent="0.35">
      <c r="A121" s="31">
        <f>Auto_Roster!A121</f>
        <v>46148</v>
      </c>
      <c r="B121" s="31">
        <f>Auto_Roster!B121</f>
        <v>46146</v>
      </c>
      <c r="C121" s="26" t="str">
        <f>Auto_Roster!C121</f>
        <v/>
      </c>
      <c r="D121" s="26" t="str">
        <f>Auto_Roster!D121</f>
        <v/>
      </c>
      <c r="E121" s="26" t="str">
        <f>Auto_Roster!E121</f>
        <v/>
      </c>
      <c r="F121" s="26" t="str">
        <f>Auto_Roster!G121</f>
        <v/>
      </c>
      <c r="G121" s="33">
        <f>Auto_Roster!J121</f>
        <v>0</v>
      </c>
      <c r="H121" s="33">
        <f>IF(G121&gt;Settings!$B$19,G121-Settings!$B$19,0)</f>
        <v>0</v>
      </c>
      <c r="I121" s="33">
        <f t="shared" si="4"/>
        <v>0</v>
      </c>
      <c r="J121" s="33">
        <f>IF(Auto_Roster!M121="Y",G121,0)</f>
        <v>0</v>
      </c>
      <c r="K121" s="33">
        <f>IF(Auto_Roster!L121="Y",G121,0)</f>
        <v>0</v>
      </c>
      <c r="L121" s="26" t="str">
        <f>Auto_Roster!K121</f>
        <v>N</v>
      </c>
      <c r="M121" s="34">
        <f>IF(L121="Y",Settings!$B$16,0)</f>
        <v>0</v>
      </c>
      <c r="N121" s="33">
        <f t="shared" si="5"/>
        <v>0</v>
      </c>
      <c r="O121" s="34">
        <f>N121*Settings!$B$17</f>
        <v>0</v>
      </c>
      <c r="P121" s="34">
        <f>IFERROR(VLOOKUP(C121,Employees!$A$4:$E$103,5,FALSE),Settings!$B$18)</f>
        <v>100</v>
      </c>
      <c r="Q121" s="34">
        <f t="shared" si="6"/>
        <v>0</v>
      </c>
      <c r="R121" s="34">
        <f>H121*P121*Settings!$B$13</f>
        <v>0</v>
      </c>
      <c r="S121" s="34">
        <f>J121*P121*(Settings!$B$14-1)</f>
        <v>0</v>
      </c>
      <c r="T121" s="34">
        <f>K121*P121*(Settings!$B$15-1)</f>
        <v>0</v>
      </c>
      <c r="U121" s="34">
        <f t="shared" si="7"/>
        <v>0</v>
      </c>
      <c r="V121" s="26" t="str">
        <f>Auto_Roster!O121</f>
        <v>Pending</v>
      </c>
      <c r="W121" s="26" t="e">
        <f ca="1">_xludf.TEXTJOIN("; ",TRUE,Auto_Roster!N121,IF(G121&gt;Settings!$B$19,"Approval required &gt; standard hours",""),IF(AND(F121&lt;&gt;"Off",G121=0),"Missing claimed hours",""))</f>
        <v>#NAME?</v>
      </c>
      <c r="X121" s="7"/>
    </row>
    <row r="122" spans="1:24" x14ac:dyDescent="0.35">
      <c r="A122" s="31">
        <f>Auto_Roster!A122</f>
        <v>46148</v>
      </c>
      <c r="B122" s="31">
        <f>Auto_Roster!B122</f>
        <v>46146</v>
      </c>
      <c r="C122" s="26" t="str">
        <f>Auto_Roster!C122</f>
        <v/>
      </c>
      <c r="D122" s="26" t="str">
        <f>Auto_Roster!D122</f>
        <v/>
      </c>
      <c r="E122" s="26" t="str">
        <f>Auto_Roster!E122</f>
        <v/>
      </c>
      <c r="F122" s="26" t="str">
        <f>Auto_Roster!G122</f>
        <v/>
      </c>
      <c r="G122" s="33">
        <f>Auto_Roster!J122</f>
        <v>0</v>
      </c>
      <c r="H122" s="33">
        <f>IF(G122&gt;Settings!$B$19,G122-Settings!$B$19,0)</f>
        <v>0</v>
      </c>
      <c r="I122" s="33">
        <f t="shared" si="4"/>
        <v>0</v>
      </c>
      <c r="J122" s="33">
        <f>IF(Auto_Roster!M122="Y",G122,0)</f>
        <v>0</v>
      </c>
      <c r="K122" s="33">
        <f>IF(Auto_Roster!L122="Y",G122,0)</f>
        <v>0</v>
      </c>
      <c r="L122" s="26" t="str">
        <f>Auto_Roster!K122</f>
        <v>N</v>
      </c>
      <c r="M122" s="34">
        <f>IF(L122="Y",Settings!$B$16,0)</f>
        <v>0</v>
      </c>
      <c r="N122" s="33">
        <f t="shared" si="5"/>
        <v>0</v>
      </c>
      <c r="O122" s="34">
        <f>N122*Settings!$B$17</f>
        <v>0</v>
      </c>
      <c r="P122" s="34">
        <f>IFERROR(VLOOKUP(C122,Employees!$A$4:$E$103,5,FALSE),Settings!$B$18)</f>
        <v>100</v>
      </c>
      <c r="Q122" s="34">
        <f t="shared" si="6"/>
        <v>0</v>
      </c>
      <c r="R122" s="34">
        <f>H122*P122*Settings!$B$13</f>
        <v>0</v>
      </c>
      <c r="S122" s="34">
        <f>J122*P122*(Settings!$B$14-1)</f>
        <v>0</v>
      </c>
      <c r="T122" s="34">
        <f>K122*P122*(Settings!$B$15-1)</f>
        <v>0</v>
      </c>
      <c r="U122" s="34">
        <f t="shared" si="7"/>
        <v>0</v>
      </c>
      <c r="V122" s="26" t="str">
        <f>Auto_Roster!O122</f>
        <v>Pending</v>
      </c>
      <c r="W122" s="26" t="e">
        <f ca="1">_xludf.TEXTJOIN("; ",TRUE,Auto_Roster!N122,IF(G122&gt;Settings!$B$19,"Approval required &gt; standard hours",""),IF(AND(F122&lt;&gt;"Off",G122=0),"Missing claimed hours",""))</f>
        <v>#NAME?</v>
      </c>
      <c r="X122" s="7"/>
    </row>
    <row r="123" spans="1:24" x14ac:dyDescent="0.35">
      <c r="A123" s="31">
        <f>Auto_Roster!A123</f>
        <v>46148</v>
      </c>
      <c r="B123" s="31">
        <f>Auto_Roster!B123</f>
        <v>46146</v>
      </c>
      <c r="C123" s="26" t="str">
        <f>Auto_Roster!C123</f>
        <v/>
      </c>
      <c r="D123" s="26" t="str">
        <f>Auto_Roster!D123</f>
        <v/>
      </c>
      <c r="E123" s="26" t="str">
        <f>Auto_Roster!E123</f>
        <v/>
      </c>
      <c r="F123" s="26" t="str">
        <f>Auto_Roster!G123</f>
        <v/>
      </c>
      <c r="G123" s="33">
        <f>Auto_Roster!J123</f>
        <v>0</v>
      </c>
      <c r="H123" s="33">
        <f>IF(G123&gt;Settings!$B$19,G123-Settings!$B$19,0)</f>
        <v>0</v>
      </c>
      <c r="I123" s="33">
        <f t="shared" si="4"/>
        <v>0</v>
      </c>
      <c r="J123" s="33">
        <f>IF(Auto_Roster!M123="Y",G123,0)</f>
        <v>0</v>
      </c>
      <c r="K123" s="33">
        <f>IF(Auto_Roster!L123="Y",G123,0)</f>
        <v>0</v>
      </c>
      <c r="L123" s="26" t="str">
        <f>Auto_Roster!K123</f>
        <v>N</v>
      </c>
      <c r="M123" s="34">
        <f>IF(L123="Y",Settings!$B$16,0)</f>
        <v>0</v>
      </c>
      <c r="N123" s="33">
        <f t="shared" si="5"/>
        <v>0</v>
      </c>
      <c r="O123" s="34">
        <f>N123*Settings!$B$17</f>
        <v>0</v>
      </c>
      <c r="P123" s="34">
        <f>IFERROR(VLOOKUP(C123,Employees!$A$4:$E$103,5,FALSE),Settings!$B$18)</f>
        <v>100</v>
      </c>
      <c r="Q123" s="34">
        <f t="shared" si="6"/>
        <v>0</v>
      </c>
      <c r="R123" s="34">
        <f>H123*P123*Settings!$B$13</f>
        <v>0</v>
      </c>
      <c r="S123" s="34">
        <f>J123*P123*(Settings!$B$14-1)</f>
        <v>0</v>
      </c>
      <c r="T123" s="34">
        <f>K123*P123*(Settings!$B$15-1)</f>
        <v>0</v>
      </c>
      <c r="U123" s="34">
        <f t="shared" si="7"/>
        <v>0</v>
      </c>
      <c r="V123" s="26" t="str">
        <f>Auto_Roster!O123</f>
        <v>Pending</v>
      </c>
      <c r="W123" s="26" t="e">
        <f ca="1">_xludf.TEXTJOIN("; ",TRUE,Auto_Roster!N123,IF(G123&gt;Settings!$B$19,"Approval required &gt; standard hours",""),IF(AND(F123&lt;&gt;"Off",G123=0),"Missing claimed hours",""))</f>
        <v>#NAME?</v>
      </c>
      <c r="X123" s="7"/>
    </row>
    <row r="124" spans="1:24" x14ac:dyDescent="0.35">
      <c r="A124" s="31">
        <f>Auto_Roster!A124</f>
        <v>46149</v>
      </c>
      <c r="B124" s="31">
        <f>Auto_Roster!B124</f>
        <v>46146</v>
      </c>
      <c r="C124" s="26" t="str">
        <f>Auto_Roster!C124</f>
        <v>E001</v>
      </c>
      <c r="D124" s="26" t="str">
        <f>Auto_Roster!D124</f>
        <v>Musiwa Khavalani</v>
      </c>
      <c r="E124" s="26">
        <f>Auto_Roster!E124</f>
        <v>0</v>
      </c>
      <c r="F124" s="26" t="e">
        <f>Auto_Roster!G124</f>
        <v>#N/A</v>
      </c>
      <c r="G124" s="33" t="e">
        <f>Auto_Roster!J124</f>
        <v>#N/A</v>
      </c>
      <c r="H124" s="33" t="e">
        <f>IF(G124&gt;Settings!$B$19,G124-Settings!$B$19,0)</f>
        <v>#N/A</v>
      </c>
      <c r="I124" s="33" t="e">
        <f t="shared" si="4"/>
        <v>#N/A</v>
      </c>
      <c r="J124" s="33">
        <f>IF(Auto_Roster!M124="Y",G124,0)</f>
        <v>0</v>
      </c>
      <c r="K124" s="33">
        <f>IF(Auto_Roster!L124="Y",G124,0)</f>
        <v>0</v>
      </c>
      <c r="L124" s="26" t="str">
        <f>Auto_Roster!K124</f>
        <v>N</v>
      </c>
      <c r="M124" s="34">
        <f>IF(L124="Y",Settings!$B$16,0)</f>
        <v>0</v>
      </c>
      <c r="N124" s="33" t="e">
        <f t="shared" si="5"/>
        <v>#N/A</v>
      </c>
      <c r="O124" s="34" t="e">
        <f>N124*Settings!$B$17</f>
        <v>#N/A</v>
      </c>
      <c r="P124" s="34">
        <f>IFERROR(VLOOKUP(C124,Employees!$A$4:$E$103,5,FALSE),Settings!$B$18)</f>
        <v>100</v>
      </c>
      <c r="Q124" s="34" t="e">
        <f t="shared" si="6"/>
        <v>#N/A</v>
      </c>
      <c r="R124" s="34" t="e">
        <f>H124*P124*Settings!$B$13</f>
        <v>#N/A</v>
      </c>
      <c r="S124" s="34">
        <f>J124*P124*(Settings!$B$14-1)</f>
        <v>0</v>
      </c>
      <c r="T124" s="34">
        <f>K124*P124*(Settings!$B$15-1)</f>
        <v>0</v>
      </c>
      <c r="U124" s="34" t="e">
        <f t="shared" si="7"/>
        <v>#N/A</v>
      </c>
      <c r="V124" s="26" t="str">
        <f>Auto_Roster!O124</f>
        <v>Pending</v>
      </c>
      <c r="W124" s="26" t="e">
        <f ca="1">_xludf.TEXTJOIN("; ",TRUE,Auto_Roster!N124,IF(G124&gt;Settings!$B$19,"Approval required &gt; standard hours",""),IF(AND(F124&lt;&gt;"Off",G124=0),"Missing claimed hours",""))</f>
        <v>#NAME?</v>
      </c>
      <c r="X124" s="7"/>
    </row>
    <row r="125" spans="1:24" x14ac:dyDescent="0.35">
      <c r="A125" s="31">
        <f>Auto_Roster!A125</f>
        <v>46149</v>
      </c>
      <c r="B125" s="31">
        <f>Auto_Roster!B125</f>
        <v>46146</v>
      </c>
      <c r="C125" s="26" t="str">
        <f>Auto_Roster!C125</f>
        <v>E002</v>
      </c>
      <c r="D125" s="26" t="str">
        <f>Auto_Roster!D125</f>
        <v>Mpho  Nembemhia</v>
      </c>
      <c r="E125" s="26" t="str">
        <f>Auto_Roster!E125</f>
        <v>B</v>
      </c>
      <c r="F125" s="26" t="str">
        <f>Auto_Roster!G125</f>
        <v>Evening</v>
      </c>
      <c r="G125" s="33">
        <f>Auto_Roster!J125</f>
        <v>8</v>
      </c>
      <c r="H125" s="33">
        <f>IF(G125&gt;Settings!$B$19,G125-Settings!$B$19,0)</f>
        <v>0</v>
      </c>
      <c r="I125" s="33">
        <f t="shared" si="4"/>
        <v>8</v>
      </c>
      <c r="J125" s="33">
        <f>IF(Auto_Roster!M125="Y",G125,0)</f>
        <v>0</v>
      </c>
      <c r="K125" s="33">
        <f>IF(Auto_Roster!L125="Y",G125,0)</f>
        <v>0</v>
      </c>
      <c r="L125" s="26" t="str">
        <f>Auto_Roster!K125</f>
        <v>N</v>
      </c>
      <c r="M125" s="34">
        <f>IF(L125="Y",Settings!$B$16,0)</f>
        <v>0</v>
      </c>
      <c r="N125" s="33">
        <f t="shared" si="5"/>
        <v>0</v>
      </c>
      <c r="O125" s="34">
        <f>N125*Settings!$B$17</f>
        <v>0</v>
      </c>
      <c r="P125" s="34">
        <f>IFERROR(VLOOKUP(C125,Employees!$A$4:$E$103,5,FALSE),Settings!$B$18)</f>
        <v>100</v>
      </c>
      <c r="Q125" s="34">
        <f t="shared" si="6"/>
        <v>800</v>
      </c>
      <c r="R125" s="34">
        <f>H125*P125*Settings!$B$13</f>
        <v>0</v>
      </c>
      <c r="S125" s="34">
        <f>J125*P125*(Settings!$B$14-1)</f>
        <v>0</v>
      </c>
      <c r="T125" s="34">
        <f>K125*P125*(Settings!$B$15-1)</f>
        <v>0</v>
      </c>
      <c r="U125" s="34">
        <f t="shared" si="7"/>
        <v>800</v>
      </c>
      <c r="V125" s="26" t="str">
        <f>Auto_Roster!O125</f>
        <v>Pending</v>
      </c>
      <c r="W125" s="26" t="e">
        <f ca="1">_xludf.TEXTJOIN("; ",TRUE,Auto_Roster!N125,IF(G125&gt;Settings!$B$19,"Approval required &gt; standard hours",""),IF(AND(F125&lt;&gt;"Off",G125=0),"Missing claimed hours",""))</f>
        <v>#NAME?</v>
      </c>
      <c r="X125" s="7"/>
    </row>
    <row r="126" spans="1:24" x14ac:dyDescent="0.35">
      <c r="A126" s="31">
        <f>Auto_Roster!A126</f>
        <v>46149</v>
      </c>
      <c r="B126" s="31">
        <f>Auto_Roster!B126</f>
        <v>46146</v>
      </c>
      <c r="C126" s="26" t="str">
        <f>Auto_Roster!C126</f>
        <v>E003</v>
      </c>
      <c r="D126" s="26" t="str">
        <f>Auto_Roster!D126</f>
        <v>Dimpho Makhafola</v>
      </c>
      <c r="E126" s="26" t="str">
        <f>Auto_Roster!E126</f>
        <v>C</v>
      </c>
      <c r="F126" s="26" t="str">
        <f>Auto_Roster!G126</f>
        <v>Day</v>
      </c>
      <c r="G126" s="33">
        <f>Auto_Roster!J126</f>
        <v>8</v>
      </c>
      <c r="H126" s="33">
        <f>IF(G126&gt;Settings!$B$19,G126-Settings!$B$19,0)</f>
        <v>0</v>
      </c>
      <c r="I126" s="33">
        <f t="shared" si="4"/>
        <v>8</v>
      </c>
      <c r="J126" s="33">
        <f>IF(Auto_Roster!M126="Y",G126,0)</f>
        <v>0</v>
      </c>
      <c r="K126" s="33">
        <f>IF(Auto_Roster!L126="Y",G126,0)</f>
        <v>0</v>
      </c>
      <c r="L126" s="26" t="str">
        <f>Auto_Roster!K126</f>
        <v>N</v>
      </c>
      <c r="M126" s="34">
        <f>IF(L126="Y",Settings!$B$16,0)</f>
        <v>0</v>
      </c>
      <c r="N126" s="33">
        <f t="shared" si="5"/>
        <v>0</v>
      </c>
      <c r="O126" s="34">
        <f>N126*Settings!$B$17</f>
        <v>0</v>
      </c>
      <c r="P126" s="34">
        <f>IFERROR(VLOOKUP(C126,Employees!$A$4:$E$103,5,FALSE),Settings!$B$18)</f>
        <v>100</v>
      </c>
      <c r="Q126" s="34">
        <f t="shared" si="6"/>
        <v>800</v>
      </c>
      <c r="R126" s="34">
        <f>H126*P126*Settings!$B$13</f>
        <v>0</v>
      </c>
      <c r="S126" s="34">
        <f>J126*P126*(Settings!$B$14-1)</f>
        <v>0</v>
      </c>
      <c r="T126" s="34">
        <f>K126*P126*(Settings!$B$15-1)</f>
        <v>0</v>
      </c>
      <c r="U126" s="34">
        <f t="shared" si="7"/>
        <v>800</v>
      </c>
      <c r="V126" s="26" t="str">
        <f>Auto_Roster!O126</f>
        <v>Pending</v>
      </c>
      <c r="W126" s="26" t="e">
        <f ca="1">_xludf.TEXTJOIN("; ",TRUE,Auto_Roster!N126,IF(G126&gt;Settings!$B$19,"Approval required &gt; standard hours",""),IF(AND(F126&lt;&gt;"Off",G126=0),"Missing claimed hours",""))</f>
        <v>#NAME?</v>
      </c>
      <c r="X126" s="7"/>
    </row>
    <row r="127" spans="1:24" x14ac:dyDescent="0.35">
      <c r="A127" s="31">
        <f>Auto_Roster!A127</f>
        <v>46149</v>
      </c>
      <c r="B127" s="31">
        <f>Auto_Roster!B127</f>
        <v>46146</v>
      </c>
      <c r="C127" s="26" t="str">
        <f>Auto_Roster!C127</f>
        <v>E004</v>
      </c>
      <c r="D127" s="26" t="str">
        <f>Auto_Roster!D127</f>
        <v>Bashii Fall</v>
      </c>
      <c r="E127" s="26" t="str">
        <f>Auto_Roster!E127</f>
        <v>D</v>
      </c>
      <c r="F127" s="26" t="str">
        <f>Auto_Roster!G127</f>
        <v>Off</v>
      </c>
      <c r="G127" s="33">
        <f>Auto_Roster!J127</f>
        <v>0</v>
      </c>
      <c r="H127" s="33">
        <f>IF(G127&gt;Settings!$B$19,G127-Settings!$B$19,0)</f>
        <v>0</v>
      </c>
      <c r="I127" s="33">
        <f t="shared" si="4"/>
        <v>0</v>
      </c>
      <c r="J127" s="33">
        <f>IF(Auto_Roster!M127="Y",G127,0)</f>
        <v>0</v>
      </c>
      <c r="K127" s="33">
        <f>IF(Auto_Roster!L127="Y",G127,0)</f>
        <v>0</v>
      </c>
      <c r="L127" s="26" t="str">
        <f>Auto_Roster!K127</f>
        <v>N</v>
      </c>
      <c r="M127" s="34">
        <f>IF(L127="Y",Settings!$B$16,0)</f>
        <v>0</v>
      </c>
      <c r="N127" s="33">
        <f t="shared" si="5"/>
        <v>0</v>
      </c>
      <c r="O127" s="34">
        <f>N127*Settings!$B$17</f>
        <v>0</v>
      </c>
      <c r="P127" s="34">
        <f>IFERROR(VLOOKUP(C127,Employees!$A$4:$E$103,5,FALSE),Settings!$B$18)</f>
        <v>100</v>
      </c>
      <c r="Q127" s="34">
        <f t="shared" si="6"/>
        <v>0</v>
      </c>
      <c r="R127" s="34">
        <f>H127*P127*Settings!$B$13</f>
        <v>0</v>
      </c>
      <c r="S127" s="34">
        <f>J127*P127*(Settings!$B$14-1)</f>
        <v>0</v>
      </c>
      <c r="T127" s="34">
        <f>K127*P127*(Settings!$B$15-1)</f>
        <v>0</v>
      </c>
      <c r="U127" s="34">
        <f t="shared" si="7"/>
        <v>0</v>
      </c>
      <c r="V127" s="26" t="str">
        <f>Auto_Roster!O127</f>
        <v>Pending</v>
      </c>
      <c r="W127" s="26" t="e">
        <f ca="1">_xludf.TEXTJOIN("; ",TRUE,Auto_Roster!N127,IF(G127&gt;Settings!$B$19,"Approval required &gt; standard hours",""),IF(AND(F127&lt;&gt;"Off",G127=0),"Missing claimed hours",""))</f>
        <v>#NAME?</v>
      </c>
      <c r="X127" s="7"/>
    </row>
    <row r="128" spans="1:24" x14ac:dyDescent="0.35">
      <c r="A128" s="31">
        <f>Auto_Roster!A128</f>
        <v>46149</v>
      </c>
      <c r="B128" s="31">
        <f>Auto_Roster!B128</f>
        <v>46146</v>
      </c>
      <c r="C128" s="26" t="str">
        <f>Auto_Roster!C128</f>
        <v>E005</v>
      </c>
      <c r="D128" s="26" t="str">
        <f>Auto_Roster!D128</f>
        <v>Lesego Aphane</v>
      </c>
      <c r="E128" s="26" t="str">
        <f>Auto_Roster!E128</f>
        <v>A</v>
      </c>
      <c r="F128" s="26" t="str">
        <f>Auto_Roster!G128</f>
        <v>Night</v>
      </c>
      <c r="G128" s="33">
        <f>Auto_Roster!J128</f>
        <v>8</v>
      </c>
      <c r="H128" s="33">
        <f>IF(G128&gt;Settings!$B$19,G128-Settings!$B$19,0)</f>
        <v>0</v>
      </c>
      <c r="I128" s="33">
        <f t="shared" si="4"/>
        <v>8</v>
      </c>
      <c r="J128" s="33">
        <f>IF(Auto_Roster!M128="Y",G128,0)</f>
        <v>0</v>
      </c>
      <c r="K128" s="33">
        <f>IF(Auto_Roster!L128="Y",G128,0)</f>
        <v>0</v>
      </c>
      <c r="L128" s="26" t="str">
        <f>Auto_Roster!K128</f>
        <v>N</v>
      </c>
      <c r="M128" s="34">
        <f>IF(L128="Y",Settings!$B$16,0)</f>
        <v>0</v>
      </c>
      <c r="N128" s="33">
        <f t="shared" si="5"/>
        <v>8</v>
      </c>
      <c r="O128" s="34">
        <f>N128*Settings!$B$17</f>
        <v>0</v>
      </c>
      <c r="P128" s="34">
        <f>IFERROR(VLOOKUP(C128,Employees!$A$4:$E$103,5,FALSE),Settings!$B$18)</f>
        <v>100</v>
      </c>
      <c r="Q128" s="34">
        <f t="shared" si="6"/>
        <v>800</v>
      </c>
      <c r="R128" s="34">
        <f>H128*P128*Settings!$B$13</f>
        <v>0</v>
      </c>
      <c r="S128" s="34">
        <f>J128*P128*(Settings!$B$14-1)</f>
        <v>0</v>
      </c>
      <c r="T128" s="34">
        <f>K128*P128*(Settings!$B$15-1)</f>
        <v>0</v>
      </c>
      <c r="U128" s="34">
        <f t="shared" si="7"/>
        <v>800</v>
      </c>
      <c r="V128" s="26" t="str">
        <f>Auto_Roster!O128</f>
        <v>Pending</v>
      </c>
      <c r="W128" s="26" t="e">
        <f ca="1">_xludf.TEXTJOIN("; ",TRUE,Auto_Roster!N128,IF(G128&gt;Settings!$B$19,"Approval required &gt; standard hours",""),IF(AND(F128&lt;&gt;"Off",G128=0),"Missing claimed hours",""))</f>
        <v>#NAME?</v>
      </c>
      <c r="X128" s="7"/>
    </row>
    <row r="129" spans="1:24" x14ac:dyDescent="0.35">
      <c r="A129" s="31">
        <f>Auto_Roster!A129</f>
        <v>46149</v>
      </c>
      <c r="B129" s="31">
        <f>Auto_Roster!B129</f>
        <v>46146</v>
      </c>
      <c r="C129" s="26" t="str">
        <f>Auto_Roster!C129</f>
        <v>E006</v>
      </c>
      <c r="D129" s="26" t="str">
        <f>Auto_Roster!D129</f>
        <v>Nhalnahla</v>
      </c>
      <c r="E129" s="26" t="str">
        <f>Auto_Roster!E129</f>
        <v>B</v>
      </c>
      <c r="F129" s="26" t="str">
        <f>Auto_Roster!G129</f>
        <v>Evening</v>
      </c>
      <c r="G129" s="33">
        <f>Auto_Roster!J129</f>
        <v>8</v>
      </c>
      <c r="H129" s="33">
        <f>IF(G129&gt;Settings!$B$19,G129-Settings!$B$19,0)</f>
        <v>0</v>
      </c>
      <c r="I129" s="33">
        <f t="shared" si="4"/>
        <v>8</v>
      </c>
      <c r="J129" s="33">
        <f>IF(Auto_Roster!M129="Y",G129,0)</f>
        <v>0</v>
      </c>
      <c r="K129" s="33">
        <f>IF(Auto_Roster!L129="Y",G129,0)</f>
        <v>0</v>
      </c>
      <c r="L129" s="26" t="str">
        <f>Auto_Roster!K129</f>
        <v>N</v>
      </c>
      <c r="M129" s="34">
        <f>IF(L129="Y",Settings!$B$16,0)</f>
        <v>0</v>
      </c>
      <c r="N129" s="33">
        <f t="shared" si="5"/>
        <v>0</v>
      </c>
      <c r="O129" s="34">
        <f>N129*Settings!$B$17</f>
        <v>0</v>
      </c>
      <c r="P129" s="34">
        <f>IFERROR(VLOOKUP(C129,Employees!$A$4:$E$103,5,FALSE),Settings!$B$18)</f>
        <v>100</v>
      </c>
      <c r="Q129" s="34">
        <f t="shared" si="6"/>
        <v>800</v>
      </c>
      <c r="R129" s="34">
        <f>H129*P129*Settings!$B$13</f>
        <v>0</v>
      </c>
      <c r="S129" s="34">
        <f>J129*P129*(Settings!$B$14-1)</f>
        <v>0</v>
      </c>
      <c r="T129" s="34">
        <f>K129*P129*(Settings!$B$15-1)</f>
        <v>0</v>
      </c>
      <c r="U129" s="34">
        <f t="shared" si="7"/>
        <v>800</v>
      </c>
      <c r="V129" s="26" t="str">
        <f>Auto_Roster!O129</f>
        <v>Pending</v>
      </c>
      <c r="W129" s="26" t="e">
        <f ca="1">_xludf.TEXTJOIN("; ",TRUE,Auto_Roster!N129,IF(G129&gt;Settings!$B$19,"Approval required &gt; standard hours",""),IF(AND(F129&lt;&gt;"Off",G129=0),"Missing claimed hours",""))</f>
        <v>#NAME?</v>
      </c>
      <c r="X129" s="7"/>
    </row>
    <row r="130" spans="1:24" x14ac:dyDescent="0.35">
      <c r="A130" s="31">
        <f>Auto_Roster!A130</f>
        <v>46149</v>
      </c>
      <c r="B130" s="31">
        <f>Auto_Roster!B130</f>
        <v>46146</v>
      </c>
      <c r="C130" s="26" t="str">
        <f>Auto_Roster!C130</f>
        <v>E007</v>
      </c>
      <c r="D130" s="26" t="str">
        <f>Auto_Roster!D130</f>
        <v>Joe</v>
      </c>
      <c r="E130" s="26" t="str">
        <f>Auto_Roster!E130</f>
        <v>C</v>
      </c>
      <c r="F130" s="26" t="str">
        <f>Auto_Roster!G130</f>
        <v>Day</v>
      </c>
      <c r="G130" s="33">
        <f>Auto_Roster!J130</f>
        <v>8</v>
      </c>
      <c r="H130" s="33">
        <f>IF(G130&gt;Settings!$B$19,G130-Settings!$B$19,0)</f>
        <v>0</v>
      </c>
      <c r="I130" s="33">
        <f t="shared" si="4"/>
        <v>8</v>
      </c>
      <c r="J130" s="33">
        <f>IF(Auto_Roster!M130="Y",G130,0)</f>
        <v>0</v>
      </c>
      <c r="K130" s="33">
        <f>IF(Auto_Roster!L130="Y",G130,0)</f>
        <v>0</v>
      </c>
      <c r="L130" s="26" t="str">
        <f>Auto_Roster!K130</f>
        <v>N</v>
      </c>
      <c r="M130" s="34">
        <f>IF(L130="Y",Settings!$B$16,0)</f>
        <v>0</v>
      </c>
      <c r="N130" s="33">
        <f t="shared" si="5"/>
        <v>0</v>
      </c>
      <c r="O130" s="34">
        <f>N130*Settings!$B$17</f>
        <v>0</v>
      </c>
      <c r="P130" s="34">
        <f>IFERROR(VLOOKUP(C130,Employees!$A$4:$E$103,5,FALSE),Settings!$B$18)</f>
        <v>100</v>
      </c>
      <c r="Q130" s="34">
        <f t="shared" si="6"/>
        <v>800</v>
      </c>
      <c r="R130" s="34">
        <f>H130*P130*Settings!$B$13</f>
        <v>0</v>
      </c>
      <c r="S130" s="34">
        <f>J130*P130*(Settings!$B$14-1)</f>
        <v>0</v>
      </c>
      <c r="T130" s="34">
        <f>K130*P130*(Settings!$B$15-1)</f>
        <v>0</v>
      </c>
      <c r="U130" s="34">
        <f t="shared" si="7"/>
        <v>800</v>
      </c>
      <c r="V130" s="26" t="str">
        <f>Auto_Roster!O130</f>
        <v>Pending</v>
      </c>
      <c r="W130" s="26" t="e">
        <f ca="1">_xludf.TEXTJOIN("; ",TRUE,Auto_Roster!N130,IF(G130&gt;Settings!$B$19,"Approval required &gt; standard hours",""),IF(AND(F130&lt;&gt;"Off",G130=0),"Missing claimed hours",""))</f>
        <v>#NAME?</v>
      </c>
      <c r="X130" s="7"/>
    </row>
    <row r="131" spans="1:24" x14ac:dyDescent="0.35">
      <c r="A131" s="31">
        <f>Auto_Roster!A131</f>
        <v>46149</v>
      </c>
      <c r="B131" s="31">
        <f>Auto_Roster!B131</f>
        <v>46146</v>
      </c>
      <c r="C131" s="26" t="str">
        <f>Auto_Roster!C131</f>
        <v>E008</v>
      </c>
      <c r="D131" s="26" t="str">
        <f>Auto_Roster!D131</f>
        <v>Tim</v>
      </c>
      <c r="E131" s="26" t="str">
        <f>Auto_Roster!E131</f>
        <v>D</v>
      </c>
      <c r="F131" s="26" t="str">
        <f>Auto_Roster!G131</f>
        <v>Off</v>
      </c>
      <c r="G131" s="33">
        <f>Auto_Roster!J131</f>
        <v>0</v>
      </c>
      <c r="H131" s="33">
        <f>IF(G131&gt;Settings!$B$19,G131-Settings!$B$19,0)</f>
        <v>0</v>
      </c>
      <c r="I131" s="33">
        <f t="shared" si="4"/>
        <v>0</v>
      </c>
      <c r="J131" s="33">
        <f>IF(Auto_Roster!M131="Y",G131,0)</f>
        <v>0</v>
      </c>
      <c r="K131" s="33">
        <f>IF(Auto_Roster!L131="Y",G131,0)</f>
        <v>0</v>
      </c>
      <c r="L131" s="26" t="str">
        <f>Auto_Roster!K131</f>
        <v>N</v>
      </c>
      <c r="M131" s="34">
        <f>IF(L131="Y",Settings!$B$16,0)</f>
        <v>0</v>
      </c>
      <c r="N131" s="33">
        <f t="shared" si="5"/>
        <v>0</v>
      </c>
      <c r="O131" s="34">
        <f>N131*Settings!$B$17</f>
        <v>0</v>
      </c>
      <c r="P131" s="34">
        <f>IFERROR(VLOOKUP(C131,Employees!$A$4:$E$103,5,FALSE),Settings!$B$18)</f>
        <v>100</v>
      </c>
      <c r="Q131" s="34">
        <f t="shared" si="6"/>
        <v>0</v>
      </c>
      <c r="R131" s="34">
        <f>H131*P131*Settings!$B$13</f>
        <v>0</v>
      </c>
      <c r="S131" s="34">
        <f>J131*P131*(Settings!$B$14-1)</f>
        <v>0</v>
      </c>
      <c r="T131" s="34">
        <f>K131*P131*(Settings!$B$15-1)</f>
        <v>0</v>
      </c>
      <c r="U131" s="34">
        <f t="shared" si="7"/>
        <v>0</v>
      </c>
      <c r="V131" s="26" t="str">
        <f>Auto_Roster!O131</f>
        <v>Pending</v>
      </c>
      <c r="W131" s="26" t="e">
        <f ca="1">_xludf.TEXTJOIN("; ",TRUE,Auto_Roster!N131,IF(G131&gt;Settings!$B$19,"Approval required &gt; standard hours",""),IF(AND(F131&lt;&gt;"Off",G131=0),"Missing claimed hours",""))</f>
        <v>#NAME?</v>
      </c>
      <c r="X131" s="7"/>
    </row>
    <row r="132" spans="1:24" x14ac:dyDescent="0.35">
      <c r="A132" s="31">
        <f>Auto_Roster!A132</f>
        <v>46149</v>
      </c>
      <c r="B132" s="31">
        <f>Auto_Roster!B132</f>
        <v>46146</v>
      </c>
      <c r="C132" s="26" t="str">
        <f>Auto_Roster!C132</f>
        <v>E009</v>
      </c>
      <c r="D132" s="26" t="str">
        <f>Auto_Roster!D132</f>
        <v>Frank</v>
      </c>
      <c r="E132" s="26" t="str">
        <f>Auto_Roster!E132</f>
        <v>A</v>
      </c>
      <c r="F132" s="26" t="str">
        <f>Auto_Roster!G132</f>
        <v>Night</v>
      </c>
      <c r="G132" s="33">
        <f>Auto_Roster!J132</f>
        <v>8</v>
      </c>
      <c r="H132" s="33">
        <f>IF(G132&gt;Settings!$B$19,G132-Settings!$B$19,0)</f>
        <v>0</v>
      </c>
      <c r="I132" s="33">
        <f t="shared" ref="I132:I195" si="8">MAX(0,G132-H132)</f>
        <v>8</v>
      </c>
      <c r="J132" s="33">
        <f>IF(Auto_Roster!M132="Y",G132,0)</f>
        <v>0</v>
      </c>
      <c r="K132" s="33">
        <f>IF(Auto_Roster!L132="Y",G132,0)</f>
        <v>0</v>
      </c>
      <c r="L132" s="26" t="str">
        <f>Auto_Roster!K132</f>
        <v>N</v>
      </c>
      <c r="M132" s="34">
        <f>IF(L132="Y",Settings!$B$16,0)</f>
        <v>0</v>
      </c>
      <c r="N132" s="33">
        <f t="shared" ref="N132:N195" si="9">IF(F132="Night",G132,0)</f>
        <v>8</v>
      </c>
      <c r="O132" s="34">
        <f>N132*Settings!$B$17</f>
        <v>0</v>
      </c>
      <c r="P132" s="34">
        <f>IFERROR(VLOOKUP(C132,Employees!$A$4:$E$103,5,FALSE),Settings!$B$18)</f>
        <v>100</v>
      </c>
      <c r="Q132" s="34">
        <f t="shared" ref="Q132:Q195" si="10">I132*P132</f>
        <v>800</v>
      </c>
      <c r="R132" s="34">
        <f>H132*P132*Settings!$B$13</f>
        <v>0</v>
      </c>
      <c r="S132" s="34">
        <f>J132*P132*(Settings!$B$14-1)</f>
        <v>0</v>
      </c>
      <c r="T132" s="34">
        <f>K132*P132*(Settings!$B$15-1)</f>
        <v>0</v>
      </c>
      <c r="U132" s="34">
        <f t="shared" ref="U132:U195" si="11">SUM(Q132:T132)+M132+O132</f>
        <v>800</v>
      </c>
      <c r="V132" s="26" t="str">
        <f>Auto_Roster!O132</f>
        <v>Pending</v>
      </c>
      <c r="W132" s="26" t="e">
        <f ca="1">_xludf.TEXTJOIN("; ",TRUE,Auto_Roster!N132,IF(G132&gt;Settings!$B$19,"Approval required &gt; standard hours",""),IF(AND(F132&lt;&gt;"Off",G132=0),"Missing claimed hours",""))</f>
        <v>#NAME?</v>
      </c>
      <c r="X132" s="7"/>
    </row>
    <row r="133" spans="1:24" x14ac:dyDescent="0.35">
      <c r="A133" s="31">
        <f>Auto_Roster!A133</f>
        <v>46149</v>
      </c>
      <c r="B133" s="31">
        <f>Auto_Roster!B133</f>
        <v>46146</v>
      </c>
      <c r="C133" s="26" t="str">
        <f>Auto_Roster!C133</f>
        <v/>
      </c>
      <c r="D133" s="26" t="str">
        <f>Auto_Roster!D133</f>
        <v/>
      </c>
      <c r="E133" s="26" t="str">
        <f>Auto_Roster!E133</f>
        <v/>
      </c>
      <c r="F133" s="26" t="str">
        <f>Auto_Roster!G133</f>
        <v/>
      </c>
      <c r="G133" s="33">
        <f>Auto_Roster!J133</f>
        <v>0</v>
      </c>
      <c r="H133" s="33">
        <f>IF(G133&gt;Settings!$B$19,G133-Settings!$B$19,0)</f>
        <v>0</v>
      </c>
      <c r="I133" s="33">
        <f t="shared" si="8"/>
        <v>0</v>
      </c>
      <c r="J133" s="33">
        <f>IF(Auto_Roster!M133="Y",G133,0)</f>
        <v>0</v>
      </c>
      <c r="K133" s="33">
        <f>IF(Auto_Roster!L133="Y",G133,0)</f>
        <v>0</v>
      </c>
      <c r="L133" s="26" t="str">
        <f>Auto_Roster!K133</f>
        <v>N</v>
      </c>
      <c r="M133" s="34">
        <f>IF(L133="Y",Settings!$B$16,0)</f>
        <v>0</v>
      </c>
      <c r="N133" s="33">
        <f t="shared" si="9"/>
        <v>0</v>
      </c>
      <c r="O133" s="34">
        <f>N133*Settings!$B$17</f>
        <v>0</v>
      </c>
      <c r="P133" s="34">
        <f>IFERROR(VLOOKUP(C133,Employees!$A$4:$E$103,5,FALSE),Settings!$B$18)</f>
        <v>100</v>
      </c>
      <c r="Q133" s="34">
        <f t="shared" si="10"/>
        <v>0</v>
      </c>
      <c r="R133" s="34">
        <f>H133*P133*Settings!$B$13</f>
        <v>0</v>
      </c>
      <c r="S133" s="34">
        <f>J133*P133*(Settings!$B$14-1)</f>
        <v>0</v>
      </c>
      <c r="T133" s="34">
        <f>K133*P133*(Settings!$B$15-1)</f>
        <v>0</v>
      </c>
      <c r="U133" s="34">
        <f t="shared" si="11"/>
        <v>0</v>
      </c>
      <c r="V133" s="26" t="str">
        <f>Auto_Roster!O133</f>
        <v>Pending</v>
      </c>
      <c r="W133" s="26" t="e">
        <f ca="1">_xludf.TEXTJOIN("; ",TRUE,Auto_Roster!N133,IF(G133&gt;Settings!$B$19,"Approval required &gt; standard hours",""),IF(AND(F133&lt;&gt;"Off",G133=0),"Missing claimed hours",""))</f>
        <v>#NAME?</v>
      </c>
      <c r="X133" s="7"/>
    </row>
    <row r="134" spans="1:24" x14ac:dyDescent="0.35">
      <c r="A134" s="31">
        <f>Auto_Roster!A134</f>
        <v>46149</v>
      </c>
      <c r="B134" s="31">
        <f>Auto_Roster!B134</f>
        <v>46146</v>
      </c>
      <c r="C134" s="26" t="str">
        <f>Auto_Roster!C134</f>
        <v/>
      </c>
      <c r="D134" s="26" t="str">
        <f>Auto_Roster!D134</f>
        <v/>
      </c>
      <c r="E134" s="26" t="str">
        <f>Auto_Roster!E134</f>
        <v/>
      </c>
      <c r="F134" s="26" t="str">
        <f>Auto_Roster!G134</f>
        <v/>
      </c>
      <c r="G134" s="33">
        <f>Auto_Roster!J134</f>
        <v>0</v>
      </c>
      <c r="H134" s="33">
        <f>IF(G134&gt;Settings!$B$19,G134-Settings!$B$19,0)</f>
        <v>0</v>
      </c>
      <c r="I134" s="33">
        <f t="shared" si="8"/>
        <v>0</v>
      </c>
      <c r="J134" s="33">
        <f>IF(Auto_Roster!M134="Y",G134,0)</f>
        <v>0</v>
      </c>
      <c r="K134" s="33">
        <f>IF(Auto_Roster!L134="Y",G134,0)</f>
        <v>0</v>
      </c>
      <c r="L134" s="26" t="str">
        <f>Auto_Roster!K134</f>
        <v>N</v>
      </c>
      <c r="M134" s="34">
        <f>IF(L134="Y",Settings!$B$16,0)</f>
        <v>0</v>
      </c>
      <c r="N134" s="33">
        <f t="shared" si="9"/>
        <v>0</v>
      </c>
      <c r="O134" s="34">
        <f>N134*Settings!$B$17</f>
        <v>0</v>
      </c>
      <c r="P134" s="34">
        <f>IFERROR(VLOOKUP(C134,Employees!$A$4:$E$103,5,FALSE),Settings!$B$18)</f>
        <v>100</v>
      </c>
      <c r="Q134" s="34">
        <f t="shared" si="10"/>
        <v>0</v>
      </c>
      <c r="R134" s="34">
        <f>H134*P134*Settings!$B$13</f>
        <v>0</v>
      </c>
      <c r="S134" s="34">
        <f>J134*P134*(Settings!$B$14-1)</f>
        <v>0</v>
      </c>
      <c r="T134" s="34">
        <f>K134*P134*(Settings!$B$15-1)</f>
        <v>0</v>
      </c>
      <c r="U134" s="34">
        <f t="shared" si="11"/>
        <v>0</v>
      </c>
      <c r="V134" s="26" t="str">
        <f>Auto_Roster!O134</f>
        <v>Pending</v>
      </c>
      <c r="W134" s="26" t="e">
        <f ca="1">_xludf.TEXTJOIN("; ",TRUE,Auto_Roster!N134,IF(G134&gt;Settings!$B$19,"Approval required &gt; standard hours",""),IF(AND(F134&lt;&gt;"Off",G134=0),"Missing claimed hours",""))</f>
        <v>#NAME?</v>
      </c>
      <c r="X134" s="7"/>
    </row>
    <row r="135" spans="1:24" x14ac:dyDescent="0.35">
      <c r="A135" s="31">
        <f>Auto_Roster!A135</f>
        <v>46149</v>
      </c>
      <c r="B135" s="31">
        <f>Auto_Roster!B135</f>
        <v>46146</v>
      </c>
      <c r="C135" s="26" t="str">
        <f>Auto_Roster!C135</f>
        <v/>
      </c>
      <c r="D135" s="26" t="str">
        <f>Auto_Roster!D135</f>
        <v/>
      </c>
      <c r="E135" s="26" t="str">
        <f>Auto_Roster!E135</f>
        <v/>
      </c>
      <c r="F135" s="26" t="str">
        <f>Auto_Roster!G135</f>
        <v/>
      </c>
      <c r="G135" s="33">
        <f>Auto_Roster!J135</f>
        <v>0</v>
      </c>
      <c r="H135" s="33">
        <f>IF(G135&gt;Settings!$B$19,G135-Settings!$B$19,0)</f>
        <v>0</v>
      </c>
      <c r="I135" s="33">
        <f t="shared" si="8"/>
        <v>0</v>
      </c>
      <c r="J135" s="33">
        <f>IF(Auto_Roster!M135="Y",G135,0)</f>
        <v>0</v>
      </c>
      <c r="K135" s="33">
        <f>IF(Auto_Roster!L135="Y",G135,0)</f>
        <v>0</v>
      </c>
      <c r="L135" s="26" t="str">
        <f>Auto_Roster!K135</f>
        <v>N</v>
      </c>
      <c r="M135" s="34">
        <f>IF(L135="Y",Settings!$B$16,0)</f>
        <v>0</v>
      </c>
      <c r="N135" s="33">
        <f t="shared" si="9"/>
        <v>0</v>
      </c>
      <c r="O135" s="34">
        <f>N135*Settings!$B$17</f>
        <v>0</v>
      </c>
      <c r="P135" s="34">
        <f>IFERROR(VLOOKUP(C135,Employees!$A$4:$E$103,5,FALSE),Settings!$B$18)</f>
        <v>100</v>
      </c>
      <c r="Q135" s="34">
        <f t="shared" si="10"/>
        <v>0</v>
      </c>
      <c r="R135" s="34">
        <f>H135*P135*Settings!$B$13</f>
        <v>0</v>
      </c>
      <c r="S135" s="34">
        <f>J135*P135*(Settings!$B$14-1)</f>
        <v>0</v>
      </c>
      <c r="T135" s="34">
        <f>K135*P135*(Settings!$B$15-1)</f>
        <v>0</v>
      </c>
      <c r="U135" s="34">
        <f t="shared" si="11"/>
        <v>0</v>
      </c>
      <c r="V135" s="26" t="str">
        <f>Auto_Roster!O135</f>
        <v>Pending</v>
      </c>
      <c r="W135" s="26" t="e">
        <f ca="1">_xludf.TEXTJOIN("; ",TRUE,Auto_Roster!N135,IF(G135&gt;Settings!$B$19,"Approval required &gt; standard hours",""),IF(AND(F135&lt;&gt;"Off",G135=0),"Missing claimed hours",""))</f>
        <v>#NAME?</v>
      </c>
      <c r="X135" s="7"/>
    </row>
    <row r="136" spans="1:24" x14ac:dyDescent="0.35">
      <c r="A136" s="31">
        <f>Auto_Roster!A136</f>
        <v>46149</v>
      </c>
      <c r="B136" s="31">
        <f>Auto_Roster!B136</f>
        <v>46146</v>
      </c>
      <c r="C136" s="26" t="str">
        <f>Auto_Roster!C136</f>
        <v/>
      </c>
      <c r="D136" s="26" t="str">
        <f>Auto_Roster!D136</f>
        <v/>
      </c>
      <c r="E136" s="26" t="str">
        <f>Auto_Roster!E136</f>
        <v/>
      </c>
      <c r="F136" s="26" t="str">
        <f>Auto_Roster!G136</f>
        <v/>
      </c>
      <c r="G136" s="33">
        <f>Auto_Roster!J136</f>
        <v>0</v>
      </c>
      <c r="H136" s="33">
        <f>IF(G136&gt;Settings!$B$19,G136-Settings!$B$19,0)</f>
        <v>0</v>
      </c>
      <c r="I136" s="33">
        <f t="shared" si="8"/>
        <v>0</v>
      </c>
      <c r="J136" s="33">
        <f>IF(Auto_Roster!M136="Y",G136,0)</f>
        <v>0</v>
      </c>
      <c r="K136" s="33">
        <f>IF(Auto_Roster!L136="Y",G136,0)</f>
        <v>0</v>
      </c>
      <c r="L136" s="26" t="str">
        <f>Auto_Roster!K136</f>
        <v>N</v>
      </c>
      <c r="M136" s="34">
        <f>IF(L136="Y",Settings!$B$16,0)</f>
        <v>0</v>
      </c>
      <c r="N136" s="33">
        <f t="shared" si="9"/>
        <v>0</v>
      </c>
      <c r="O136" s="34">
        <f>N136*Settings!$B$17</f>
        <v>0</v>
      </c>
      <c r="P136" s="34">
        <f>IFERROR(VLOOKUP(C136,Employees!$A$4:$E$103,5,FALSE),Settings!$B$18)</f>
        <v>100</v>
      </c>
      <c r="Q136" s="34">
        <f t="shared" si="10"/>
        <v>0</v>
      </c>
      <c r="R136" s="34">
        <f>H136*P136*Settings!$B$13</f>
        <v>0</v>
      </c>
      <c r="S136" s="34">
        <f>J136*P136*(Settings!$B$14-1)</f>
        <v>0</v>
      </c>
      <c r="T136" s="34">
        <f>K136*P136*(Settings!$B$15-1)</f>
        <v>0</v>
      </c>
      <c r="U136" s="34">
        <f t="shared" si="11"/>
        <v>0</v>
      </c>
      <c r="V136" s="26" t="str">
        <f>Auto_Roster!O136</f>
        <v>Pending</v>
      </c>
      <c r="W136" s="26" t="e">
        <f ca="1">_xludf.TEXTJOIN("; ",TRUE,Auto_Roster!N136,IF(G136&gt;Settings!$B$19,"Approval required &gt; standard hours",""),IF(AND(F136&lt;&gt;"Off",G136=0),"Missing claimed hours",""))</f>
        <v>#NAME?</v>
      </c>
      <c r="X136" s="7"/>
    </row>
    <row r="137" spans="1:24" x14ac:dyDescent="0.35">
      <c r="A137" s="31">
        <f>Auto_Roster!A137</f>
        <v>46149</v>
      </c>
      <c r="B137" s="31">
        <f>Auto_Roster!B137</f>
        <v>46146</v>
      </c>
      <c r="C137" s="26" t="str">
        <f>Auto_Roster!C137</f>
        <v/>
      </c>
      <c r="D137" s="26" t="str">
        <f>Auto_Roster!D137</f>
        <v/>
      </c>
      <c r="E137" s="26" t="str">
        <f>Auto_Roster!E137</f>
        <v/>
      </c>
      <c r="F137" s="26" t="str">
        <f>Auto_Roster!G137</f>
        <v/>
      </c>
      <c r="G137" s="33">
        <f>Auto_Roster!J137</f>
        <v>0</v>
      </c>
      <c r="H137" s="33">
        <f>IF(G137&gt;Settings!$B$19,G137-Settings!$B$19,0)</f>
        <v>0</v>
      </c>
      <c r="I137" s="33">
        <f t="shared" si="8"/>
        <v>0</v>
      </c>
      <c r="J137" s="33">
        <f>IF(Auto_Roster!M137="Y",G137,0)</f>
        <v>0</v>
      </c>
      <c r="K137" s="33">
        <f>IF(Auto_Roster!L137="Y",G137,0)</f>
        <v>0</v>
      </c>
      <c r="L137" s="26" t="str">
        <f>Auto_Roster!K137</f>
        <v>N</v>
      </c>
      <c r="M137" s="34">
        <f>IF(L137="Y",Settings!$B$16,0)</f>
        <v>0</v>
      </c>
      <c r="N137" s="33">
        <f t="shared" si="9"/>
        <v>0</v>
      </c>
      <c r="O137" s="34">
        <f>N137*Settings!$B$17</f>
        <v>0</v>
      </c>
      <c r="P137" s="34">
        <f>IFERROR(VLOOKUP(C137,Employees!$A$4:$E$103,5,FALSE),Settings!$B$18)</f>
        <v>100</v>
      </c>
      <c r="Q137" s="34">
        <f t="shared" si="10"/>
        <v>0</v>
      </c>
      <c r="R137" s="34">
        <f>H137*P137*Settings!$B$13</f>
        <v>0</v>
      </c>
      <c r="S137" s="34">
        <f>J137*P137*(Settings!$B$14-1)</f>
        <v>0</v>
      </c>
      <c r="T137" s="34">
        <f>K137*P137*(Settings!$B$15-1)</f>
        <v>0</v>
      </c>
      <c r="U137" s="34">
        <f t="shared" si="11"/>
        <v>0</v>
      </c>
      <c r="V137" s="26" t="str">
        <f>Auto_Roster!O137</f>
        <v>Pending</v>
      </c>
      <c r="W137" s="26" t="e">
        <f ca="1">_xludf.TEXTJOIN("; ",TRUE,Auto_Roster!N137,IF(G137&gt;Settings!$B$19,"Approval required &gt; standard hours",""),IF(AND(F137&lt;&gt;"Off",G137=0),"Missing claimed hours",""))</f>
        <v>#NAME?</v>
      </c>
      <c r="X137" s="7"/>
    </row>
    <row r="138" spans="1:24" x14ac:dyDescent="0.35">
      <c r="A138" s="31">
        <f>Auto_Roster!A138</f>
        <v>46149</v>
      </c>
      <c r="B138" s="31">
        <f>Auto_Roster!B138</f>
        <v>46146</v>
      </c>
      <c r="C138" s="26" t="str">
        <f>Auto_Roster!C138</f>
        <v/>
      </c>
      <c r="D138" s="26" t="str">
        <f>Auto_Roster!D138</f>
        <v/>
      </c>
      <c r="E138" s="26" t="str">
        <f>Auto_Roster!E138</f>
        <v/>
      </c>
      <c r="F138" s="26" t="str">
        <f>Auto_Roster!G138</f>
        <v/>
      </c>
      <c r="G138" s="33">
        <f>Auto_Roster!J138</f>
        <v>0</v>
      </c>
      <c r="H138" s="33">
        <f>IF(G138&gt;Settings!$B$19,G138-Settings!$B$19,0)</f>
        <v>0</v>
      </c>
      <c r="I138" s="33">
        <f t="shared" si="8"/>
        <v>0</v>
      </c>
      <c r="J138" s="33">
        <f>IF(Auto_Roster!M138="Y",G138,0)</f>
        <v>0</v>
      </c>
      <c r="K138" s="33">
        <f>IF(Auto_Roster!L138="Y",G138,0)</f>
        <v>0</v>
      </c>
      <c r="L138" s="26" t="str">
        <f>Auto_Roster!K138</f>
        <v>N</v>
      </c>
      <c r="M138" s="34">
        <f>IF(L138="Y",Settings!$B$16,0)</f>
        <v>0</v>
      </c>
      <c r="N138" s="33">
        <f t="shared" si="9"/>
        <v>0</v>
      </c>
      <c r="O138" s="34">
        <f>N138*Settings!$B$17</f>
        <v>0</v>
      </c>
      <c r="P138" s="34">
        <f>IFERROR(VLOOKUP(C138,Employees!$A$4:$E$103,5,FALSE),Settings!$B$18)</f>
        <v>100</v>
      </c>
      <c r="Q138" s="34">
        <f t="shared" si="10"/>
        <v>0</v>
      </c>
      <c r="R138" s="34">
        <f>H138*P138*Settings!$B$13</f>
        <v>0</v>
      </c>
      <c r="S138" s="34">
        <f>J138*P138*(Settings!$B$14-1)</f>
        <v>0</v>
      </c>
      <c r="T138" s="34">
        <f>K138*P138*(Settings!$B$15-1)</f>
        <v>0</v>
      </c>
      <c r="U138" s="34">
        <f t="shared" si="11"/>
        <v>0</v>
      </c>
      <c r="V138" s="26" t="str">
        <f>Auto_Roster!O138</f>
        <v>Pending</v>
      </c>
      <c r="W138" s="26" t="e">
        <f ca="1">_xludf.TEXTJOIN("; ",TRUE,Auto_Roster!N138,IF(G138&gt;Settings!$B$19,"Approval required &gt; standard hours",""),IF(AND(F138&lt;&gt;"Off",G138=0),"Missing claimed hours",""))</f>
        <v>#NAME?</v>
      </c>
      <c r="X138" s="7"/>
    </row>
    <row r="139" spans="1:24" x14ac:dyDescent="0.35">
      <c r="A139" s="31">
        <f>Auto_Roster!A139</f>
        <v>46149</v>
      </c>
      <c r="B139" s="31">
        <f>Auto_Roster!B139</f>
        <v>46146</v>
      </c>
      <c r="C139" s="26" t="str">
        <f>Auto_Roster!C139</f>
        <v/>
      </c>
      <c r="D139" s="26" t="str">
        <f>Auto_Roster!D139</f>
        <v/>
      </c>
      <c r="E139" s="26" t="str">
        <f>Auto_Roster!E139</f>
        <v/>
      </c>
      <c r="F139" s="26" t="str">
        <f>Auto_Roster!G139</f>
        <v/>
      </c>
      <c r="G139" s="33">
        <f>Auto_Roster!J139</f>
        <v>0</v>
      </c>
      <c r="H139" s="33">
        <f>IF(G139&gt;Settings!$B$19,G139-Settings!$B$19,0)</f>
        <v>0</v>
      </c>
      <c r="I139" s="33">
        <f t="shared" si="8"/>
        <v>0</v>
      </c>
      <c r="J139" s="33">
        <f>IF(Auto_Roster!M139="Y",G139,0)</f>
        <v>0</v>
      </c>
      <c r="K139" s="33">
        <f>IF(Auto_Roster!L139="Y",G139,0)</f>
        <v>0</v>
      </c>
      <c r="L139" s="26" t="str">
        <f>Auto_Roster!K139</f>
        <v>N</v>
      </c>
      <c r="M139" s="34">
        <f>IF(L139="Y",Settings!$B$16,0)</f>
        <v>0</v>
      </c>
      <c r="N139" s="33">
        <f t="shared" si="9"/>
        <v>0</v>
      </c>
      <c r="O139" s="34">
        <f>N139*Settings!$B$17</f>
        <v>0</v>
      </c>
      <c r="P139" s="34">
        <f>IFERROR(VLOOKUP(C139,Employees!$A$4:$E$103,5,FALSE),Settings!$B$18)</f>
        <v>100</v>
      </c>
      <c r="Q139" s="34">
        <f t="shared" si="10"/>
        <v>0</v>
      </c>
      <c r="R139" s="34">
        <f>H139*P139*Settings!$B$13</f>
        <v>0</v>
      </c>
      <c r="S139" s="34">
        <f>J139*P139*(Settings!$B$14-1)</f>
        <v>0</v>
      </c>
      <c r="T139" s="34">
        <f>K139*P139*(Settings!$B$15-1)</f>
        <v>0</v>
      </c>
      <c r="U139" s="34">
        <f t="shared" si="11"/>
        <v>0</v>
      </c>
      <c r="V139" s="26" t="str">
        <f>Auto_Roster!O139</f>
        <v>Pending</v>
      </c>
      <c r="W139" s="26" t="e">
        <f ca="1">_xludf.TEXTJOIN("; ",TRUE,Auto_Roster!N139,IF(G139&gt;Settings!$B$19,"Approval required &gt; standard hours",""),IF(AND(F139&lt;&gt;"Off",G139=0),"Missing claimed hours",""))</f>
        <v>#NAME?</v>
      </c>
      <c r="X139" s="7"/>
    </row>
    <row r="140" spans="1:24" x14ac:dyDescent="0.35">
      <c r="A140" s="31">
        <f>Auto_Roster!A140</f>
        <v>46149</v>
      </c>
      <c r="B140" s="31">
        <f>Auto_Roster!B140</f>
        <v>46146</v>
      </c>
      <c r="C140" s="26" t="str">
        <f>Auto_Roster!C140</f>
        <v/>
      </c>
      <c r="D140" s="26" t="str">
        <f>Auto_Roster!D140</f>
        <v/>
      </c>
      <c r="E140" s="26" t="str">
        <f>Auto_Roster!E140</f>
        <v/>
      </c>
      <c r="F140" s="26" t="str">
        <f>Auto_Roster!G140</f>
        <v/>
      </c>
      <c r="G140" s="33">
        <f>Auto_Roster!J140</f>
        <v>0</v>
      </c>
      <c r="H140" s="33">
        <f>IF(G140&gt;Settings!$B$19,G140-Settings!$B$19,0)</f>
        <v>0</v>
      </c>
      <c r="I140" s="33">
        <f t="shared" si="8"/>
        <v>0</v>
      </c>
      <c r="J140" s="33">
        <f>IF(Auto_Roster!M140="Y",G140,0)</f>
        <v>0</v>
      </c>
      <c r="K140" s="33">
        <f>IF(Auto_Roster!L140="Y",G140,0)</f>
        <v>0</v>
      </c>
      <c r="L140" s="26" t="str">
        <f>Auto_Roster!K140</f>
        <v>N</v>
      </c>
      <c r="M140" s="34">
        <f>IF(L140="Y",Settings!$B$16,0)</f>
        <v>0</v>
      </c>
      <c r="N140" s="33">
        <f t="shared" si="9"/>
        <v>0</v>
      </c>
      <c r="O140" s="34">
        <f>N140*Settings!$B$17</f>
        <v>0</v>
      </c>
      <c r="P140" s="34">
        <f>IFERROR(VLOOKUP(C140,Employees!$A$4:$E$103,5,FALSE),Settings!$B$18)</f>
        <v>100</v>
      </c>
      <c r="Q140" s="34">
        <f t="shared" si="10"/>
        <v>0</v>
      </c>
      <c r="R140" s="34">
        <f>H140*P140*Settings!$B$13</f>
        <v>0</v>
      </c>
      <c r="S140" s="34">
        <f>J140*P140*(Settings!$B$14-1)</f>
        <v>0</v>
      </c>
      <c r="T140" s="34">
        <f>K140*P140*(Settings!$B$15-1)</f>
        <v>0</v>
      </c>
      <c r="U140" s="34">
        <f t="shared" si="11"/>
        <v>0</v>
      </c>
      <c r="V140" s="26" t="str">
        <f>Auto_Roster!O140</f>
        <v>Pending</v>
      </c>
      <c r="W140" s="26" t="e">
        <f ca="1">_xludf.TEXTJOIN("; ",TRUE,Auto_Roster!N140,IF(G140&gt;Settings!$B$19,"Approval required &gt; standard hours",""),IF(AND(F140&lt;&gt;"Off",G140=0),"Missing claimed hours",""))</f>
        <v>#NAME?</v>
      </c>
      <c r="X140" s="7"/>
    </row>
    <row r="141" spans="1:24" x14ac:dyDescent="0.35">
      <c r="A141" s="31">
        <f>Auto_Roster!A141</f>
        <v>46149</v>
      </c>
      <c r="B141" s="31">
        <f>Auto_Roster!B141</f>
        <v>46146</v>
      </c>
      <c r="C141" s="26" t="str">
        <f>Auto_Roster!C141</f>
        <v/>
      </c>
      <c r="D141" s="26" t="str">
        <f>Auto_Roster!D141</f>
        <v/>
      </c>
      <c r="E141" s="26" t="str">
        <f>Auto_Roster!E141</f>
        <v/>
      </c>
      <c r="F141" s="26" t="str">
        <f>Auto_Roster!G141</f>
        <v/>
      </c>
      <c r="G141" s="33">
        <f>Auto_Roster!J141</f>
        <v>0</v>
      </c>
      <c r="H141" s="33">
        <f>IF(G141&gt;Settings!$B$19,G141-Settings!$B$19,0)</f>
        <v>0</v>
      </c>
      <c r="I141" s="33">
        <f t="shared" si="8"/>
        <v>0</v>
      </c>
      <c r="J141" s="33">
        <f>IF(Auto_Roster!M141="Y",G141,0)</f>
        <v>0</v>
      </c>
      <c r="K141" s="33">
        <f>IF(Auto_Roster!L141="Y",G141,0)</f>
        <v>0</v>
      </c>
      <c r="L141" s="26" t="str">
        <f>Auto_Roster!K141</f>
        <v>N</v>
      </c>
      <c r="M141" s="34">
        <f>IF(L141="Y",Settings!$B$16,0)</f>
        <v>0</v>
      </c>
      <c r="N141" s="33">
        <f t="shared" si="9"/>
        <v>0</v>
      </c>
      <c r="O141" s="34">
        <f>N141*Settings!$B$17</f>
        <v>0</v>
      </c>
      <c r="P141" s="34">
        <f>IFERROR(VLOOKUP(C141,Employees!$A$4:$E$103,5,FALSE),Settings!$B$18)</f>
        <v>100</v>
      </c>
      <c r="Q141" s="34">
        <f t="shared" si="10"/>
        <v>0</v>
      </c>
      <c r="R141" s="34">
        <f>H141*P141*Settings!$B$13</f>
        <v>0</v>
      </c>
      <c r="S141" s="34">
        <f>J141*P141*(Settings!$B$14-1)</f>
        <v>0</v>
      </c>
      <c r="T141" s="34">
        <f>K141*P141*(Settings!$B$15-1)</f>
        <v>0</v>
      </c>
      <c r="U141" s="34">
        <f t="shared" si="11"/>
        <v>0</v>
      </c>
      <c r="V141" s="26" t="str">
        <f>Auto_Roster!O141</f>
        <v>Pending</v>
      </c>
      <c r="W141" s="26" t="e">
        <f ca="1">_xludf.TEXTJOIN("; ",TRUE,Auto_Roster!N141,IF(G141&gt;Settings!$B$19,"Approval required &gt; standard hours",""),IF(AND(F141&lt;&gt;"Off",G141=0),"Missing claimed hours",""))</f>
        <v>#NAME?</v>
      </c>
      <c r="X141" s="7"/>
    </row>
    <row r="142" spans="1:24" x14ac:dyDescent="0.35">
      <c r="A142" s="31">
        <f>Auto_Roster!A142</f>
        <v>46149</v>
      </c>
      <c r="B142" s="31">
        <f>Auto_Roster!B142</f>
        <v>46146</v>
      </c>
      <c r="C142" s="26" t="str">
        <f>Auto_Roster!C142</f>
        <v/>
      </c>
      <c r="D142" s="26" t="str">
        <f>Auto_Roster!D142</f>
        <v/>
      </c>
      <c r="E142" s="26" t="str">
        <f>Auto_Roster!E142</f>
        <v/>
      </c>
      <c r="F142" s="26" t="str">
        <f>Auto_Roster!G142</f>
        <v/>
      </c>
      <c r="G142" s="33">
        <f>Auto_Roster!J142</f>
        <v>0</v>
      </c>
      <c r="H142" s="33">
        <f>IF(G142&gt;Settings!$B$19,G142-Settings!$B$19,0)</f>
        <v>0</v>
      </c>
      <c r="I142" s="33">
        <f t="shared" si="8"/>
        <v>0</v>
      </c>
      <c r="J142" s="33">
        <f>IF(Auto_Roster!M142="Y",G142,0)</f>
        <v>0</v>
      </c>
      <c r="K142" s="33">
        <f>IF(Auto_Roster!L142="Y",G142,0)</f>
        <v>0</v>
      </c>
      <c r="L142" s="26" t="str">
        <f>Auto_Roster!K142</f>
        <v>N</v>
      </c>
      <c r="M142" s="34">
        <f>IF(L142="Y",Settings!$B$16,0)</f>
        <v>0</v>
      </c>
      <c r="N142" s="33">
        <f t="shared" si="9"/>
        <v>0</v>
      </c>
      <c r="O142" s="34">
        <f>N142*Settings!$B$17</f>
        <v>0</v>
      </c>
      <c r="P142" s="34">
        <f>IFERROR(VLOOKUP(C142,Employees!$A$4:$E$103,5,FALSE),Settings!$B$18)</f>
        <v>100</v>
      </c>
      <c r="Q142" s="34">
        <f t="shared" si="10"/>
        <v>0</v>
      </c>
      <c r="R142" s="34">
        <f>H142*P142*Settings!$B$13</f>
        <v>0</v>
      </c>
      <c r="S142" s="34">
        <f>J142*P142*(Settings!$B$14-1)</f>
        <v>0</v>
      </c>
      <c r="T142" s="34">
        <f>K142*P142*(Settings!$B$15-1)</f>
        <v>0</v>
      </c>
      <c r="U142" s="34">
        <f t="shared" si="11"/>
        <v>0</v>
      </c>
      <c r="V142" s="26" t="str">
        <f>Auto_Roster!O142</f>
        <v>Pending</v>
      </c>
      <c r="W142" s="26" t="e">
        <f ca="1">_xludf.TEXTJOIN("; ",TRUE,Auto_Roster!N142,IF(G142&gt;Settings!$B$19,"Approval required &gt; standard hours",""),IF(AND(F142&lt;&gt;"Off",G142=0),"Missing claimed hours",""))</f>
        <v>#NAME?</v>
      </c>
      <c r="X142" s="7"/>
    </row>
    <row r="143" spans="1:24" x14ac:dyDescent="0.35">
      <c r="A143" s="31">
        <f>Auto_Roster!A143</f>
        <v>46149</v>
      </c>
      <c r="B143" s="31">
        <f>Auto_Roster!B143</f>
        <v>46146</v>
      </c>
      <c r="C143" s="26" t="str">
        <f>Auto_Roster!C143</f>
        <v/>
      </c>
      <c r="D143" s="26" t="str">
        <f>Auto_Roster!D143</f>
        <v/>
      </c>
      <c r="E143" s="26" t="str">
        <f>Auto_Roster!E143</f>
        <v/>
      </c>
      <c r="F143" s="26" t="str">
        <f>Auto_Roster!G143</f>
        <v/>
      </c>
      <c r="G143" s="33">
        <f>Auto_Roster!J143</f>
        <v>0</v>
      </c>
      <c r="H143" s="33">
        <f>IF(G143&gt;Settings!$B$19,G143-Settings!$B$19,0)</f>
        <v>0</v>
      </c>
      <c r="I143" s="33">
        <f t="shared" si="8"/>
        <v>0</v>
      </c>
      <c r="J143" s="33">
        <f>IF(Auto_Roster!M143="Y",G143,0)</f>
        <v>0</v>
      </c>
      <c r="K143" s="33">
        <f>IF(Auto_Roster!L143="Y",G143,0)</f>
        <v>0</v>
      </c>
      <c r="L143" s="26" t="str">
        <f>Auto_Roster!K143</f>
        <v>N</v>
      </c>
      <c r="M143" s="34">
        <f>IF(L143="Y",Settings!$B$16,0)</f>
        <v>0</v>
      </c>
      <c r="N143" s="33">
        <f t="shared" si="9"/>
        <v>0</v>
      </c>
      <c r="O143" s="34">
        <f>N143*Settings!$B$17</f>
        <v>0</v>
      </c>
      <c r="P143" s="34">
        <f>IFERROR(VLOOKUP(C143,Employees!$A$4:$E$103,5,FALSE),Settings!$B$18)</f>
        <v>100</v>
      </c>
      <c r="Q143" s="34">
        <f t="shared" si="10"/>
        <v>0</v>
      </c>
      <c r="R143" s="34">
        <f>H143*P143*Settings!$B$13</f>
        <v>0</v>
      </c>
      <c r="S143" s="34">
        <f>J143*P143*(Settings!$B$14-1)</f>
        <v>0</v>
      </c>
      <c r="T143" s="34">
        <f>K143*P143*(Settings!$B$15-1)</f>
        <v>0</v>
      </c>
      <c r="U143" s="34">
        <f t="shared" si="11"/>
        <v>0</v>
      </c>
      <c r="V143" s="26" t="str">
        <f>Auto_Roster!O143</f>
        <v>Pending</v>
      </c>
      <c r="W143" s="26" t="e">
        <f ca="1">_xludf.TEXTJOIN("; ",TRUE,Auto_Roster!N143,IF(G143&gt;Settings!$B$19,"Approval required &gt; standard hours",""),IF(AND(F143&lt;&gt;"Off",G143=0),"Missing claimed hours",""))</f>
        <v>#NAME?</v>
      </c>
      <c r="X143" s="7"/>
    </row>
    <row r="144" spans="1:24" x14ac:dyDescent="0.35">
      <c r="A144" s="31">
        <f>Auto_Roster!A144</f>
        <v>46150</v>
      </c>
      <c r="B144" s="31">
        <f>Auto_Roster!B144</f>
        <v>46146</v>
      </c>
      <c r="C144" s="26" t="str">
        <f>Auto_Roster!C144</f>
        <v>E001</v>
      </c>
      <c r="D144" s="26" t="str">
        <f>Auto_Roster!D144</f>
        <v>Musiwa Khavalani</v>
      </c>
      <c r="E144" s="26">
        <f>Auto_Roster!E144</f>
        <v>0</v>
      </c>
      <c r="F144" s="26" t="e">
        <f>Auto_Roster!G144</f>
        <v>#N/A</v>
      </c>
      <c r="G144" s="33" t="e">
        <f>Auto_Roster!J144</f>
        <v>#N/A</v>
      </c>
      <c r="H144" s="33" t="e">
        <f>IF(G144&gt;Settings!$B$19,G144-Settings!$B$19,0)</f>
        <v>#N/A</v>
      </c>
      <c r="I144" s="33" t="e">
        <f t="shared" si="8"/>
        <v>#N/A</v>
      </c>
      <c r="J144" s="33">
        <f>IF(Auto_Roster!M144="Y",G144,0)</f>
        <v>0</v>
      </c>
      <c r="K144" s="33">
        <f>IF(Auto_Roster!L144="Y",G144,0)</f>
        <v>0</v>
      </c>
      <c r="L144" s="26" t="str">
        <f>Auto_Roster!K144</f>
        <v>N</v>
      </c>
      <c r="M144" s="34">
        <f>IF(L144="Y",Settings!$B$16,0)</f>
        <v>0</v>
      </c>
      <c r="N144" s="33" t="e">
        <f t="shared" si="9"/>
        <v>#N/A</v>
      </c>
      <c r="O144" s="34" t="e">
        <f>N144*Settings!$B$17</f>
        <v>#N/A</v>
      </c>
      <c r="P144" s="34">
        <f>IFERROR(VLOOKUP(C144,Employees!$A$4:$E$103,5,FALSE),Settings!$B$18)</f>
        <v>100</v>
      </c>
      <c r="Q144" s="34" t="e">
        <f t="shared" si="10"/>
        <v>#N/A</v>
      </c>
      <c r="R144" s="34" t="e">
        <f>H144*P144*Settings!$B$13</f>
        <v>#N/A</v>
      </c>
      <c r="S144" s="34">
        <f>J144*P144*(Settings!$B$14-1)</f>
        <v>0</v>
      </c>
      <c r="T144" s="34">
        <f>K144*P144*(Settings!$B$15-1)</f>
        <v>0</v>
      </c>
      <c r="U144" s="34" t="e">
        <f t="shared" si="11"/>
        <v>#N/A</v>
      </c>
      <c r="V144" s="26" t="str">
        <f>Auto_Roster!O144</f>
        <v>Pending</v>
      </c>
      <c r="W144" s="26" t="e">
        <f ca="1">_xludf.TEXTJOIN("; ",TRUE,Auto_Roster!N144,IF(G144&gt;Settings!$B$19,"Approval required &gt; standard hours",""),IF(AND(F144&lt;&gt;"Off",G144=0),"Missing claimed hours",""))</f>
        <v>#NAME?</v>
      </c>
      <c r="X144" s="7"/>
    </row>
    <row r="145" spans="1:24" x14ac:dyDescent="0.35">
      <c r="A145" s="31">
        <f>Auto_Roster!A145</f>
        <v>46150</v>
      </c>
      <c r="B145" s="31">
        <f>Auto_Roster!B145</f>
        <v>46146</v>
      </c>
      <c r="C145" s="26" t="str">
        <f>Auto_Roster!C145</f>
        <v>E002</v>
      </c>
      <c r="D145" s="26" t="str">
        <f>Auto_Roster!D145</f>
        <v>Mpho  Nembemhia</v>
      </c>
      <c r="E145" s="26" t="str">
        <f>Auto_Roster!E145</f>
        <v>B</v>
      </c>
      <c r="F145" s="26" t="str">
        <f>Auto_Roster!G145</f>
        <v>Night</v>
      </c>
      <c r="G145" s="33">
        <f>Auto_Roster!J145</f>
        <v>8</v>
      </c>
      <c r="H145" s="33">
        <f>IF(G145&gt;Settings!$B$19,G145-Settings!$B$19,0)</f>
        <v>0</v>
      </c>
      <c r="I145" s="33">
        <f t="shared" si="8"/>
        <v>8</v>
      </c>
      <c r="J145" s="33">
        <f>IF(Auto_Roster!M145="Y",G145,0)</f>
        <v>0</v>
      </c>
      <c r="K145" s="33">
        <f>IF(Auto_Roster!L145="Y",G145,0)</f>
        <v>0</v>
      </c>
      <c r="L145" s="26" t="str">
        <f>Auto_Roster!K145</f>
        <v>N</v>
      </c>
      <c r="M145" s="34">
        <f>IF(L145="Y",Settings!$B$16,0)</f>
        <v>0</v>
      </c>
      <c r="N145" s="33">
        <f t="shared" si="9"/>
        <v>8</v>
      </c>
      <c r="O145" s="34">
        <f>N145*Settings!$B$17</f>
        <v>0</v>
      </c>
      <c r="P145" s="34">
        <f>IFERROR(VLOOKUP(C145,Employees!$A$4:$E$103,5,FALSE),Settings!$B$18)</f>
        <v>100</v>
      </c>
      <c r="Q145" s="34">
        <f t="shared" si="10"/>
        <v>800</v>
      </c>
      <c r="R145" s="34">
        <f>H145*P145*Settings!$B$13</f>
        <v>0</v>
      </c>
      <c r="S145" s="34">
        <f>J145*P145*(Settings!$B$14-1)</f>
        <v>0</v>
      </c>
      <c r="T145" s="34">
        <f>K145*P145*(Settings!$B$15-1)</f>
        <v>0</v>
      </c>
      <c r="U145" s="34">
        <f t="shared" si="11"/>
        <v>800</v>
      </c>
      <c r="V145" s="26" t="str">
        <f>Auto_Roster!O145</f>
        <v>Pending</v>
      </c>
      <c r="W145" s="26" t="e">
        <f ca="1">_xludf.TEXTJOIN("; ",TRUE,Auto_Roster!N145,IF(G145&gt;Settings!$B$19,"Approval required &gt; standard hours",""),IF(AND(F145&lt;&gt;"Off",G145=0),"Missing claimed hours",""))</f>
        <v>#NAME?</v>
      </c>
      <c r="X145" s="7"/>
    </row>
    <row r="146" spans="1:24" x14ac:dyDescent="0.35">
      <c r="A146" s="31">
        <f>Auto_Roster!A146</f>
        <v>46150</v>
      </c>
      <c r="B146" s="31">
        <f>Auto_Roster!B146</f>
        <v>46146</v>
      </c>
      <c r="C146" s="26" t="str">
        <f>Auto_Roster!C146</f>
        <v>E003</v>
      </c>
      <c r="D146" s="26" t="str">
        <f>Auto_Roster!D146</f>
        <v>Dimpho Makhafola</v>
      </c>
      <c r="E146" s="26" t="str">
        <f>Auto_Roster!E146</f>
        <v>C</v>
      </c>
      <c r="F146" s="26" t="str">
        <f>Auto_Roster!G146</f>
        <v>Evening</v>
      </c>
      <c r="G146" s="33">
        <f>Auto_Roster!J146</f>
        <v>8</v>
      </c>
      <c r="H146" s="33">
        <f>IF(G146&gt;Settings!$B$19,G146-Settings!$B$19,0)</f>
        <v>0</v>
      </c>
      <c r="I146" s="33">
        <f t="shared" si="8"/>
        <v>8</v>
      </c>
      <c r="J146" s="33">
        <f>IF(Auto_Roster!M146="Y",G146,0)</f>
        <v>0</v>
      </c>
      <c r="K146" s="33">
        <f>IF(Auto_Roster!L146="Y",G146,0)</f>
        <v>0</v>
      </c>
      <c r="L146" s="26" t="str">
        <f>Auto_Roster!K146</f>
        <v>N</v>
      </c>
      <c r="M146" s="34">
        <f>IF(L146="Y",Settings!$B$16,0)</f>
        <v>0</v>
      </c>
      <c r="N146" s="33">
        <f t="shared" si="9"/>
        <v>0</v>
      </c>
      <c r="O146" s="34">
        <f>N146*Settings!$B$17</f>
        <v>0</v>
      </c>
      <c r="P146" s="34">
        <f>IFERROR(VLOOKUP(C146,Employees!$A$4:$E$103,5,FALSE),Settings!$B$18)</f>
        <v>100</v>
      </c>
      <c r="Q146" s="34">
        <f t="shared" si="10"/>
        <v>800</v>
      </c>
      <c r="R146" s="34">
        <f>H146*P146*Settings!$B$13</f>
        <v>0</v>
      </c>
      <c r="S146" s="34">
        <f>J146*P146*(Settings!$B$14-1)</f>
        <v>0</v>
      </c>
      <c r="T146" s="34">
        <f>K146*P146*(Settings!$B$15-1)</f>
        <v>0</v>
      </c>
      <c r="U146" s="34">
        <f t="shared" si="11"/>
        <v>800</v>
      </c>
      <c r="V146" s="26" t="str">
        <f>Auto_Roster!O146</f>
        <v>Pending</v>
      </c>
      <c r="W146" s="26" t="e">
        <f ca="1">_xludf.TEXTJOIN("; ",TRUE,Auto_Roster!N146,IF(G146&gt;Settings!$B$19,"Approval required &gt; standard hours",""),IF(AND(F146&lt;&gt;"Off",G146=0),"Missing claimed hours",""))</f>
        <v>#NAME?</v>
      </c>
      <c r="X146" s="7"/>
    </row>
    <row r="147" spans="1:24" x14ac:dyDescent="0.35">
      <c r="A147" s="31">
        <f>Auto_Roster!A147</f>
        <v>46150</v>
      </c>
      <c r="B147" s="31">
        <f>Auto_Roster!B147</f>
        <v>46146</v>
      </c>
      <c r="C147" s="26" t="str">
        <f>Auto_Roster!C147</f>
        <v>E004</v>
      </c>
      <c r="D147" s="26" t="str">
        <f>Auto_Roster!D147</f>
        <v>Bashii Fall</v>
      </c>
      <c r="E147" s="26" t="str">
        <f>Auto_Roster!E147</f>
        <v>D</v>
      </c>
      <c r="F147" s="26" t="str">
        <f>Auto_Roster!G147</f>
        <v>Day</v>
      </c>
      <c r="G147" s="33">
        <f>Auto_Roster!J147</f>
        <v>8</v>
      </c>
      <c r="H147" s="33">
        <f>IF(G147&gt;Settings!$B$19,G147-Settings!$B$19,0)</f>
        <v>0</v>
      </c>
      <c r="I147" s="33">
        <f t="shared" si="8"/>
        <v>8</v>
      </c>
      <c r="J147" s="33">
        <f>IF(Auto_Roster!M147="Y",G147,0)</f>
        <v>0</v>
      </c>
      <c r="K147" s="33">
        <f>IF(Auto_Roster!L147="Y",G147,0)</f>
        <v>0</v>
      </c>
      <c r="L147" s="26" t="str">
        <f>Auto_Roster!K147</f>
        <v>N</v>
      </c>
      <c r="M147" s="34">
        <f>IF(L147="Y",Settings!$B$16,0)</f>
        <v>0</v>
      </c>
      <c r="N147" s="33">
        <f t="shared" si="9"/>
        <v>0</v>
      </c>
      <c r="O147" s="34">
        <f>N147*Settings!$B$17</f>
        <v>0</v>
      </c>
      <c r="P147" s="34">
        <f>IFERROR(VLOOKUP(C147,Employees!$A$4:$E$103,5,FALSE),Settings!$B$18)</f>
        <v>100</v>
      </c>
      <c r="Q147" s="34">
        <f t="shared" si="10"/>
        <v>800</v>
      </c>
      <c r="R147" s="34">
        <f>H147*P147*Settings!$B$13</f>
        <v>0</v>
      </c>
      <c r="S147" s="34">
        <f>J147*P147*(Settings!$B$14-1)</f>
        <v>0</v>
      </c>
      <c r="T147" s="34">
        <f>K147*P147*(Settings!$B$15-1)</f>
        <v>0</v>
      </c>
      <c r="U147" s="34">
        <f t="shared" si="11"/>
        <v>800</v>
      </c>
      <c r="V147" s="26" t="str">
        <f>Auto_Roster!O147</f>
        <v>Pending</v>
      </c>
      <c r="W147" s="26" t="e">
        <f ca="1">_xludf.TEXTJOIN("; ",TRUE,Auto_Roster!N147,IF(G147&gt;Settings!$B$19,"Approval required &gt; standard hours",""),IF(AND(F147&lt;&gt;"Off",G147=0),"Missing claimed hours",""))</f>
        <v>#NAME?</v>
      </c>
      <c r="X147" s="7"/>
    </row>
    <row r="148" spans="1:24" x14ac:dyDescent="0.35">
      <c r="A148" s="31">
        <f>Auto_Roster!A148</f>
        <v>46150</v>
      </c>
      <c r="B148" s="31">
        <f>Auto_Roster!B148</f>
        <v>46146</v>
      </c>
      <c r="C148" s="26" t="str">
        <f>Auto_Roster!C148</f>
        <v>E005</v>
      </c>
      <c r="D148" s="26" t="str">
        <f>Auto_Roster!D148</f>
        <v>Lesego Aphane</v>
      </c>
      <c r="E148" s="26" t="str">
        <f>Auto_Roster!E148</f>
        <v>A</v>
      </c>
      <c r="F148" s="26" t="str">
        <f>Auto_Roster!G148</f>
        <v>Off</v>
      </c>
      <c r="G148" s="33">
        <f>Auto_Roster!J148</f>
        <v>0</v>
      </c>
      <c r="H148" s="33">
        <f>IF(G148&gt;Settings!$B$19,G148-Settings!$B$19,0)</f>
        <v>0</v>
      </c>
      <c r="I148" s="33">
        <f t="shared" si="8"/>
        <v>0</v>
      </c>
      <c r="J148" s="33">
        <f>IF(Auto_Roster!M148="Y",G148,0)</f>
        <v>0</v>
      </c>
      <c r="K148" s="33">
        <f>IF(Auto_Roster!L148="Y",G148,0)</f>
        <v>0</v>
      </c>
      <c r="L148" s="26" t="str">
        <f>Auto_Roster!K148</f>
        <v>N</v>
      </c>
      <c r="M148" s="34">
        <f>IF(L148="Y",Settings!$B$16,0)</f>
        <v>0</v>
      </c>
      <c r="N148" s="33">
        <f t="shared" si="9"/>
        <v>0</v>
      </c>
      <c r="O148" s="34">
        <f>N148*Settings!$B$17</f>
        <v>0</v>
      </c>
      <c r="P148" s="34">
        <f>IFERROR(VLOOKUP(C148,Employees!$A$4:$E$103,5,FALSE),Settings!$B$18)</f>
        <v>100</v>
      </c>
      <c r="Q148" s="34">
        <f t="shared" si="10"/>
        <v>0</v>
      </c>
      <c r="R148" s="34">
        <f>H148*P148*Settings!$B$13</f>
        <v>0</v>
      </c>
      <c r="S148" s="34">
        <f>J148*P148*(Settings!$B$14-1)</f>
        <v>0</v>
      </c>
      <c r="T148" s="34">
        <f>K148*P148*(Settings!$B$15-1)</f>
        <v>0</v>
      </c>
      <c r="U148" s="34">
        <f t="shared" si="11"/>
        <v>0</v>
      </c>
      <c r="V148" s="26" t="str">
        <f>Auto_Roster!O148</f>
        <v>Pending</v>
      </c>
      <c r="W148" s="26" t="e">
        <f ca="1">_xludf.TEXTJOIN("; ",TRUE,Auto_Roster!N148,IF(G148&gt;Settings!$B$19,"Approval required &gt; standard hours",""),IF(AND(F148&lt;&gt;"Off",G148=0),"Missing claimed hours",""))</f>
        <v>#NAME?</v>
      </c>
      <c r="X148" s="7"/>
    </row>
    <row r="149" spans="1:24" x14ac:dyDescent="0.35">
      <c r="A149" s="31">
        <f>Auto_Roster!A149</f>
        <v>46150</v>
      </c>
      <c r="B149" s="31">
        <f>Auto_Roster!B149</f>
        <v>46146</v>
      </c>
      <c r="C149" s="26" t="str">
        <f>Auto_Roster!C149</f>
        <v>E006</v>
      </c>
      <c r="D149" s="26" t="str">
        <f>Auto_Roster!D149</f>
        <v>Nhalnahla</v>
      </c>
      <c r="E149" s="26" t="str">
        <f>Auto_Roster!E149</f>
        <v>B</v>
      </c>
      <c r="F149" s="26" t="str">
        <f>Auto_Roster!G149</f>
        <v>Night</v>
      </c>
      <c r="G149" s="33">
        <f>Auto_Roster!J149</f>
        <v>8</v>
      </c>
      <c r="H149" s="33">
        <f>IF(G149&gt;Settings!$B$19,G149-Settings!$B$19,0)</f>
        <v>0</v>
      </c>
      <c r="I149" s="33">
        <f t="shared" si="8"/>
        <v>8</v>
      </c>
      <c r="J149" s="33">
        <f>IF(Auto_Roster!M149="Y",G149,0)</f>
        <v>0</v>
      </c>
      <c r="K149" s="33">
        <f>IF(Auto_Roster!L149="Y",G149,0)</f>
        <v>0</v>
      </c>
      <c r="L149" s="26" t="str">
        <f>Auto_Roster!K149</f>
        <v>N</v>
      </c>
      <c r="M149" s="34">
        <f>IF(L149="Y",Settings!$B$16,0)</f>
        <v>0</v>
      </c>
      <c r="N149" s="33">
        <f t="shared" si="9"/>
        <v>8</v>
      </c>
      <c r="O149" s="34">
        <f>N149*Settings!$B$17</f>
        <v>0</v>
      </c>
      <c r="P149" s="34">
        <f>IFERROR(VLOOKUP(C149,Employees!$A$4:$E$103,5,FALSE),Settings!$B$18)</f>
        <v>100</v>
      </c>
      <c r="Q149" s="34">
        <f t="shared" si="10"/>
        <v>800</v>
      </c>
      <c r="R149" s="34">
        <f>H149*P149*Settings!$B$13</f>
        <v>0</v>
      </c>
      <c r="S149" s="34">
        <f>J149*P149*(Settings!$B$14-1)</f>
        <v>0</v>
      </c>
      <c r="T149" s="34">
        <f>K149*P149*(Settings!$B$15-1)</f>
        <v>0</v>
      </c>
      <c r="U149" s="34">
        <f t="shared" si="11"/>
        <v>800</v>
      </c>
      <c r="V149" s="26" t="str">
        <f>Auto_Roster!O149</f>
        <v>Pending</v>
      </c>
      <c r="W149" s="26" t="e">
        <f ca="1">_xludf.TEXTJOIN("; ",TRUE,Auto_Roster!N149,IF(G149&gt;Settings!$B$19,"Approval required &gt; standard hours",""),IF(AND(F149&lt;&gt;"Off",G149=0),"Missing claimed hours",""))</f>
        <v>#NAME?</v>
      </c>
      <c r="X149" s="7"/>
    </row>
    <row r="150" spans="1:24" x14ac:dyDescent="0.35">
      <c r="A150" s="31">
        <f>Auto_Roster!A150</f>
        <v>46150</v>
      </c>
      <c r="B150" s="31">
        <f>Auto_Roster!B150</f>
        <v>46146</v>
      </c>
      <c r="C150" s="26" t="str">
        <f>Auto_Roster!C150</f>
        <v>E007</v>
      </c>
      <c r="D150" s="26" t="str">
        <f>Auto_Roster!D150</f>
        <v>Joe</v>
      </c>
      <c r="E150" s="26" t="str">
        <f>Auto_Roster!E150</f>
        <v>C</v>
      </c>
      <c r="F150" s="26" t="str">
        <f>Auto_Roster!G150</f>
        <v>Evening</v>
      </c>
      <c r="G150" s="33">
        <f>Auto_Roster!J150</f>
        <v>8</v>
      </c>
      <c r="H150" s="33">
        <f>IF(G150&gt;Settings!$B$19,G150-Settings!$B$19,0)</f>
        <v>0</v>
      </c>
      <c r="I150" s="33">
        <f t="shared" si="8"/>
        <v>8</v>
      </c>
      <c r="J150" s="33">
        <f>IF(Auto_Roster!M150="Y",G150,0)</f>
        <v>0</v>
      </c>
      <c r="K150" s="33">
        <f>IF(Auto_Roster!L150="Y",G150,0)</f>
        <v>0</v>
      </c>
      <c r="L150" s="26" t="str">
        <f>Auto_Roster!K150</f>
        <v>N</v>
      </c>
      <c r="M150" s="34">
        <f>IF(L150="Y",Settings!$B$16,0)</f>
        <v>0</v>
      </c>
      <c r="N150" s="33">
        <f t="shared" si="9"/>
        <v>0</v>
      </c>
      <c r="O150" s="34">
        <f>N150*Settings!$B$17</f>
        <v>0</v>
      </c>
      <c r="P150" s="34">
        <f>IFERROR(VLOOKUP(C150,Employees!$A$4:$E$103,5,FALSE),Settings!$B$18)</f>
        <v>100</v>
      </c>
      <c r="Q150" s="34">
        <f t="shared" si="10"/>
        <v>800</v>
      </c>
      <c r="R150" s="34">
        <f>H150*P150*Settings!$B$13</f>
        <v>0</v>
      </c>
      <c r="S150" s="34">
        <f>J150*P150*(Settings!$B$14-1)</f>
        <v>0</v>
      </c>
      <c r="T150" s="34">
        <f>K150*P150*(Settings!$B$15-1)</f>
        <v>0</v>
      </c>
      <c r="U150" s="34">
        <f t="shared" si="11"/>
        <v>800</v>
      </c>
      <c r="V150" s="26" t="str">
        <f>Auto_Roster!O150</f>
        <v>Pending</v>
      </c>
      <c r="W150" s="26" t="e">
        <f ca="1">_xludf.TEXTJOIN("; ",TRUE,Auto_Roster!N150,IF(G150&gt;Settings!$B$19,"Approval required &gt; standard hours",""),IF(AND(F150&lt;&gt;"Off",G150=0),"Missing claimed hours",""))</f>
        <v>#NAME?</v>
      </c>
      <c r="X150" s="7"/>
    </row>
    <row r="151" spans="1:24" x14ac:dyDescent="0.35">
      <c r="A151" s="31">
        <f>Auto_Roster!A151</f>
        <v>46150</v>
      </c>
      <c r="B151" s="31">
        <f>Auto_Roster!B151</f>
        <v>46146</v>
      </c>
      <c r="C151" s="26" t="str">
        <f>Auto_Roster!C151</f>
        <v>E008</v>
      </c>
      <c r="D151" s="26" t="str">
        <f>Auto_Roster!D151</f>
        <v>Tim</v>
      </c>
      <c r="E151" s="26" t="str">
        <f>Auto_Roster!E151</f>
        <v>D</v>
      </c>
      <c r="F151" s="26" t="str">
        <f>Auto_Roster!G151</f>
        <v>Day</v>
      </c>
      <c r="G151" s="33">
        <f>Auto_Roster!J151</f>
        <v>8</v>
      </c>
      <c r="H151" s="33">
        <f>IF(G151&gt;Settings!$B$19,G151-Settings!$B$19,0)</f>
        <v>0</v>
      </c>
      <c r="I151" s="33">
        <f t="shared" si="8"/>
        <v>8</v>
      </c>
      <c r="J151" s="33">
        <f>IF(Auto_Roster!M151="Y",G151,0)</f>
        <v>0</v>
      </c>
      <c r="K151" s="33">
        <f>IF(Auto_Roster!L151="Y",G151,0)</f>
        <v>0</v>
      </c>
      <c r="L151" s="26" t="str">
        <f>Auto_Roster!K151</f>
        <v>N</v>
      </c>
      <c r="M151" s="34">
        <f>IF(L151="Y",Settings!$B$16,0)</f>
        <v>0</v>
      </c>
      <c r="N151" s="33">
        <f t="shared" si="9"/>
        <v>0</v>
      </c>
      <c r="O151" s="34">
        <f>N151*Settings!$B$17</f>
        <v>0</v>
      </c>
      <c r="P151" s="34">
        <f>IFERROR(VLOOKUP(C151,Employees!$A$4:$E$103,5,FALSE),Settings!$B$18)</f>
        <v>100</v>
      </c>
      <c r="Q151" s="34">
        <f t="shared" si="10"/>
        <v>800</v>
      </c>
      <c r="R151" s="34">
        <f>H151*P151*Settings!$B$13</f>
        <v>0</v>
      </c>
      <c r="S151" s="34">
        <f>J151*P151*(Settings!$B$14-1)</f>
        <v>0</v>
      </c>
      <c r="T151" s="34">
        <f>K151*P151*(Settings!$B$15-1)</f>
        <v>0</v>
      </c>
      <c r="U151" s="34">
        <f t="shared" si="11"/>
        <v>800</v>
      </c>
      <c r="V151" s="26" t="str">
        <f>Auto_Roster!O151</f>
        <v>Pending</v>
      </c>
      <c r="W151" s="26" t="e">
        <f ca="1">_xludf.TEXTJOIN("; ",TRUE,Auto_Roster!N151,IF(G151&gt;Settings!$B$19,"Approval required &gt; standard hours",""),IF(AND(F151&lt;&gt;"Off",G151=0),"Missing claimed hours",""))</f>
        <v>#NAME?</v>
      </c>
      <c r="X151" s="7"/>
    </row>
    <row r="152" spans="1:24" x14ac:dyDescent="0.35">
      <c r="A152" s="31">
        <f>Auto_Roster!A152</f>
        <v>46150</v>
      </c>
      <c r="B152" s="31">
        <f>Auto_Roster!B152</f>
        <v>46146</v>
      </c>
      <c r="C152" s="26" t="str">
        <f>Auto_Roster!C152</f>
        <v>E009</v>
      </c>
      <c r="D152" s="26" t="str">
        <f>Auto_Roster!D152</f>
        <v>Frank</v>
      </c>
      <c r="E152" s="26" t="str">
        <f>Auto_Roster!E152</f>
        <v>A</v>
      </c>
      <c r="F152" s="26" t="str">
        <f>Auto_Roster!G152</f>
        <v>Off</v>
      </c>
      <c r="G152" s="33">
        <f>Auto_Roster!J152</f>
        <v>0</v>
      </c>
      <c r="H152" s="33">
        <f>IF(G152&gt;Settings!$B$19,G152-Settings!$B$19,0)</f>
        <v>0</v>
      </c>
      <c r="I152" s="33">
        <f t="shared" si="8"/>
        <v>0</v>
      </c>
      <c r="J152" s="33">
        <f>IF(Auto_Roster!M152="Y",G152,0)</f>
        <v>0</v>
      </c>
      <c r="K152" s="33">
        <f>IF(Auto_Roster!L152="Y",G152,0)</f>
        <v>0</v>
      </c>
      <c r="L152" s="26" t="str">
        <f>Auto_Roster!K152</f>
        <v>N</v>
      </c>
      <c r="M152" s="34">
        <f>IF(L152="Y",Settings!$B$16,0)</f>
        <v>0</v>
      </c>
      <c r="N152" s="33">
        <f t="shared" si="9"/>
        <v>0</v>
      </c>
      <c r="O152" s="34">
        <f>N152*Settings!$B$17</f>
        <v>0</v>
      </c>
      <c r="P152" s="34">
        <f>IFERROR(VLOOKUP(C152,Employees!$A$4:$E$103,5,FALSE),Settings!$B$18)</f>
        <v>100</v>
      </c>
      <c r="Q152" s="34">
        <f t="shared" si="10"/>
        <v>0</v>
      </c>
      <c r="R152" s="34">
        <f>H152*P152*Settings!$B$13</f>
        <v>0</v>
      </c>
      <c r="S152" s="34">
        <f>J152*P152*(Settings!$B$14-1)</f>
        <v>0</v>
      </c>
      <c r="T152" s="34">
        <f>K152*P152*(Settings!$B$15-1)</f>
        <v>0</v>
      </c>
      <c r="U152" s="34">
        <f t="shared" si="11"/>
        <v>0</v>
      </c>
      <c r="V152" s="26" t="str">
        <f>Auto_Roster!O152</f>
        <v>Pending</v>
      </c>
      <c r="W152" s="26" t="e">
        <f ca="1">_xludf.TEXTJOIN("; ",TRUE,Auto_Roster!N152,IF(G152&gt;Settings!$B$19,"Approval required &gt; standard hours",""),IF(AND(F152&lt;&gt;"Off",G152=0),"Missing claimed hours",""))</f>
        <v>#NAME?</v>
      </c>
      <c r="X152" s="7"/>
    </row>
    <row r="153" spans="1:24" x14ac:dyDescent="0.35">
      <c r="A153" s="31">
        <f>Auto_Roster!A153</f>
        <v>46150</v>
      </c>
      <c r="B153" s="31">
        <f>Auto_Roster!B153</f>
        <v>46146</v>
      </c>
      <c r="C153" s="26" t="str">
        <f>Auto_Roster!C153</f>
        <v/>
      </c>
      <c r="D153" s="26" t="str">
        <f>Auto_Roster!D153</f>
        <v/>
      </c>
      <c r="E153" s="26" t="str">
        <f>Auto_Roster!E153</f>
        <v/>
      </c>
      <c r="F153" s="26" t="str">
        <f>Auto_Roster!G153</f>
        <v/>
      </c>
      <c r="G153" s="33">
        <f>Auto_Roster!J153</f>
        <v>0</v>
      </c>
      <c r="H153" s="33">
        <f>IF(G153&gt;Settings!$B$19,G153-Settings!$B$19,0)</f>
        <v>0</v>
      </c>
      <c r="I153" s="33">
        <f t="shared" si="8"/>
        <v>0</v>
      </c>
      <c r="J153" s="33">
        <f>IF(Auto_Roster!M153="Y",G153,0)</f>
        <v>0</v>
      </c>
      <c r="K153" s="33">
        <f>IF(Auto_Roster!L153="Y",G153,0)</f>
        <v>0</v>
      </c>
      <c r="L153" s="26" t="str">
        <f>Auto_Roster!K153</f>
        <v>N</v>
      </c>
      <c r="M153" s="34">
        <f>IF(L153="Y",Settings!$B$16,0)</f>
        <v>0</v>
      </c>
      <c r="N153" s="33">
        <f t="shared" si="9"/>
        <v>0</v>
      </c>
      <c r="O153" s="34">
        <f>N153*Settings!$B$17</f>
        <v>0</v>
      </c>
      <c r="P153" s="34">
        <f>IFERROR(VLOOKUP(C153,Employees!$A$4:$E$103,5,FALSE),Settings!$B$18)</f>
        <v>100</v>
      </c>
      <c r="Q153" s="34">
        <f t="shared" si="10"/>
        <v>0</v>
      </c>
      <c r="R153" s="34">
        <f>H153*P153*Settings!$B$13</f>
        <v>0</v>
      </c>
      <c r="S153" s="34">
        <f>J153*P153*(Settings!$B$14-1)</f>
        <v>0</v>
      </c>
      <c r="T153" s="34">
        <f>K153*P153*(Settings!$B$15-1)</f>
        <v>0</v>
      </c>
      <c r="U153" s="34">
        <f t="shared" si="11"/>
        <v>0</v>
      </c>
      <c r="V153" s="26" t="str">
        <f>Auto_Roster!O153</f>
        <v>Pending</v>
      </c>
      <c r="W153" s="26" t="e">
        <f ca="1">_xludf.TEXTJOIN("; ",TRUE,Auto_Roster!N153,IF(G153&gt;Settings!$B$19,"Approval required &gt; standard hours",""),IF(AND(F153&lt;&gt;"Off",G153=0),"Missing claimed hours",""))</f>
        <v>#NAME?</v>
      </c>
      <c r="X153" s="7"/>
    </row>
    <row r="154" spans="1:24" x14ac:dyDescent="0.35">
      <c r="A154" s="31">
        <f>Auto_Roster!A154</f>
        <v>46150</v>
      </c>
      <c r="B154" s="31">
        <f>Auto_Roster!B154</f>
        <v>46146</v>
      </c>
      <c r="C154" s="26" t="str">
        <f>Auto_Roster!C154</f>
        <v/>
      </c>
      <c r="D154" s="26" t="str">
        <f>Auto_Roster!D154</f>
        <v/>
      </c>
      <c r="E154" s="26" t="str">
        <f>Auto_Roster!E154</f>
        <v/>
      </c>
      <c r="F154" s="26" t="str">
        <f>Auto_Roster!G154</f>
        <v/>
      </c>
      <c r="G154" s="33">
        <f>Auto_Roster!J154</f>
        <v>0</v>
      </c>
      <c r="H154" s="33">
        <f>IF(G154&gt;Settings!$B$19,G154-Settings!$B$19,0)</f>
        <v>0</v>
      </c>
      <c r="I154" s="33">
        <f t="shared" si="8"/>
        <v>0</v>
      </c>
      <c r="J154" s="33">
        <f>IF(Auto_Roster!M154="Y",G154,0)</f>
        <v>0</v>
      </c>
      <c r="K154" s="33">
        <f>IF(Auto_Roster!L154="Y",G154,0)</f>
        <v>0</v>
      </c>
      <c r="L154" s="26" t="str">
        <f>Auto_Roster!K154</f>
        <v>N</v>
      </c>
      <c r="M154" s="34">
        <f>IF(L154="Y",Settings!$B$16,0)</f>
        <v>0</v>
      </c>
      <c r="N154" s="33">
        <f t="shared" si="9"/>
        <v>0</v>
      </c>
      <c r="O154" s="34">
        <f>N154*Settings!$B$17</f>
        <v>0</v>
      </c>
      <c r="P154" s="34">
        <f>IFERROR(VLOOKUP(C154,Employees!$A$4:$E$103,5,FALSE),Settings!$B$18)</f>
        <v>100</v>
      </c>
      <c r="Q154" s="34">
        <f t="shared" si="10"/>
        <v>0</v>
      </c>
      <c r="R154" s="34">
        <f>H154*P154*Settings!$B$13</f>
        <v>0</v>
      </c>
      <c r="S154" s="34">
        <f>J154*P154*(Settings!$B$14-1)</f>
        <v>0</v>
      </c>
      <c r="T154" s="34">
        <f>K154*P154*(Settings!$B$15-1)</f>
        <v>0</v>
      </c>
      <c r="U154" s="34">
        <f t="shared" si="11"/>
        <v>0</v>
      </c>
      <c r="V154" s="26" t="str">
        <f>Auto_Roster!O154</f>
        <v>Pending</v>
      </c>
      <c r="W154" s="26" t="e">
        <f ca="1">_xludf.TEXTJOIN("; ",TRUE,Auto_Roster!N154,IF(G154&gt;Settings!$B$19,"Approval required &gt; standard hours",""),IF(AND(F154&lt;&gt;"Off",G154=0),"Missing claimed hours",""))</f>
        <v>#NAME?</v>
      </c>
      <c r="X154" s="7"/>
    </row>
    <row r="155" spans="1:24" x14ac:dyDescent="0.35">
      <c r="A155" s="31">
        <f>Auto_Roster!A155</f>
        <v>46150</v>
      </c>
      <c r="B155" s="31">
        <f>Auto_Roster!B155</f>
        <v>46146</v>
      </c>
      <c r="C155" s="26" t="str">
        <f>Auto_Roster!C155</f>
        <v/>
      </c>
      <c r="D155" s="26" t="str">
        <f>Auto_Roster!D155</f>
        <v/>
      </c>
      <c r="E155" s="26" t="str">
        <f>Auto_Roster!E155</f>
        <v/>
      </c>
      <c r="F155" s="26" t="str">
        <f>Auto_Roster!G155</f>
        <v/>
      </c>
      <c r="G155" s="33">
        <f>Auto_Roster!J155</f>
        <v>0</v>
      </c>
      <c r="H155" s="33">
        <f>IF(G155&gt;Settings!$B$19,G155-Settings!$B$19,0)</f>
        <v>0</v>
      </c>
      <c r="I155" s="33">
        <f t="shared" si="8"/>
        <v>0</v>
      </c>
      <c r="J155" s="33">
        <f>IF(Auto_Roster!M155="Y",G155,0)</f>
        <v>0</v>
      </c>
      <c r="K155" s="33">
        <f>IF(Auto_Roster!L155="Y",G155,0)</f>
        <v>0</v>
      </c>
      <c r="L155" s="26" t="str">
        <f>Auto_Roster!K155</f>
        <v>N</v>
      </c>
      <c r="M155" s="34">
        <f>IF(L155="Y",Settings!$B$16,0)</f>
        <v>0</v>
      </c>
      <c r="N155" s="33">
        <f t="shared" si="9"/>
        <v>0</v>
      </c>
      <c r="O155" s="34">
        <f>N155*Settings!$B$17</f>
        <v>0</v>
      </c>
      <c r="P155" s="34">
        <f>IFERROR(VLOOKUP(C155,Employees!$A$4:$E$103,5,FALSE),Settings!$B$18)</f>
        <v>100</v>
      </c>
      <c r="Q155" s="34">
        <f t="shared" si="10"/>
        <v>0</v>
      </c>
      <c r="R155" s="34">
        <f>H155*P155*Settings!$B$13</f>
        <v>0</v>
      </c>
      <c r="S155" s="34">
        <f>J155*P155*(Settings!$B$14-1)</f>
        <v>0</v>
      </c>
      <c r="T155" s="34">
        <f>K155*P155*(Settings!$B$15-1)</f>
        <v>0</v>
      </c>
      <c r="U155" s="34">
        <f t="shared" si="11"/>
        <v>0</v>
      </c>
      <c r="V155" s="26" t="str">
        <f>Auto_Roster!O155</f>
        <v>Pending</v>
      </c>
      <c r="W155" s="26" t="e">
        <f ca="1">_xludf.TEXTJOIN("; ",TRUE,Auto_Roster!N155,IF(G155&gt;Settings!$B$19,"Approval required &gt; standard hours",""),IF(AND(F155&lt;&gt;"Off",G155=0),"Missing claimed hours",""))</f>
        <v>#NAME?</v>
      </c>
      <c r="X155" s="7"/>
    </row>
    <row r="156" spans="1:24" x14ac:dyDescent="0.35">
      <c r="A156" s="31">
        <f>Auto_Roster!A156</f>
        <v>46150</v>
      </c>
      <c r="B156" s="31">
        <f>Auto_Roster!B156</f>
        <v>46146</v>
      </c>
      <c r="C156" s="26" t="str">
        <f>Auto_Roster!C156</f>
        <v/>
      </c>
      <c r="D156" s="26" t="str">
        <f>Auto_Roster!D156</f>
        <v/>
      </c>
      <c r="E156" s="26" t="str">
        <f>Auto_Roster!E156</f>
        <v/>
      </c>
      <c r="F156" s="26" t="str">
        <f>Auto_Roster!G156</f>
        <v/>
      </c>
      <c r="G156" s="33">
        <f>Auto_Roster!J156</f>
        <v>0</v>
      </c>
      <c r="H156" s="33">
        <f>IF(G156&gt;Settings!$B$19,G156-Settings!$B$19,0)</f>
        <v>0</v>
      </c>
      <c r="I156" s="33">
        <f t="shared" si="8"/>
        <v>0</v>
      </c>
      <c r="J156" s="33">
        <f>IF(Auto_Roster!M156="Y",G156,0)</f>
        <v>0</v>
      </c>
      <c r="K156" s="33">
        <f>IF(Auto_Roster!L156="Y",G156,0)</f>
        <v>0</v>
      </c>
      <c r="L156" s="26" t="str">
        <f>Auto_Roster!K156</f>
        <v>N</v>
      </c>
      <c r="M156" s="34">
        <f>IF(L156="Y",Settings!$B$16,0)</f>
        <v>0</v>
      </c>
      <c r="N156" s="33">
        <f t="shared" si="9"/>
        <v>0</v>
      </c>
      <c r="O156" s="34">
        <f>N156*Settings!$B$17</f>
        <v>0</v>
      </c>
      <c r="P156" s="34">
        <f>IFERROR(VLOOKUP(C156,Employees!$A$4:$E$103,5,FALSE),Settings!$B$18)</f>
        <v>100</v>
      </c>
      <c r="Q156" s="34">
        <f t="shared" si="10"/>
        <v>0</v>
      </c>
      <c r="R156" s="34">
        <f>H156*P156*Settings!$B$13</f>
        <v>0</v>
      </c>
      <c r="S156" s="34">
        <f>J156*P156*(Settings!$B$14-1)</f>
        <v>0</v>
      </c>
      <c r="T156" s="34">
        <f>K156*P156*(Settings!$B$15-1)</f>
        <v>0</v>
      </c>
      <c r="U156" s="34">
        <f t="shared" si="11"/>
        <v>0</v>
      </c>
      <c r="V156" s="26" t="str">
        <f>Auto_Roster!O156</f>
        <v>Pending</v>
      </c>
      <c r="W156" s="26" t="e">
        <f ca="1">_xludf.TEXTJOIN("; ",TRUE,Auto_Roster!N156,IF(G156&gt;Settings!$B$19,"Approval required &gt; standard hours",""),IF(AND(F156&lt;&gt;"Off",G156=0),"Missing claimed hours",""))</f>
        <v>#NAME?</v>
      </c>
      <c r="X156" s="7"/>
    </row>
    <row r="157" spans="1:24" x14ac:dyDescent="0.35">
      <c r="A157" s="31">
        <f>Auto_Roster!A157</f>
        <v>46150</v>
      </c>
      <c r="B157" s="31">
        <f>Auto_Roster!B157</f>
        <v>46146</v>
      </c>
      <c r="C157" s="26" t="str">
        <f>Auto_Roster!C157</f>
        <v/>
      </c>
      <c r="D157" s="26" t="str">
        <f>Auto_Roster!D157</f>
        <v/>
      </c>
      <c r="E157" s="26" t="str">
        <f>Auto_Roster!E157</f>
        <v/>
      </c>
      <c r="F157" s="26" t="str">
        <f>Auto_Roster!G157</f>
        <v/>
      </c>
      <c r="G157" s="33">
        <f>Auto_Roster!J157</f>
        <v>0</v>
      </c>
      <c r="H157" s="33">
        <f>IF(G157&gt;Settings!$B$19,G157-Settings!$B$19,0)</f>
        <v>0</v>
      </c>
      <c r="I157" s="33">
        <f t="shared" si="8"/>
        <v>0</v>
      </c>
      <c r="J157" s="33">
        <f>IF(Auto_Roster!M157="Y",G157,0)</f>
        <v>0</v>
      </c>
      <c r="K157" s="33">
        <f>IF(Auto_Roster!L157="Y",G157,0)</f>
        <v>0</v>
      </c>
      <c r="L157" s="26" t="str">
        <f>Auto_Roster!K157</f>
        <v>N</v>
      </c>
      <c r="M157" s="34">
        <f>IF(L157="Y",Settings!$B$16,0)</f>
        <v>0</v>
      </c>
      <c r="N157" s="33">
        <f t="shared" si="9"/>
        <v>0</v>
      </c>
      <c r="O157" s="34">
        <f>N157*Settings!$B$17</f>
        <v>0</v>
      </c>
      <c r="P157" s="34">
        <f>IFERROR(VLOOKUP(C157,Employees!$A$4:$E$103,5,FALSE),Settings!$B$18)</f>
        <v>100</v>
      </c>
      <c r="Q157" s="34">
        <f t="shared" si="10"/>
        <v>0</v>
      </c>
      <c r="R157" s="34">
        <f>H157*P157*Settings!$B$13</f>
        <v>0</v>
      </c>
      <c r="S157" s="34">
        <f>J157*P157*(Settings!$B$14-1)</f>
        <v>0</v>
      </c>
      <c r="T157" s="34">
        <f>K157*P157*(Settings!$B$15-1)</f>
        <v>0</v>
      </c>
      <c r="U157" s="34">
        <f t="shared" si="11"/>
        <v>0</v>
      </c>
      <c r="V157" s="26" t="str">
        <f>Auto_Roster!O157</f>
        <v>Pending</v>
      </c>
      <c r="W157" s="26" t="e">
        <f ca="1">_xludf.TEXTJOIN("; ",TRUE,Auto_Roster!N157,IF(G157&gt;Settings!$B$19,"Approval required &gt; standard hours",""),IF(AND(F157&lt;&gt;"Off",G157=0),"Missing claimed hours",""))</f>
        <v>#NAME?</v>
      </c>
      <c r="X157" s="7"/>
    </row>
    <row r="158" spans="1:24" x14ac:dyDescent="0.35">
      <c r="A158" s="31">
        <f>Auto_Roster!A158</f>
        <v>46150</v>
      </c>
      <c r="B158" s="31">
        <f>Auto_Roster!B158</f>
        <v>46146</v>
      </c>
      <c r="C158" s="26" t="str">
        <f>Auto_Roster!C158</f>
        <v/>
      </c>
      <c r="D158" s="26" t="str">
        <f>Auto_Roster!D158</f>
        <v/>
      </c>
      <c r="E158" s="26" t="str">
        <f>Auto_Roster!E158</f>
        <v/>
      </c>
      <c r="F158" s="26" t="str">
        <f>Auto_Roster!G158</f>
        <v/>
      </c>
      <c r="G158" s="33">
        <f>Auto_Roster!J158</f>
        <v>0</v>
      </c>
      <c r="H158" s="33">
        <f>IF(G158&gt;Settings!$B$19,G158-Settings!$B$19,0)</f>
        <v>0</v>
      </c>
      <c r="I158" s="33">
        <f t="shared" si="8"/>
        <v>0</v>
      </c>
      <c r="J158" s="33">
        <f>IF(Auto_Roster!M158="Y",G158,0)</f>
        <v>0</v>
      </c>
      <c r="K158" s="33">
        <f>IF(Auto_Roster!L158="Y",G158,0)</f>
        <v>0</v>
      </c>
      <c r="L158" s="26" t="str">
        <f>Auto_Roster!K158</f>
        <v>N</v>
      </c>
      <c r="M158" s="34">
        <f>IF(L158="Y",Settings!$B$16,0)</f>
        <v>0</v>
      </c>
      <c r="N158" s="33">
        <f t="shared" si="9"/>
        <v>0</v>
      </c>
      <c r="O158" s="34">
        <f>N158*Settings!$B$17</f>
        <v>0</v>
      </c>
      <c r="P158" s="34">
        <f>IFERROR(VLOOKUP(C158,Employees!$A$4:$E$103,5,FALSE),Settings!$B$18)</f>
        <v>100</v>
      </c>
      <c r="Q158" s="34">
        <f t="shared" si="10"/>
        <v>0</v>
      </c>
      <c r="R158" s="34">
        <f>H158*P158*Settings!$B$13</f>
        <v>0</v>
      </c>
      <c r="S158" s="34">
        <f>J158*P158*(Settings!$B$14-1)</f>
        <v>0</v>
      </c>
      <c r="T158" s="34">
        <f>K158*P158*(Settings!$B$15-1)</f>
        <v>0</v>
      </c>
      <c r="U158" s="34">
        <f t="shared" si="11"/>
        <v>0</v>
      </c>
      <c r="V158" s="26" t="str">
        <f>Auto_Roster!O158</f>
        <v>Pending</v>
      </c>
      <c r="W158" s="26" t="e">
        <f ca="1">_xludf.TEXTJOIN("; ",TRUE,Auto_Roster!N158,IF(G158&gt;Settings!$B$19,"Approval required &gt; standard hours",""),IF(AND(F158&lt;&gt;"Off",G158=0),"Missing claimed hours",""))</f>
        <v>#NAME?</v>
      </c>
      <c r="X158" s="7"/>
    </row>
    <row r="159" spans="1:24" x14ac:dyDescent="0.35">
      <c r="A159" s="31">
        <f>Auto_Roster!A159</f>
        <v>46150</v>
      </c>
      <c r="B159" s="31">
        <f>Auto_Roster!B159</f>
        <v>46146</v>
      </c>
      <c r="C159" s="26" t="str">
        <f>Auto_Roster!C159</f>
        <v/>
      </c>
      <c r="D159" s="26" t="str">
        <f>Auto_Roster!D159</f>
        <v/>
      </c>
      <c r="E159" s="26" t="str">
        <f>Auto_Roster!E159</f>
        <v/>
      </c>
      <c r="F159" s="26" t="str">
        <f>Auto_Roster!G159</f>
        <v/>
      </c>
      <c r="G159" s="33">
        <f>Auto_Roster!J159</f>
        <v>0</v>
      </c>
      <c r="H159" s="33">
        <f>IF(G159&gt;Settings!$B$19,G159-Settings!$B$19,0)</f>
        <v>0</v>
      </c>
      <c r="I159" s="33">
        <f t="shared" si="8"/>
        <v>0</v>
      </c>
      <c r="J159" s="33">
        <f>IF(Auto_Roster!M159="Y",G159,0)</f>
        <v>0</v>
      </c>
      <c r="K159" s="33">
        <f>IF(Auto_Roster!L159="Y",G159,0)</f>
        <v>0</v>
      </c>
      <c r="L159" s="26" t="str">
        <f>Auto_Roster!K159</f>
        <v>N</v>
      </c>
      <c r="M159" s="34">
        <f>IF(L159="Y",Settings!$B$16,0)</f>
        <v>0</v>
      </c>
      <c r="N159" s="33">
        <f t="shared" si="9"/>
        <v>0</v>
      </c>
      <c r="O159" s="34">
        <f>N159*Settings!$B$17</f>
        <v>0</v>
      </c>
      <c r="P159" s="34">
        <f>IFERROR(VLOOKUP(C159,Employees!$A$4:$E$103,5,FALSE),Settings!$B$18)</f>
        <v>100</v>
      </c>
      <c r="Q159" s="34">
        <f t="shared" si="10"/>
        <v>0</v>
      </c>
      <c r="R159" s="34">
        <f>H159*P159*Settings!$B$13</f>
        <v>0</v>
      </c>
      <c r="S159" s="34">
        <f>J159*P159*(Settings!$B$14-1)</f>
        <v>0</v>
      </c>
      <c r="T159" s="34">
        <f>K159*P159*(Settings!$B$15-1)</f>
        <v>0</v>
      </c>
      <c r="U159" s="34">
        <f t="shared" si="11"/>
        <v>0</v>
      </c>
      <c r="V159" s="26" t="str">
        <f>Auto_Roster!O159</f>
        <v>Pending</v>
      </c>
      <c r="W159" s="26" t="e">
        <f ca="1">_xludf.TEXTJOIN("; ",TRUE,Auto_Roster!N159,IF(G159&gt;Settings!$B$19,"Approval required &gt; standard hours",""),IF(AND(F159&lt;&gt;"Off",G159=0),"Missing claimed hours",""))</f>
        <v>#NAME?</v>
      </c>
      <c r="X159" s="7"/>
    </row>
    <row r="160" spans="1:24" x14ac:dyDescent="0.35">
      <c r="A160" s="31">
        <f>Auto_Roster!A160</f>
        <v>46150</v>
      </c>
      <c r="B160" s="31">
        <f>Auto_Roster!B160</f>
        <v>46146</v>
      </c>
      <c r="C160" s="26" t="str">
        <f>Auto_Roster!C160</f>
        <v/>
      </c>
      <c r="D160" s="26" t="str">
        <f>Auto_Roster!D160</f>
        <v/>
      </c>
      <c r="E160" s="26" t="str">
        <f>Auto_Roster!E160</f>
        <v/>
      </c>
      <c r="F160" s="26" t="str">
        <f>Auto_Roster!G160</f>
        <v/>
      </c>
      <c r="G160" s="33">
        <f>Auto_Roster!J160</f>
        <v>0</v>
      </c>
      <c r="H160" s="33">
        <f>IF(G160&gt;Settings!$B$19,G160-Settings!$B$19,0)</f>
        <v>0</v>
      </c>
      <c r="I160" s="33">
        <f t="shared" si="8"/>
        <v>0</v>
      </c>
      <c r="J160" s="33">
        <f>IF(Auto_Roster!M160="Y",G160,0)</f>
        <v>0</v>
      </c>
      <c r="K160" s="33">
        <f>IF(Auto_Roster!L160="Y",G160,0)</f>
        <v>0</v>
      </c>
      <c r="L160" s="26" t="str">
        <f>Auto_Roster!K160</f>
        <v>N</v>
      </c>
      <c r="M160" s="34">
        <f>IF(L160="Y",Settings!$B$16,0)</f>
        <v>0</v>
      </c>
      <c r="N160" s="33">
        <f t="shared" si="9"/>
        <v>0</v>
      </c>
      <c r="O160" s="34">
        <f>N160*Settings!$B$17</f>
        <v>0</v>
      </c>
      <c r="P160" s="34">
        <f>IFERROR(VLOOKUP(C160,Employees!$A$4:$E$103,5,FALSE),Settings!$B$18)</f>
        <v>100</v>
      </c>
      <c r="Q160" s="34">
        <f t="shared" si="10"/>
        <v>0</v>
      </c>
      <c r="R160" s="34">
        <f>H160*P160*Settings!$B$13</f>
        <v>0</v>
      </c>
      <c r="S160" s="34">
        <f>J160*P160*(Settings!$B$14-1)</f>
        <v>0</v>
      </c>
      <c r="T160" s="34">
        <f>K160*P160*(Settings!$B$15-1)</f>
        <v>0</v>
      </c>
      <c r="U160" s="34">
        <f t="shared" si="11"/>
        <v>0</v>
      </c>
      <c r="V160" s="26" t="str">
        <f>Auto_Roster!O160</f>
        <v>Pending</v>
      </c>
      <c r="W160" s="26" t="e">
        <f ca="1">_xludf.TEXTJOIN("; ",TRUE,Auto_Roster!N160,IF(G160&gt;Settings!$B$19,"Approval required &gt; standard hours",""),IF(AND(F160&lt;&gt;"Off",G160=0),"Missing claimed hours",""))</f>
        <v>#NAME?</v>
      </c>
      <c r="X160" s="7"/>
    </row>
    <row r="161" spans="1:24" x14ac:dyDescent="0.35">
      <c r="A161" s="31">
        <f>Auto_Roster!A161</f>
        <v>46150</v>
      </c>
      <c r="B161" s="31">
        <f>Auto_Roster!B161</f>
        <v>46146</v>
      </c>
      <c r="C161" s="26" t="str">
        <f>Auto_Roster!C161</f>
        <v/>
      </c>
      <c r="D161" s="26" t="str">
        <f>Auto_Roster!D161</f>
        <v/>
      </c>
      <c r="E161" s="26" t="str">
        <f>Auto_Roster!E161</f>
        <v/>
      </c>
      <c r="F161" s="26" t="str">
        <f>Auto_Roster!G161</f>
        <v/>
      </c>
      <c r="G161" s="33">
        <f>Auto_Roster!J161</f>
        <v>0</v>
      </c>
      <c r="H161" s="33">
        <f>IF(G161&gt;Settings!$B$19,G161-Settings!$B$19,0)</f>
        <v>0</v>
      </c>
      <c r="I161" s="33">
        <f t="shared" si="8"/>
        <v>0</v>
      </c>
      <c r="J161" s="33">
        <f>IF(Auto_Roster!M161="Y",G161,0)</f>
        <v>0</v>
      </c>
      <c r="K161" s="33">
        <f>IF(Auto_Roster!L161="Y",G161,0)</f>
        <v>0</v>
      </c>
      <c r="L161" s="26" t="str">
        <f>Auto_Roster!K161</f>
        <v>N</v>
      </c>
      <c r="M161" s="34">
        <f>IF(L161="Y",Settings!$B$16,0)</f>
        <v>0</v>
      </c>
      <c r="N161" s="33">
        <f t="shared" si="9"/>
        <v>0</v>
      </c>
      <c r="O161" s="34">
        <f>N161*Settings!$B$17</f>
        <v>0</v>
      </c>
      <c r="P161" s="34">
        <f>IFERROR(VLOOKUP(C161,Employees!$A$4:$E$103,5,FALSE),Settings!$B$18)</f>
        <v>100</v>
      </c>
      <c r="Q161" s="34">
        <f t="shared" si="10"/>
        <v>0</v>
      </c>
      <c r="R161" s="34">
        <f>H161*P161*Settings!$B$13</f>
        <v>0</v>
      </c>
      <c r="S161" s="34">
        <f>J161*P161*(Settings!$B$14-1)</f>
        <v>0</v>
      </c>
      <c r="T161" s="34">
        <f>K161*P161*(Settings!$B$15-1)</f>
        <v>0</v>
      </c>
      <c r="U161" s="34">
        <f t="shared" si="11"/>
        <v>0</v>
      </c>
      <c r="V161" s="26" t="str">
        <f>Auto_Roster!O161</f>
        <v>Pending</v>
      </c>
      <c r="W161" s="26" t="e">
        <f ca="1">_xludf.TEXTJOIN("; ",TRUE,Auto_Roster!N161,IF(G161&gt;Settings!$B$19,"Approval required &gt; standard hours",""),IF(AND(F161&lt;&gt;"Off",G161=0),"Missing claimed hours",""))</f>
        <v>#NAME?</v>
      </c>
      <c r="X161" s="7"/>
    </row>
    <row r="162" spans="1:24" x14ac:dyDescent="0.35">
      <c r="A162" s="31">
        <f>Auto_Roster!A162</f>
        <v>46150</v>
      </c>
      <c r="B162" s="31">
        <f>Auto_Roster!B162</f>
        <v>46146</v>
      </c>
      <c r="C162" s="26" t="str">
        <f>Auto_Roster!C162</f>
        <v/>
      </c>
      <c r="D162" s="26" t="str">
        <f>Auto_Roster!D162</f>
        <v/>
      </c>
      <c r="E162" s="26" t="str">
        <f>Auto_Roster!E162</f>
        <v/>
      </c>
      <c r="F162" s="26" t="str">
        <f>Auto_Roster!G162</f>
        <v/>
      </c>
      <c r="G162" s="33">
        <f>Auto_Roster!J162</f>
        <v>0</v>
      </c>
      <c r="H162" s="33">
        <f>IF(G162&gt;Settings!$B$19,G162-Settings!$B$19,0)</f>
        <v>0</v>
      </c>
      <c r="I162" s="33">
        <f t="shared" si="8"/>
        <v>0</v>
      </c>
      <c r="J162" s="33">
        <f>IF(Auto_Roster!M162="Y",G162,0)</f>
        <v>0</v>
      </c>
      <c r="K162" s="33">
        <f>IF(Auto_Roster!L162="Y",G162,0)</f>
        <v>0</v>
      </c>
      <c r="L162" s="26" t="str">
        <f>Auto_Roster!K162</f>
        <v>N</v>
      </c>
      <c r="M162" s="34">
        <f>IF(L162="Y",Settings!$B$16,0)</f>
        <v>0</v>
      </c>
      <c r="N162" s="33">
        <f t="shared" si="9"/>
        <v>0</v>
      </c>
      <c r="O162" s="34">
        <f>N162*Settings!$B$17</f>
        <v>0</v>
      </c>
      <c r="P162" s="34">
        <f>IFERROR(VLOOKUP(C162,Employees!$A$4:$E$103,5,FALSE),Settings!$B$18)</f>
        <v>100</v>
      </c>
      <c r="Q162" s="34">
        <f t="shared" si="10"/>
        <v>0</v>
      </c>
      <c r="R162" s="34">
        <f>H162*P162*Settings!$B$13</f>
        <v>0</v>
      </c>
      <c r="S162" s="34">
        <f>J162*P162*(Settings!$B$14-1)</f>
        <v>0</v>
      </c>
      <c r="T162" s="34">
        <f>K162*P162*(Settings!$B$15-1)</f>
        <v>0</v>
      </c>
      <c r="U162" s="34">
        <f t="shared" si="11"/>
        <v>0</v>
      </c>
      <c r="V162" s="26" t="str">
        <f>Auto_Roster!O162</f>
        <v>Pending</v>
      </c>
      <c r="W162" s="26" t="e">
        <f ca="1">_xludf.TEXTJOIN("; ",TRUE,Auto_Roster!N162,IF(G162&gt;Settings!$B$19,"Approval required &gt; standard hours",""),IF(AND(F162&lt;&gt;"Off",G162=0),"Missing claimed hours",""))</f>
        <v>#NAME?</v>
      </c>
      <c r="X162" s="7"/>
    </row>
    <row r="163" spans="1:24" x14ac:dyDescent="0.35">
      <c r="A163" s="31">
        <f>Auto_Roster!A163</f>
        <v>46150</v>
      </c>
      <c r="B163" s="31">
        <f>Auto_Roster!B163</f>
        <v>46146</v>
      </c>
      <c r="C163" s="26" t="str">
        <f>Auto_Roster!C163</f>
        <v/>
      </c>
      <c r="D163" s="26" t="str">
        <f>Auto_Roster!D163</f>
        <v/>
      </c>
      <c r="E163" s="26" t="str">
        <f>Auto_Roster!E163</f>
        <v/>
      </c>
      <c r="F163" s="26" t="str">
        <f>Auto_Roster!G163</f>
        <v/>
      </c>
      <c r="G163" s="33">
        <f>Auto_Roster!J163</f>
        <v>0</v>
      </c>
      <c r="H163" s="33">
        <f>IF(G163&gt;Settings!$B$19,G163-Settings!$B$19,0)</f>
        <v>0</v>
      </c>
      <c r="I163" s="33">
        <f t="shared" si="8"/>
        <v>0</v>
      </c>
      <c r="J163" s="33">
        <f>IF(Auto_Roster!M163="Y",G163,0)</f>
        <v>0</v>
      </c>
      <c r="K163" s="33">
        <f>IF(Auto_Roster!L163="Y",G163,0)</f>
        <v>0</v>
      </c>
      <c r="L163" s="26" t="str">
        <f>Auto_Roster!K163</f>
        <v>N</v>
      </c>
      <c r="M163" s="34">
        <f>IF(L163="Y",Settings!$B$16,0)</f>
        <v>0</v>
      </c>
      <c r="N163" s="33">
        <f t="shared" si="9"/>
        <v>0</v>
      </c>
      <c r="O163" s="34">
        <f>N163*Settings!$B$17</f>
        <v>0</v>
      </c>
      <c r="P163" s="34">
        <f>IFERROR(VLOOKUP(C163,Employees!$A$4:$E$103,5,FALSE),Settings!$B$18)</f>
        <v>100</v>
      </c>
      <c r="Q163" s="34">
        <f t="shared" si="10"/>
        <v>0</v>
      </c>
      <c r="R163" s="34">
        <f>H163*P163*Settings!$B$13</f>
        <v>0</v>
      </c>
      <c r="S163" s="34">
        <f>J163*P163*(Settings!$B$14-1)</f>
        <v>0</v>
      </c>
      <c r="T163" s="34">
        <f>K163*P163*(Settings!$B$15-1)</f>
        <v>0</v>
      </c>
      <c r="U163" s="34">
        <f t="shared" si="11"/>
        <v>0</v>
      </c>
      <c r="V163" s="26" t="str">
        <f>Auto_Roster!O163</f>
        <v>Pending</v>
      </c>
      <c r="W163" s="26" t="e">
        <f ca="1">_xludf.TEXTJOIN("; ",TRUE,Auto_Roster!N163,IF(G163&gt;Settings!$B$19,"Approval required &gt; standard hours",""),IF(AND(F163&lt;&gt;"Off",G163=0),"Missing claimed hours",""))</f>
        <v>#NAME?</v>
      </c>
      <c r="X163" s="7"/>
    </row>
    <row r="164" spans="1:24" x14ac:dyDescent="0.35">
      <c r="A164" s="31">
        <f>Auto_Roster!A164</f>
        <v>46151</v>
      </c>
      <c r="B164" s="31">
        <f>Auto_Roster!B164</f>
        <v>46146</v>
      </c>
      <c r="C164" s="26" t="str">
        <f>Auto_Roster!C164</f>
        <v>E001</v>
      </c>
      <c r="D164" s="26" t="str">
        <f>Auto_Roster!D164</f>
        <v>Musiwa Khavalani</v>
      </c>
      <c r="E164" s="26">
        <f>Auto_Roster!E164</f>
        <v>0</v>
      </c>
      <c r="F164" s="26" t="e">
        <f>Auto_Roster!G164</f>
        <v>#N/A</v>
      </c>
      <c r="G164" s="33" t="e">
        <f>Auto_Roster!J164</f>
        <v>#N/A</v>
      </c>
      <c r="H164" s="33" t="e">
        <f>IF(G164&gt;Settings!$B$19,G164-Settings!$B$19,0)</f>
        <v>#N/A</v>
      </c>
      <c r="I164" s="33" t="e">
        <f t="shared" si="8"/>
        <v>#N/A</v>
      </c>
      <c r="J164" s="33">
        <f>IF(Auto_Roster!M164="Y",G164,0)</f>
        <v>0</v>
      </c>
      <c r="K164" s="33">
        <f>IF(Auto_Roster!L164="Y",G164,0)</f>
        <v>0</v>
      </c>
      <c r="L164" s="26" t="str">
        <f>Auto_Roster!K164</f>
        <v>N</v>
      </c>
      <c r="M164" s="34">
        <f>IF(L164="Y",Settings!$B$16,0)</f>
        <v>0</v>
      </c>
      <c r="N164" s="33" t="e">
        <f t="shared" si="9"/>
        <v>#N/A</v>
      </c>
      <c r="O164" s="34" t="e">
        <f>N164*Settings!$B$17</f>
        <v>#N/A</v>
      </c>
      <c r="P164" s="34">
        <f>IFERROR(VLOOKUP(C164,Employees!$A$4:$E$103,5,FALSE),Settings!$B$18)</f>
        <v>100</v>
      </c>
      <c r="Q164" s="34" t="e">
        <f t="shared" si="10"/>
        <v>#N/A</v>
      </c>
      <c r="R164" s="34" t="e">
        <f>H164*P164*Settings!$B$13</f>
        <v>#N/A</v>
      </c>
      <c r="S164" s="34">
        <f>J164*P164*(Settings!$B$14-1)</f>
        <v>0</v>
      </c>
      <c r="T164" s="34">
        <f>K164*P164*(Settings!$B$15-1)</f>
        <v>0</v>
      </c>
      <c r="U164" s="34" t="e">
        <f t="shared" si="11"/>
        <v>#N/A</v>
      </c>
      <c r="V164" s="26" t="str">
        <f>Auto_Roster!O164</f>
        <v>Pending</v>
      </c>
      <c r="W164" s="26" t="e">
        <f ca="1">_xludf.TEXTJOIN("; ",TRUE,Auto_Roster!N164,IF(G164&gt;Settings!$B$19,"Approval required &gt; standard hours",""),IF(AND(F164&lt;&gt;"Off",G164=0),"Missing claimed hours",""))</f>
        <v>#NAME?</v>
      </c>
      <c r="X164" s="7"/>
    </row>
    <row r="165" spans="1:24" x14ac:dyDescent="0.35">
      <c r="A165" s="31">
        <f>Auto_Roster!A165</f>
        <v>46151</v>
      </c>
      <c r="B165" s="31">
        <f>Auto_Roster!B165</f>
        <v>46146</v>
      </c>
      <c r="C165" s="26" t="str">
        <f>Auto_Roster!C165</f>
        <v>E002</v>
      </c>
      <c r="D165" s="26" t="str">
        <f>Auto_Roster!D165</f>
        <v>Mpho  Nembemhia</v>
      </c>
      <c r="E165" s="26" t="str">
        <f>Auto_Roster!E165</f>
        <v>B</v>
      </c>
      <c r="F165" s="26" t="str">
        <f>Auto_Roster!G165</f>
        <v>Off</v>
      </c>
      <c r="G165" s="33">
        <f>Auto_Roster!J165</f>
        <v>0</v>
      </c>
      <c r="H165" s="33">
        <f>IF(G165&gt;Settings!$B$19,G165-Settings!$B$19,0)</f>
        <v>0</v>
      </c>
      <c r="I165" s="33">
        <f t="shared" si="8"/>
        <v>0</v>
      </c>
      <c r="J165" s="33">
        <f>IF(Auto_Roster!M165="Y",G165,0)</f>
        <v>0</v>
      </c>
      <c r="K165" s="33">
        <f>IF(Auto_Roster!L165="Y",G165,0)</f>
        <v>0</v>
      </c>
      <c r="L165" s="26" t="str">
        <f>Auto_Roster!K165</f>
        <v>N</v>
      </c>
      <c r="M165" s="34">
        <f>IF(L165="Y",Settings!$B$16,0)</f>
        <v>0</v>
      </c>
      <c r="N165" s="33">
        <f t="shared" si="9"/>
        <v>0</v>
      </c>
      <c r="O165" s="34">
        <f>N165*Settings!$B$17</f>
        <v>0</v>
      </c>
      <c r="P165" s="34">
        <f>IFERROR(VLOOKUP(C165,Employees!$A$4:$E$103,5,FALSE),Settings!$B$18)</f>
        <v>100</v>
      </c>
      <c r="Q165" s="34">
        <f t="shared" si="10"/>
        <v>0</v>
      </c>
      <c r="R165" s="34">
        <f>H165*P165*Settings!$B$13</f>
        <v>0</v>
      </c>
      <c r="S165" s="34">
        <f>J165*P165*(Settings!$B$14-1)</f>
        <v>0</v>
      </c>
      <c r="T165" s="34">
        <f>K165*P165*(Settings!$B$15-1)</f>
        <v>0</v>
      </c>
      <c r="U165" s="34">
        <f t="shared" si="11"/>
        <v>0</v>
      </c>
      <c r="V165" s="26" t="str">
        <f>Auto_Roster!O165</f>
        <v>Pending</v>
      </c>
      <c r="W165" s="26" t="e">
        <f ca="1">_xludf.TEXTJOIN("; ",TRUE,Auto_Roster!N165,IF(G165&gt;Settings!$B$19,"Approval required &gt; standard hours",""),IF(AND(F165&lt;&gt;"Off",G165=0),"Missing claimed hours",""))</f>
        <v>#NAME?</v>
      </c>
      <c r="X165" s="7"/>
    </row>
    <row r="166" spans="1:24" x14ac:dyDescent="0.35">
      <c r="A166" s="31">
        <f>Auto_Roster!A166</f>
        <v>46151</v>
      </c>
      <c r="B166" s="31">
        <f>Auto_Roster!B166</f>
        <v>46146</v>
      </c>
      <c r="C166" s="26" t="str">
        <f>Auto_Roster!C166</f>
        <v>E003</v>
      </c>
      <c r="D166" s="26" t="str">
        <f>Auto_Roster!D166</f>
        <v>Dimpho Makhafola</v>
      </c>
      <c r="E166" s="26" t="str">
        <f>Auto_Roster!E166</f>
        <v>C</v>
      </c>
      <c r="F166" s="26" t="str">
        <f>Auto_Roster!G166</f>
        <v>Evening</v>
      </c>
      <c r="G166" s="33">
        <f>Auto_Roster!J166</f>
        <v>8</v>
      </c>
      <c r="H166" s="33">
        <f>IF(G166&gt;Settings!$B$19,G166-Settings!$B$19,0)</f>
        <v>0</v>
      </c>
      <c r="I166" s="33">
        <f t="shared" si="8"/>
        <v>8</v>
      </c>
      <c r="J166" s="33">
        <f>IF(Auto_Roster!M166="Y",G166,0)</f>
        <v>0</v>
      </c>
      <c r="K166" s="33">
        <f>IF(Auto_Roster!L166="Y",G166,0)</f>
        <v>0</v>
      </c>
      <c r="L166" s="26" t="str">
        <f>Auto_Roster!K166</f>
        <v>N</v>
      </c>
      <c r="M166" s="34">
        <f>IF(L166="Y",Settings!$B$16,0)</f>
        <v>0</v>
      </c>
      <c r="N166" s="33">
        <f t="shared" si="9"/>
        <v>0</v>
      </c>
      <c r="O166" s="34">
        <f>N166*Settings!$B$17</f>
        <v>0</v>
      </c>
      <c r="P166" s="34">
        <f>IFERROR(VLOOKUP(C166,Employees!$A$4:$E$103,5,FALSE),Settings!$B$18)</f>
        <v>100</v>
      </c>
      <c r="Q166" s="34">
        <f t="shared" si="10"/>
        <v>800</v>
      </c>
      <c r="R166" s="34">
        <f>H166*P166*Settings!$B$13</f>
        <v>0</v>
      </c>
      <c r="S166" s="34">
        <f>J166*P166*(Settings!$B$14-1)</f>
        <v>0</v>
      </c>
      <c r="T166" s="34">
        <f>K166*P166*(Settings!$B$15-1)</f>
        <v>0</v>
      </c>
      <c r="U166" s="34">
        <f t="shared" si="11"/>
        <v>800</v>
      </c>
      <c r="V166" s="26" t="str">
        <f>Auto_Roster!O166</f>
        <v>Pending</v>
      </c>
      <c r="W166" s="26" t="e">
        <f ca="1">_xludf.TEXTJOIN("; ",TRUE,Auto_Roster!N166,IF(G166&gt;Settings!$B$19,"Approval required &gt; standard hours",""),IF(AND(F166&lt;&gt;"Off",G166=0),"Missing claimed hours",""))</f>
        <v>#NAME?</v>
      </c>
      <c r="X166" s="7"/>
    </row>
    <row r="167" spans="1:24" x14ac:dyDescent="0.35">
      <c r="A167" s="31">
        <f>Auto_Roster!A167</f>
        <v>46151</v>
      </c>
      <c r="B167" s="31">
        <f>Auto_Roster!B167</f>
        <v>46146</v>
      </c>
      <c r="C167" s="26" t="str">
        <f>Auto_Roster!C167</f>
        <v>E004</v>
      </c>
      <c r="D167" s="26" t="str">
        <f>Auto_Roster!D167</f>
        <v>Bashii Fall</v>
      </c>
      <c r="E167" s="26" t="str">
        <f>Auto_Roster!E167</f>
        <v>D</v>
      </c>
      <c r="F167" s="26" t="str">
        <f>Auto_Roster!G167</f>
        <v>Night</v>
      </c>
      <c r="G167" s="33">
        <f>Auto_Roster!J167</f>
        <v>8</v>
      </c>
      <c r="H167" s="33">
        <f>IF(G167&gt;Settings!$B$19,G167-Settings!$B$19,0)</f>
        <v>0</v>
      </c>
      <c r="I167" s="33">
        <f t="shared" si="8"/>
        <v>8</v>
      </c>
      <c r="J167" s="33">
        <f>IF(Auto_Roster!M167="Y",G167,0)</f>
        <v>0</v>
      </c>
      <c r="K167" s="33">
        <f>IF(Auto_Roster!L167="Y",G167,0)</f>
        <v>0</v>
      </c>
      <c r="L167" s="26" t="str">
        <f>Auto_Roster!K167</f>
        <v>N</v>
      </c>
      <c r="M167" s="34">
        <f>IF(L167="Y",Settings!$B$16,0)</f>
        <v>0</v>
      </c>
      <c r="N167" s="33">
        <f t="shared" si="9"/>
        <v>8</v>
      </c>
      <c r="O167" s="34">
        <f>N167*Settings!$B$17</f>
        <v>0</v>
      </c>
      <c r="P167" s="34">
        <f>IFERROR(VLOOKUP(C167,Employees!$A$4:$E$103,5,FALSE),Settings!$B$18)</f>
        <v>100</v>
      </c>
      <c r="Q167" s="34">
        <f t="shared" si="10"/>
        <v>800</v>
      </c>
      <c r="R167" s="34">
        <f>H167*P167*Settings!$B$13</f>
        <v>0</v>
      </c>
      <c r="S167" s="34">
        <f>J167*P167*(Settings!$B$14-1)</f>
        <v>0</v>
      </c>
      <c r="T167" s="34">
        <f>K167*P167*(Settings!$B$15-1)</f>
        <v>0</v>
      </c>
      <c r="U167" s="34">
        <f t="shared" si="11"/>
        <v>800</v>
      </c>
      <c r="V167" s="26" t="str">
        <f>Auto_Roster!O167</f>
        <v>Pending</v>
      </c>
      <c r="W167" s="26" t="e">
        <f ca="1">_xludf.TEXTJOIN("; ",TRUE,Auto_Roster!N167,IF(G167&gt;Settings!$B$19,"Approval required &gt; standard hours",""),IF(AND(F167&lt;&gt;"Off",G167=0),"Missing claimed hours",""))</f>
        <v>#NAME?</v>
      </c>
      <c r="X167" s="7"/>
    </row>
    <row r="168" spans="1:24" x14ac:dyDescent="0.35">
      <c r="A168" s="31">
        <f>Auto_Roster!A168</f>
        <v>46151</v>
      </c>
      <c r="B168" s="31">
        <f>Auto_Roster!B168</f>
        <v>46146</v>
      </c>
      <c r="C168" s="26" t="str">
        <f>Auto_Roster!C168</f>
        <v>E005</v>
      </c>
      <c r="D168" s="26" t="str">
        <f>Auto_Roster!D168</f>
        <v>Lesego Aphane</v>
      </c>
      <c r="E168" s="26" t="str">
        <f>Auto_Roster!E168</f>
        <v>A</v>
      </c>
      <c r="F168" s="26" t="str">
        <f>Auto_Roster!G168</f>
        <v>Day</v>
      </c>
      <c r="G168" s="33">
        <f>Auto_Roster!J168</f>
        <v>8</v>
      </c>
      <c r="H168" s="33">
        <f>IF(G168&gt;Settings!$B$19,G168-Settings!$B$19,0)</f>
        <v>0</v>
      </c>
      <c r="I168" s="33">
        <f t="shared" si="8"/>
        <v>8</v>
      </c>
      <c r="J168" s="33">
        <f>IF(Auto_Roster!M168="Y",G168,0)</f>
        <v>0</v>
      </c>
      <c r="K168" s="33">
        <f>IF(Auto_Roster!L168="Y",G168,0)</f>
        <v>0</v>
      </c>
      <c r="L168" s="26" t="str">
        <f>Auto_Roster!K168</f>
        <v>N</v>
      </c>
      <c r="M168" s="34">
        <f>IF(L168="Y",Settings!$B$16,0)</f>
        <v>0</v>
      </c>
      <c r="N168" s="33">
        <f t="shared" si="9"/>
        <v>0</v>
      </c>
      <c r="O168" s="34">
        <f>N168*Settings!$B$17</f>
        <v>0</v>
      </c>
      <c r="P168" s="34">
        <f>IFERROR(VLOOKUP(C168,Employees!$A$4:$E$103,5,FALSE),Settings!$B$18)</f>
        <v>100</v>
      </c>
      <c r="Q168" s="34">
        <f t="shared" si="10"/>
        <v>800</v>
      </c>
      <c r="R168" s="34">
        <f>H168*P168*Settings!$B$13</f>
        <v>0</v>
      </c>
      <c r="S168" s="34">
        <f>J168*P168*(Settings!$B$14-1)</f>
        <v>0</v>
      </c>
      <c r="T168" s="34">
        <f>K168*P168*(Settings!$B$15-1)</f>
        <v>0</v>
      </c>
      <c r="U168" s="34">
        <f t="shared" si="11"/>
        <v>800</v>
      </c>
      <c r="V168" s="26" t="str">
        <f>Auto_Roster!O168</f>
        <v>Pending</v>
      </c>
      <c r="W168" s="26" t="e">
        <f ca="1">_xludf.TEXTJOIN("; ",TRUE,Auto_Roster!N168,IF(G168&gt;Settings!$B$19,"Approval required &gt; standard hours",""),IF(AND(F168&lt;&gt;"Off",G168=0),"Missing claimed hours",""))</f>
        <v>#NAME?</v>
      </c>
      <c r="X168" s="7"/>
    </row>
    <row r="169" spans="1:24" x14ac:dyDescent="0.35">
      <c r="A169" s="31">
        <f>Auto_Roster!A169</f>
        <v>46151</v>
      </c>
      <c r="B169" s="31">
        <f>Auto_Roster!B169</f>
        <v>46146</v>
      </c>
      <c r="C169" s="26" t="str">
        <f>Auto_Roster!C169</f>
        <v>E006</v>
      </c>
      <c r="D169" s="26" t="str">
        <f>Auto_Roster!D169</f>
        <v>Nhalnahla</v>
      </c>
      <c r="E169" s="26" t="str">
        <f>Auto_Roster!E169</f>
        <v>B</v>
      </c>
      <c r="F169" s="26" t="str">
        <f>Auto_Roster!G169</f>
        <v>Off</v>
      </c>
      <c r="G169" s="33">
        <f>Auto_Roster!J169</f>
        <v>0</v>
      </c>
      <c r="H169" s="33">
        <f>IF(G169&gt;Settings!$B$19,G169-Settings!$B$19,0)</f>
        <v>0</v>
      </c>
      <c r="I169" s="33">
        <f t="shared" si="8"/>
        <v>0</v>
      </c>
      <c r="J169" s="33">
        <f>IF(Auto_Roster!M169="Y",G169,0)</f>
        <v>0</v>
      </c>
      <c r="K169" s="33">
        <f>IF(Auto_Roster!L169="Y",G169,0)</f>
        <v>0</v>
      </c>
      <c r="L169" s="26" t="str">
        <f>Auto_Roster!K169</f>
        <v>N</v>
      </c>
      <c r="M169" s="34">
        <f>IF(L169="Y",Settings!$B$16,0)</f>
        <v>0</v>
      </c>
      <c r="N169" s="33">
        <f t="shared" si="9"/>
        <v>0</v>
      </c>
      <c r="O169" s="34">
        <f>N169*Settings!$B$17</f>
        <v>0</v>
      </c>
      <c r="P169" s="34">
        <f>IFERROR(VLOOKUP(C169,Employees!$A$4:$E$103,5,FALSE),Settings!$B$18)</f>
        <v>100</v>
      </c>
      <c r="Q169" s="34">
        <f t="shared" si="10"/>
        <v>0</v>
      </c>
      <c r="R169" s="34">
        <f>H169*P169*Settings!$B$13</f>
        <v>0</v>
      </c>
      <c r="S169" s="34">
        <f>J169*P169*(Settings!$B$14-1)</f>
        <v>0</v>
      </c>
      <c r="T169" s="34">
        <f>K169*P169*(Settings!$B$15-1)</f>
        <v>0</v>
      </c>
      <c r="U169" s="34">
        <f t="shared" si="11"/>
        <v>0</v>
      </c>
      <c r="V169" s="26" t="str">
        <f>Auto_Roster!O169</f>
        <v>Pending</v>
      </c>
      <c r="W169" s="26" t="e">
        <f ca="1">_xludf.TEXTJOIN("; ",TRUE,Auto_Roster!N169,IF(G169&gt;Settings!$B$19,"Approval required &gt; standard hours",""),IF(AND(F169&lt;&gt;"Off",G169=0),"Missing claimed hours",""))</f>
        <v>#NAME?</v>
      </c>
      <c r="X169" s="7"/>
    </row>
    <row r="170" spans="1:24" x14ac:dyDescent="0.35">
      <c r="A170" s="31">
        <f>Auto_Roster!A170</f>
        <v>46151</v>
      </c>
      <c r="B170" s="31">
        <f>Auto_Roster!B170</f>
        <v>46146</v>
      </c>
      <c r="C170" s="26" t="str">
        <f>Auto_Roster!C170</f>
        <v>E007</v>
      </c>
      <c r="D170" s="26" t="str">
        <f>Auto_Roster!D170</f>
        <v>Joe</v>
      </c>
      <c r="E170" s="26" t="str">
        <f>Auto_Roster!E170</f>
        <v>C</v>
      </c>
      <c r="F170" s="26" t="str">
        <f>Auto_Roster!G170</f>
        <v>Evening</v>
      </c>
      <c r="G170" s="33">
        <f>Auto_Roster!J170</f>
        <v>8</v>
      </c>
      <c r="H170" s="33">
        <f>IF(G170&gt;Settings!$B$19,G170-Settings!$B$19,0)</f>
        <v>0</v>
      </c>
      <c r="I170" s="33">
        <f t="shared" si="8"/>
        <v>8</v>
      </c>
      <c r="J170" s="33">
        <f>IF(Auto_Roster!M170="Y",G170,0)</f>
        <v>0</v>
      </c>
      <c r="K170" s="33">
        <f>IF(Auto_Roster!L170="Y",G170,0)</f>
        <v>0</v>
      </c>
      <c r="L170" s="26" t="str">
        <f>Auto_Roster!K170</f>
        <v>N</v>
      </c>
      <c r="M170" s="34">
        <f>IF(L170="Y",Settings!$B$16,0)</f>
        <v>0</v>
      </c>
      <c r="N170" s="33">
        <f t="shared" si="9"/>
        <v>0</v>
      </c>
      <c r="O170" s="34">
        <f>N170*Settings!$B$17</f>
        <v>0</v>
      </c>
      <c r="P170" s="34">
        <f>IFERROR(VLOOKUP(C170,Employees!$A$4:$E$103,5,FALSE),Settings!$B$18)</f>
        <v>100</v>
      </c>
      <c r="Q170" s="34">
        <f t="shared" si="10"/>
        <v>800</v>
      </c>
      <c r="R170" s="34">
        <f>H170*P170*Settings!$B$13</f>
        <v>0</v>
      </c>
      <c r="S170" s="34">
        <f>J170*P170*(Settings!$B$14-1)</f>
        <v>0</v>
      </c>
      <c r="T170" s="34">
        <f>K170*P170*(Settings!$B$15-1)</f>
        <v>0</v>
      </c>
      <c r="U170" s="34">
        <f t="shared" si="11"/>
        <v>800</v>
      </c>
      <c r="V170" s="26" t="str">
        <f>Auto_Roster!O170</f>
        <v>Pending</v>
      </c>
      <c r="W170" s="26" t="e">
        <f ca="1">_xludf.TEXTJOIN("; ",TRUE,Auto_Roster!N170,IF(G170&gt;Settings!$B$19,"Approval required &gt; standard hours",""),IF(AND(F170&lt;&gt;"Off",G170=0),"Missing claimed hours",""))</f>
        <v>#NAME?</v>
      </c>
      <c r="X170" s="7"/>
    </row>
    <row r="171" spans="1:24" x14ac:dyDescent="0.35">
      <c r="A171" s="31">
        <f>Auto_Roster!A171</f>
        <v>46151</v>
      </c>
      <c r="B171" s="31">
        <f>Auto_Roster!B171</f>
        <v>46146</v>
      </c>
      <c r="C171" s="26" t="str">
        <f>Auto_Roster!C171</f>
        <v>E008</v>
      </c>
      <c r="D171" s="26" t="str">
        <f>Auto_Roster!D171</f>
        <v>Tim</v>
      </c>
      <c r="E171" s="26" t="str">
        <f>Auto_Roster!E171</f>
        <v>D</v>
      </c>
      <c r="F171" s="26" t="str">
        <f>Auto_Roster!G171</f>
        <v>Night</v>
      </c>
      <c r="G171" s="33">
        <f>Auto_Roster!J171</f>
        <v>8</v>
      </c>
      <c r="H171" s="33">
        <f>IF(G171&gt;Settings!$B$19,G171-Settings!$B$19,0)</f>
        <v>0</v>
      </c>
      <c r="I171" s="33">
        <f t="shared" si="8"/>
        <v>8</v>
      </c>
      <c r="J171" s="33">
        <f>IF(Auto_Roster!M171="Y",G171,0)</f>
        <v>0</v>
      </c>
      <c r="K171" s="33">
        <f>IF(Auto_Roster!L171="Y",G171,0)</f>
        <v>0</v>
      </c>
      <c r="L171" s="26" t="str">
        <f>Auto_Roster!K171</f>
        <v>N</v>
      </c>
      <c r="M171" s="34">
        <f>IF(L171="Y",Settings!$B$16,0)</f>
        <v>0</v>
      </c>
      <c r="N171" s="33">
        <f t="shared" si="9"/>
        <v>8</v>
      </c>
      <c r="O171" s="34">
        <f>N171*Settings!$B$17</f>
        <v>0</v>
      </c>
      <c r="P171" s="34">
        <f>IFERROR(VLOOKUP(C171,Employees!$A$4:$E$103,5,FALSE),Settings!$B$18)</f>
        <v>100</v>
      </c>
      <c r="Q171" s="34">
        <f t="shared" si="10"/>
        <v>800</v>
      </c>
      <c r="R171" s="34">
        <f>H171*P171*Settings!$B$13</f>
        <v>0</v>
      </c>
      <c r="S171" s="34">
        <f>J171*P171*(Settings!$B$14-1)</f>
        <v>0</v>
      </c>
      <c r="T171" s="34">
        <f>K171*P171*(Settings!$B$15-1)</f>
        <v>0</v>
      </c>
      <c r="U171" s="34">
        <f t="shared" si="11"/>
        <v>800</v>
      </c>
      <c r="V171" s="26" t="str">
        <f>Auto_Roster!O171</f>
        <v>Pending</v>
      </c>
      <c r="W171" s="26" t="e">
        <f ca="1">_xludf.TEXTJOIN("; ",TRUE,Auto_Roster!N171,IF(G171&gt;Settings!$B$19,"Approval required &gt; standard hours",""),IF(AND(F171&lt;&gt;"Off",G171=0),"Missing claimed hours",""))</f>
        <v>#NAME?</v>
      </c>
      <c r="X171" s="7"/>
    </row>
    <row r="172" spans="1:24" x14ac:dyDescent="0.35">
      <c r="A172" s="31">
        <f>Auto_Roster!A172</f>
        <v>46151</v>
      </c>
      <c r="B172" s="31">
        <f>Auto_Roster!B172</f>
        <v>46146</v>
      </c>
      <c r="C172" s="26" t="str">
        <f>Auto_Roster!C172</f>
        <v>E009</v>
      </c>
      <c r="D172" s="26" t="str">
        <f>Auto_Roster!D172</f>
        <v>Frank</v>
      </c>
      <c r="E172" s="26" t="str">
        <f>Auto_Roster!E172</f>
        <v>A</v>
      </c>
      <c r="F172" s="26" t="str">
        <f>Auto_Roster!G172</f>
        <v>Day</v>
      </c>
      <c r="G172" s="33">
        <f>Auto_Roster!J172</f>
        <v>8</v>
      </c>
      <c r="H172" s="33">
        <f>IF(G172&gt;Settings!$B$19,G172-Settings!$B$19,0)</f>
        <v>0</v>
      </c>
      <c r="I172" s="33">
        <f t="shared" si="8"/>
        <v>8</v>
      </c>
      <c r="J172" s="33">
        <f>IF(Auto_Roster!M172="Y",G172,0)</f>
        <v>0</v>
      </c>
      <c r="K172" s="33">
        <f>IF(Auto_Roster!L172="Y",G172,0)</f>
        <v>0</v>
      </c>
      <c r="L172" s="26" t="str">
        <f>Auto_Roster!K172</f>
        <v>N</v>
      </c>
      <c r="M172" s="34">
        <f>IF(L172="Y",Settings!$B$16,0)</f>
        <v>0</v>
      </c>
      <c r="N172" s="33">
        <f t="shared" si="9"/>
        <v>0</v>
      </c>
      <c r="O172" s="34">
        <f>N172*Settings!$B$17</f>
        <v>0</v>
      </c>
      <c r="P172" s="34">
        <f>IFERROR(VLOOKUP(C172,Employees!$A$4:$E$103,5,FALSE),Settings!$B$18)</f>
        <v>100</v>
      </c>
      <c r="Q172" s="34">
        <f t="shared" si="10"/>
        <v>800</v>
      </c>
      <c r="R172" s="34">
        <f>H172*P172*Settings!$B$13</f>
        <v>0</v>
      </c>
      <c r="S172" s="34">
        <f>J172*P172*(Settings!$B$14-1)</f>
        <v>0</v>
      </c>
      <c r="T172" s="34">
        <f>K172*P172*(Settings!$B$15-1)</f>
        <v>0</v>
      </c>
      <c r="U172" s="34">
        <f t="shared" si="11"/>
        <v>800</v>
      </c>
      <c r="V172" s="26" t="str">
        <f>Auto_Roster!O172</f>
        <v>Pending</v>
      </c>
      <c r="W172" s="26" t="e">
        <f ca="1">_xludf.TEXTJOIN("; ",TRUE,Auto_Roster!N172,IF(G172&gt;Settings!$B$19,"Approval required &gt; standard hours",""),IF(AND(F172&lt;&gt;"Off",G172=0),"Missing claimed hours",""))</f>
        <v>#NAME?</v>
      </c>
      <c r="X172" s="7"/>
    </row>
    <row r="173" spans="1:24" x14ac:dyDescent="0.35">
      <c r="A173" s="31">
        <f>Auto_Roster!A173</f>
        <v>46151</v>
      </c>
      <c r="B173" s="31">
        <f>Auto_Roster!B173</f>
        <v>46146</v>
      </c>
      <c r="C173" s="26" t="str">
        <f>Auto_Roster!C173</f>
        <v/>
      </c>
      <c r="D173" s="26" t="str">
        <f>Auto_Roster!D173</f>
        <v/>
      </c>
      <c r="E173" s="26" t="str">
        <f>Auto_Roster!E173</f>
        <v/>
      </c>
      <c r="F173" s="26" t="str">
        <f>Auto_Roster!G173</f>
        <v/>
      </c>
      <c r="G173" s="33">
        <f>Auto_Roster!J173</f>
        <v>0</v>
      </c>
      <c r="H173" s="33">
        <f>IF(G173&gt;Settings!$B$19,G173-Settings!$B$19,0)</f>
        <v>0</v>
      </c>
      <c r="I173" s="33">
        <f t="shared" si="8"/>
        <v>0</v>
      </c>
      <c r="J173" s="33">
        <f>IF(Auto_Roster!M173="Y",G173,0)</f>
        <v>0</v>
      </c>
      <c r="K173" s="33">
        <f>IF(Auto_Roster!L173="Y",G173,0)</f>
        <v>0</v>
      </c>
      <c r="L173" s="26" t="str">
        <f>Auto_Roster!K173</f>
        <v>N</v>
      </c>
      <c r="M173" s="34">
        <f>IF(L173="Y",Settings!$B$16,0)</f>
        <v>0</v>
      </c>
      <c r="N173" s="33">
        <f t="shared" si="9"/>
        <v>0</v>
      </c>
      <c r="O173" s="34">
        <f>N173*Settings!$B$17</f>
        <v>0</v>
      </c>
      <c r="P173" s="34">
        <f>IFERROR(VLOOKUP(C173,Employees!$A$4:$E$103,5,FALSE),Settings!$B$18)</f>
        <v>100</v>
      </c>
      <c r="Q173" s="34">
        <f t="shared" si="10"/>
        <v>0</v>
      </c>
      <c r="R173" s="34">
        <f>H173*P173*Settings!$B$13</f>
        <v>0</v>
      </c>
      <c r="S173" s="34">
        <f>J173*P173*(Settings!$B$14-1)</f>
        <v>0</v>
      </c>
      <c r="T173" s="34">
        <f>K173*P173*(Settings!$B$15-1)</f>
        <v>0</v>
      </c>
      <c r="U173" s="34">
        <f t="shared" si="11"/>
        <v>0</v>
      </c>
      <c r="V173" s="26" t="str">
        <f>Auto_Roster!O173</f>
        <v>Pending</v>
      </c>
      <c r="W173" s="26" t="e">
        <f ca="1">_xludf.TEXTJOIN("; ",TRUE,Auto_Roster!N173,IF(G173&gt;Settings!$B$19,"Approval required &gt; standard hours",""),IF(AND(F173&lt;&gt;"Off",G173=0),"Missing claimed hours",""))</f>
        <v>#NAME?</v>
      </c>
      <c r="X173" s="7"/>
    </row>
    <row r="174" spans="1:24" x14ac:dyDescent="0.35">
      <c r="A174" s="31">
        <f>Auto_Roster!A174</f>
        <v>46151</v>
      </c>
      <c r="B174" s="31">
        <f>Auto_Roster!B174</f>
        <v>46146</v>
      </c>
      <c r="C174" s="26" t="str">
        <f>Auto_Roster!C174</f>
        <v/>
      </c>
      <c r="D174" s="26" t="str">
        <f>Auto_Roster!D174</f>
        <v/>
      </c>
      <c r="E174" s="26" t="str">
        <f>Auto_Roster!E174</f>
        <v/>
      </c>
      <c r="F174" s="26" t="str">
        <f>Auto_Roster!G174</f>
        <v/>
      </c>
      <c r="G174" s="33">
        <f>Auto_Roster!J174</f>
        <v>0</v>
      </c>
      <c r="H174" s="33">
        <f>IF(G174&gt;Settings!$B$19,G174-Settings!$B$19,0)</f>
        <v>0</v>
      </c>
      <c r="I174" s="33">
        <f t="shared" si="8"/>
        <v>0</v>
      </c>
      <c r="J174" s="33">
        <f>IF(Auto_Roster!M174="Y",G174,0)</f>
        <v>0</v>
      </c>
      <c r="K174" s="33">
        <f>IF(Auto_Roster!L174="Y",G174,0)</f>
        <v>0</v>
      </c>
      <c r="L174" s="26" t="str">
        <f>Auto_Roster!K174</f>
        <v>N</v>
      </c>
      <c r="M174" s="34">
        <f>IF(L174="Y",Settings!$B$16,0)</f>
        <v>0</v>
      </c>
      <c r="N174" s="33">
        <f t="shared" si="9"/>
        <v>0</v>
      </c>
      <c r="O174" s="34">
        <f>N174*Settings!$B$17</f>
        <v>0</v>
      </c>
      <c r="P174" s="34">
        <f>IFERROR(VLOOKUP(C174,Employees!$A$4:$E$103,5,FALSE),Settings!$B$18)</f>
        <v>100</v>
      </c>
      <c r="Q174" s="34">
        <f t="shared" si="10"/>
        <v>0</v>
      </c>
      <c r="R174" s="34">
        <f>H174*P174*Settings!$B$13</f>
        <v>0</v>
      </c>
      <c r="S174" s="34">
        <f>J174*P174*(Settings!$B$14-1)</f>
        <v>0</v>
      </c>
      <c r="T174" s="34">
        <f>K174*P174*(Settings!$B$15-1)</f>
        <v>0</v>
      </c>
      <c r="U174" s="34">
        <f t="shared" si="11"/>
        <v>0</v>
      </c>
      <c r="V174" s="26" t="str">
        <f>Auto_Roster!O174</f>
        <v>Pending</v>
      </c>
      <c r="W174" s="26" t="e">
        <f ca="1">_xludf.TEXTJOIN("; ",TRUE,Auto_Roster!N174,IF(G174&gt;Settings!$B$19,"Approval required &gt; standard hours",""),IF(AND(F174&lt;&gt;"Off",G174=0),"Missing claimed hours",""))</f>
        <v>#NAME?</v>
      </c>
      <c r="X174" s="7"/>
    </row>
    <row r="175" spans="1:24" x14ac:dyDescent="0.35">
      <c r="A175" s="31">
        <f>Auto_Roster!A175</f>
        <v>46151</v>
      </c>
      <c r="B175" s="31">
        <f>Auto_Roster!B175</f>
        <v>46146</v>
      </c>
      <c r="C175" s="26" t="str">
        <f>Auto_Roster!C175</f>
        <v/>
      </c>
      <c r="D175" s="26" t="str">
        <f>Auto_Roster!D175</f>
        <v/>
      </c>
      <c r="E175" s="26" t="str">
        <f>Auto_Roster!E175</f>
        <v/>
      </c>
      <c r="F175" s="26" t="str">
        <f>Auto_Roster!G175</f>
        <v/>
      </c>
      <c r="G175" s="33">
        <f>Auto_Roster!J175</f>
        <v>0</v>
      </c>
      <c r="H175" s="33">
        <f>IF(G175&gt;Settings!$B$19,G175-Settings!$B$19,0)</f>
        <v>0</v>
      </c>
      <c r="I175" s="33">
        <f t="shared" si="8"/>
        <v>0</v>
      </c>
      <c r="J175" s="33">
        <f>IF(Auto_Roster!M175="Y",G175,0)</f>
        <v>0</v>
      </c>
      <c r="K175" s="33">
        <f>IF(Auto_Roster!L175="Y",G175,0)</f>
        <v>0</v>
      </c>
      <c r="L175" s="26" t="str">
        <f>Auto_Roster!K175</f>
        <v>N</v>
      </c>
      <c r="M175" s="34">
        <f>IF(L175="Y",Settings!$B$16,0)</f>
        <v>0</v>
      </c>
      <c r="N175" s="33">
        <f t="shared" si="9"/>
        <v>0</v>
      </c>
      <c r="O175" s="34">
        <f>N175*Settings!$B$17</f>
        <v>0</v>
      </c>
      <c r="P175" s="34">
        <f>IFERROR(VLOOKUP(C175,Employees!$A$4:$E$103,5,FALSE),Settings!$B$18)</f>
        <v>100</v>
      </c>
      <c r="Q175" s="34">
        <f t="shared" si="10"/>
        <v>0</v>
      </c>
      <c r="R175" s="34">
        <f>H175*P175*Settings!$B$13</f>
        <v>0</v>
      </c>
      <c r="S175" s="34">
        <f>J175*P175*(Settings!$B$14-1)</f>
        <v>0</v>
      </c>
      <c r="T175" s="34">
        <f>K175*P175*(Settings!$B$15-1)</f>
        <v>0</v>
      </c>
      <c r="U175" s="34">
        <f t="shared" si="11"/>
        <v>0</v>
      </c>
      <c r="V175" s="26" t="str">
        <f>Auto_Roster!O175</f>
        <v>Pending</v>
      </c>
      <c r="W175" s="26" t="e">
        <f ca="1">_xludf.TEXTJOIN("; ",TRUE,Auto_Roster!N175,IF(G175&gt;Settings!$B$19,"Approval required &gt; standard hours",""),IF(AND(F175&lt;&gt;"Off",G175=0),"Missing claimed hours",""))</f>
        <v>#NAME?</v>
      </c>
      <c r="X175" s="7"/>
    </row>
    <row r="176" spans="1:24" x14ac:dyDescent="0.35">
      <c r="A176" s="31">
        <f>Auto_Roster!A176</f>
        <v>46151</v>
      </c>
      <c r="B176" s="31">
        <f>Auto_Roster!B176</f>
        <v>46146</v>
      </c>
      <c r="C176" s="26" t="str">
        <f>Auto_Roster!C176</f>
        <v/>
      </c>
      <c r="D176" s="26" t="str">
        <f>Auto_Roster!D176</f>
        <v/>
      </c>
      <c r="E176" s="26" t="str">
        <f>Auto_Roster!E176</f>
        <v/>
      </c>
      <c r="F176" s="26" t="str">
        <f>Auto_Roster!G176</f>
        <v/>
      </c>
      <c r="G176" s="33">
        <f>Auto_Roster!J176</f>
        <v>0</v>
      </c>
      <c r="H176" s="33">
        <f>IF(G176&gt;Settings!$B$19,G176-Settings!$B$19,0)</f>
        <v>0</v>
      </c>
      <c r="I176" s="33">
        <f t="shared" si="8"/>
        <v>0</v>
      </c>
      <c r="J176" s="33">
        <f>IF(Auto_Roster!M176="Y",G176,0)</f>
        <v>0</v>
      </c>
      <c r="K176" s="33">
        <f>IF(Auto_Roster!L176="Y",G176,0)</f>
        <v>0</v>
      </c>
      <c r="L176" s="26" t="str">
        <f>Auto_Roster!K176</f>
        <v>N</v>
      </c>
      <c r="M176" s="34">
        <f>IF(L176="Y",Settings!$B$16,0)</f>
        <v>0</v>
      </c>
      <c r="N176" s="33">
        <f t="shared" si="9"/>
        <v>0</v>
      </c>
      <c r="O176" s="34">
        <f>N176*Settings!$B$17</f>
        <v>0</v>
      </c>
      <c r="P176" s="34">
        <f>IFERROR(VLOOKUP(C176,Employees!$A$4:$E$103,5,FALSE),Settings!$B$18)</f>
        <v>100</v>
      </c>
      <c r="Q176" s="34">
        <f t="shared" si="10"/>
        <v>0</v>
      </c>
      <c r="R176" s="34">
        <f>H176*P176*Settings!$B$13</f>
        <v>0</v>
      </c>
      <c r="S176" s="34">
        <f>J176*P176*(Settings!$B$14-1)</f>
        <v>0</v>
      </c>
      <c r="T176" s="34">
        <f>K176*P176*(Settings!$B$15-1)</f>
        <v>0</v>
      </c>
      <c r="U176" s="34">
        <f t="shared" si="11"/>
        <v>0</v>
      </c>
      <c r="V176" s="26" t="str">
        <f>Auto_Roster!O176</f>
        <v>Pending</v>
      </c>
      <c r="W176" s="26" t="e">
        <f ca="1">_xludf.TEXTJOIN("; ",TRUE,Auto_Roster!N176,IF(G176&gt;Settings!$B$19,"Approval required &gt; standard hours",""),IF(AND(F176&lt;&gt;"Off",G176=0),"Missing claimed hours",""))</f>
        <v>#NAME?</v>
      </c>
      <c r="X176" s="7"/>
    </row>
    <row r="177" spans="1:24" x14ac:dyDescent="0.35">
      <c r="A177" s="31">
        <f>Auto_Roster!A177</f>
        <v>46151</v>
      </c>
      <c r="B177" s="31">
        <f>Auto_Roster!B177</f>
        <v>46146</v>
      </c>
      <c r="C177" s="26" t="str">
        <f>Auto_Roster!C177</f>
        <v/>
      </c>
      <c r="D177" s="26" t="str">
        <f>Auto_Roster!D177</f>
        <v/>
      </c>
      <c r="E177" s="26" t="str">
        <f>Auto_Roster!E177</f>
        <v/>
      </c>
      <c r="F177" s="26" t="str">
        <f>Auto_Roster!G177</f>
        <v/>
      </c>
      <c r="G177" s="33">
        <f>Auto_Roster!J177</f>
        <v>0</v>
      </c>
      <c r="H177" s="33">
        <f>IF(G177&gt;Settings!$B$19,G177-Settings!$B$19,0)</f>
        <v>0</v>
      </c>
      <c r="I177" s="33">
        <f t="shared" si="8"/>
        <v>0</v>
      </c>
      <c r="J177" s="33">
        <f>IF(Auto_Roster!M177="Y",G177,0)</f>
        <v>0</v>
      </c>
      <c r="K177" s="33">
        <f>IF(Auto_Roster!L177="Y",G177,0)</f>
        <v>0</v>
      </c>
      <c r="L177" s="26" t="str">
        <f>Auto_Roster!K177</f>
        <v>N</v>
      </c>
      <c r="M177" s="34">
        <f>IF(L177="Y",Settings!$B$16,0)</f>
        <v>0</v>
      </c>
      <c r="N177" s="33">
        <f t="shared" si="9"/>
        <v>0</v>
      </c>
      <c r="O177" s="34">
        <f>N177*Settings!$B$17</f>
        <v>0</v>
      </c>
      <c r="P177" s="34">
        <f>IFERROR(VLOOKUP(C177,Employees!$A$4:$E$103,5,FALSE),Settings!$B$18)</f>
        <v>100</v>
      </c>
      <c r="Q177" s="34">
        <f t="shared" si="10"/>
        <v>0</v>
      </c>
      <c r="R177" s="34">
        <f>H177*P177*Settings!$B$13</f>
        <v>0</v>
      </c>
      <c r="S177" s="34">
        <f>J177*P177*(Settings!$B$14-1)</f>
        <v>0</v>
      </c>
      <c r="T177" s="34">
        <f>K177*P177*(Settings!$B$15-1)</f>
        <v>0</v>
      </c>
      <c r="U177" s="34">
        <f t="shared" si="11"/>
        <v>0</v>
      </c>
      <c r="V177" s="26" t="str">
        <f>Auto_Roster!O177</f>
        <v>Pending</v>
      </c>
      <c r="W177" s="26" t="e">
        <f ca="1">_xludf.TEXTJOIN("; ",TRUE,Auto_Roster!N177,IF(G177&gt;Settings!$B$19,"Approval required &gt; standard hours",""),IF(AND(F177&lt;&gt;"Off",G177=0),"Missing claimed hours",""))</f>
        <v>#NAME?</v>
      </c>
      <c r="X177" s="7"/>
    </row>
    <row r="178" spans="1:24" x14ac:dyDescent="0.35">
      <c r="A178" s="31">
        <f>Auto_Roster!A178</f>
        <v>46151</v>
      </c>
      <c r="B178" s="31">
        <f>Auto_Roster!B178</f>
        <v>46146</v>
      </c>
      <c r="C178" s="26" t="str">
        <f>Auto_Roster!C178</f>
        <v/>
      </c>
      <c r="D178" s="26" t="str">
        <f>Auto_Roster!D178</f>
        <v/>
      </c>
      <c r="E178" s="26" t="str">
        <f>Auto_Roster!E178</f>
        <v/>
      </c>
      <c r="F178" s="26" t="str">
        <f>Auto_Roster!G178</f>
        <v/>
      </c>
      <c r="G178" s="33">
        <f>Auto_Roster!J178</f>
        <v>0</v>
      </c>
      <c r="H178" s="33">
        <f>IF(G178&gt;Settings!$B$19,G178-Settings!$B$19,0)</f>
        <v>0</v>
      </c>
      <c r="I178" s="33">
        <f t="shared" si="8"/>
        <v>0</v>
      </c>
      <c r="J178" s="33">
        <f>IF(Auto_Roster!M178="Y",G178,0)</f>
        <v>0</v>
      </c>
      <c r="K178" s="33">
        <f>IF(Auto_Roster!L178="Y",G178,0)</f>
        <v>0</v>
      </c>
      <c r="L178" s="26" t="str">
        <f>Auto_Roster!K178</f>
        <v>N</v>
      </c>
      <c r="M178" s="34">
        <f>IF(L178="Y",Settings!$B$16,0)</f>
        <v>0</v>
      </c>
      <c r="N178" s="33">
        <f t="shared" si="9"/>
        <v>0</v>
      </c>
      <c r="O178" s="34">
        <f>N178*Settings!$B$17</f>
        <v>0</v>
      </c>
      <c r="P178" s="34">
        <f>IFERROR(VLOOKUP(C178,Employees!$A$4:$E$103,5,FALSE),Settings!$B$18)</f>
        <v>100</v>
      </c>
      <c r="Q178" s="34">
        <f t="shared" si="10"/>
        <v>0</v>
      </c>
      <c r="R178" s="34">
        <f>H178*P178*Settings!$B$13</f>
        <v>0</v>
      </c>
      <c r="S178" s="34">
        <f>J178*P178*(Settings!$B$14-1)</f>
        <v>0</v>
      </c>
      <c r="T178" s="34">
        <f>K178*P178*(Settings!$B$15-1)</f>
        <v>0</v>
      </c>
      <c r="U178" s="34">
        <f t="shared" si="11"/>
        <v>0</v>
      </c>
      <c r="V178" s="26" t="str">
        <f>Auto_Roster!O178</f>
        <v>Pending</v>
      </c>
      <c r="W178" s="26" t="e">
        <f ca="1">_xludf.TEXTJOIN("; ",TRUE,Auto_Roster!N178,IF(G178&gt;Settings!$B$19,"Approval required &gt; standard hours",""),IF(AND(F178&lt;&gt;"Off",G178=0),"Missing claimed hours",""))</f>
        <v>#NAME?</v>
      </c>
      <c r="X178" s="7"/>
    </row>
    <row r="179" spans="1:24" x14ac:dyDescent="0.35">
      <c r="A179" s="31">
        <f>Auto_Roster!A179</f>
        <v>46151</v>
      </c>
      <c r="B179" s="31">
        <f>Auto_Roster!B179</f>
        <v>46146</v>
      </c>
      <c r="C179" s="26" t="str">
        <f>Auto_Roster!C179</f>
        <v/>
      </c>
      <c r="D179" s="26" t="str">
        <f>Auto_Roster!D179</f>
        <v/>
      </c>
      <c r="E179" s="26" t="str">
        <f>Auto_Roster!E179</f>
        <v/>
      </c>
      <c r="F179" s="26" t="str">
        <f>Auto_Roster!G179</f>
        <v/>
      </c>
      <c r="G179" s="33">
        <f>Auto_Roster!J179</f>
        <v>0</v>
      </c>
      <c r="H179" s="33">
        <f>IF(G179&gt;Settings!$B$19,G179-Settings!$B$19,0)</f>
        <v>0</v>
      </c>
      <c r="I179" s="33">
        <f t="shared" si="8"/>
        <v>0</v>
      </c>
      <c r="J179" s="33">
        <f>IF(Auto_Roster!M179="Y",G179,0)</f>
        <v>0</v>
      </c>
      <c r="K179" s="33">
        <f>IF(Auto_Roster!L179="Y",G179,0)</f>
        <v>0</v>
      </c>
      <c r="L179" s="26" t="str">
        <f>Auto_Roster!K179</f>
        <v>N</v>
      </c>
      <c r="M179" s="34">
        <f>IF(L179="Y",Settings!$B$16,0)</f>
        <v>0</v>
      </c>
      <c r="N179" s="33">
        <f t="shared" si="9"/>
        <v>0</v>
      </c>
      <c r="O179" s="34">
        <f>N179*Settings!$B$17</f>
        <v>0</v>
      </c>
      <c r="P179" s="34">
        <f>IFERROR(VLOOKUP(C179,Employees!$A$4:$E$103,5,FALSE),Settings!$B$18)</f>
        <v>100</v>
      </c>
      <c r="Q179" s="34">
        <f t="shared" si="10"/>
        <v>0</v>
      </c>
      <c r="R179" s="34">
        <f>H179*P179*Settings!$B$13</f>
        <v>0</v>
      </c>
      <c r="S179" s="34">
        <f>J179*P179*(Settings!$B$14-1)</f>
        <v>0</v>
      </c>
      <c r="T179" s="34">
        <f>K179*P179*(Settings!$B$15-1)</f>
        <v>0</v>
      </c>
      <c r="U179" s="34">
        <f t="shared" si="11"/>
        <v>0</v>
      </c>
      <c r="V179" s="26" t="str">
        <f>Auto_Roster!O179</f>
        <v>Pending</v>
      </c>
      <c r="W179" s="26" t="e">
        <f ca="1">_xludf.TEXTJOIN("; ",TRUE,Auto_Roster!N179,IF(G179&gt;Settings!$B$19,"Approval required &gt; standard hours",""),IF(AND(F179&lt;&gt;"Off",G179=0),"Missing claimed hours",""))</f>
        <v>#NAME?</v>
      </c>
      <c r="X179" s="7"/>
    </row>
    <row r="180" spans="1:24" x14ac:dyDescent="0.35">
      <c r="A180" s="31">
        <f>Auto_Roster!A180</f>
        <v>46151</v>
      </c>
      <c r="B180" s="31">
        <f>Auto_Roster!B180</f>
        <v>46146</v>
      </c>
      <c r="C180" s="26" t="str">
        <f>Auto_Roster!C180</f>
        <v/>
      </c>
      <c r="D180" s="26" t="str">
        <f>Auto_Roster!D180</f>
        <v/>
      </c>
      <c r="E180" s="26" t="str">
        <f>Auto_Roster!E180</f>
        <v/>
      </c>
      <c r="F180" s="26" t="str">
        <f>Auto_Roster!G180</f>
        <v/>
      </c>
      <c r="G180" s="33">
        <f>Auto_Roster!J180</f>
        <v>0</v>
      </c>
      <c r="H180" s="33">
        <f>IF(G180&gt;Settings!$B$19,G180-Settings!$B$19,0)</f>
        <v>0</v>
      </c>
      <c r="I180" s="33">
        <f t="shared" si="8"/>
        <v>0</v>
      </c>
      <c r="J180" s="33">
        <f>IF(Auto_Roster!M180="Y",G180,0)</f>
        <v>0</v>
      </c>
      <c r="K180" s="33">
        <f>IF(Auto_Roster!L180="Y",G180,0)</f>
        <v>0</v>
      </c>
      <c r="L180" s="26" t="str">
        <f>Auto_Roster!K180</f>
        <v>N</v>
      </c>
      <c r="M180" s="34">
        <f>IF(L180="Y",Settings!$B$16,0)</f>
        <v>0</v>
      </c>
      <c r="N180" s="33">
        <f t="shared" si="9"/>
        <v>0</v>
      </c>
      <c r="O180" s="34">
        <f>N180*Settings!$B$17</f>
        <v>0</v>
      </c>
      <c r="P180" s="34">
        <f>IFERROR(VLOOKUP(C180,Employees!$A$4:$E$103,5,FALSE),Settings!$B$18)</f>
        <v>100</v>
      </c>
      <c r="Q180" s="34">
        <f t="shared" si="10"/>
        <v>0</v>
      </c>
      <c r="R180" s="34">
        <f>H180*P180*Settings!$B$13</f>
        <v>0</v>
      </c>
      <c r="S180" s="34">
        <f>J180*P180*(Settings!$B$14-1)</f>
        <v>0</v>
      </c>
      <c r="T180" s="34">
        <f>K180*P180*(Settings!$B$15-1)</f>
        <v>0</v>
      </c>
      <c r="U180" s="34">
        <f t="shared" si="11"/>
        <v>0</v>
      </c>
      <c r="V180" s="26" t="str">
        <f>Auto_Roster!O180</f>
        <v>Pending</v>
      </c>
      <c r="W180" s="26" t="e">
        <f ca="1">_xludf.TEXTJOIN("; ",TRUE,Auto_Roster!N180,IF(G180&gt;Settings!$B$19,"Approval required &gt; standard hours",""),IF(AND(F180&lt;&gt;"Off",G180=0),"Missing claimed hours",""))</f>
        <v>#NAME?</v>
      </c>
      <c r="X180" s="7"/>
    </row>
    <row r="181" spans="1:24" x14ac:dyDescent="0.35">
      <c r="A181" s="31">
        <f>Auto_Roster!A181</f>
        <v>46151</v>
      </c>
      <c r="B181" s="31">
        <f>Auto_Roster!B181</f>
        <v>46146</v>
      </c>
      <c r="C181" s="26" t="str">
        <f>Auto_Roster!C181</f>
        <v/>
      </c>
      <c r="D181" s="26" t="str">
        <f>Auto_Roster!D181</f>
        <v/>
      </c>
      <c r="E181" s="26" t="str">
        <f>Auto_Roster!E181</f>
        <v/>
      </c>
      <c r="F181" s="26" t="str">
        <f>Auto_Roster!G181</f>
        <v/>
      </c>
      <c r="G181" s="33">
        <f>Auto_Roster!J181</f>
        <v>0</v>
      </c>
      <c r="H181" s="33">
        <f>IF(G181&gt;Settings!$B$19,G181-Settings!$B$19,0)</f>
        <v>0</v>
      </c>
      <c r="I181" s="33">
        <f t="shared" si="8"/>
        <v>0</v>
      </c>
      <c r="J181" s="33">
        <f>IF(Auto_Roster!M181="Y",G181,0)</f>
        <v>0</v>
      </c>
      <c r="K181" s="33">
        <f>IF(Auto_Roster!L181="Y",G181,0)</f>
        <v>0</v>
      </c>
      <c r="L181" s="26" t="str">
        <f>Auto_Roster!K181</f>
        <v>N</v>
      </c>
      <c r="M181" s="34">
        <f>IF(L181="Y",Settings!$B$16,0)</f>
        <v>0</v>
      </c>
      <c r="N181" s="33">
        <f t="shared" si="9"/>
        <v>0</v>
      </c>
      <c r="O181" s="34">
        <f>N181*Settings!$B$17</f>
        <v>0</v>
      </c>
      <c r="P181" s="34">
        <f>IFERROR(VLOOKUP(C181,Employees!$A$4:$E$103,5,FALSE),Settings!$B$18)</f>
        <v>100</v>
      </c>
      <c r="Q181" s="34">
        <f t="shared" si="10"/>
        <v>0</v>
      </c>
      <c r="R181" s="34">
        <f>H181*P181*Settings!$B$13</f>
        <v>0</v>
      </c>
      <c r="S181" s="34">
        <f>J181*P181*(Settings!$B$14-1)</f>
        <v>0</v>
      </c>
      <c r="T181" s="34">
        <f>K181*P181*(Settings!$B$15-1)</f>
        <v>0</v>
      </c>
      <c r="U181" s="34">
        <f t="shared" si="11"/>
        <v>0</v>
      </c>
      <c r="V181" s="26" t="str">
        <f>Auto_Roster!O181</f>
        <v>Pending</v>
      </c>
      <c r="W181" s="26" t="e">
        <f ca="1">_xludf.TEXTJOIN("; ",TRUE,Auto_Roster!N181,IF(G181&gt;Settings!$B$19,"Approval required &gt; standard hours",""),IF(AND(F181&lt;&gt;"Off",G181=0),"Missing claimed hours",""))</f>
        <v>#NAME?</v>
      </c>
      <c r="X181" s="7"/>
    </row>
    <row r="182" spans="1:24" x14ac:dyDescent="0.35">
      <c r="A182" s="31">
        <f>Auto_Roster!A182</f>
        <v>46151</v>
      </c>
      <c r="B182" s="31">
        <f>Auto_Roster!B182</f>
        <v>46146</v>
      </c>
      <c r="C182" s="26" t="str">
        <f>Auto_Roster!C182</f>
        <v/>
      </c>
      <c r="D182" s="26" t="str">
        <f>Auto_Roster!D182</f>
        <v/>
      </c>
      <c r="E182" s="26" t="str">
        <f>Auto_Roster!E182</f>
        <v/>
      </c>
      <c r="F182" s="26" t="str">
        <f>Auto_Roster!G182</f>
        <v/>
      </c>
      <c r="G182" s="33">
        <f>Auto_Roster!J182</f>
        <v>0</v>
      </c>
      <c r="H182" s="33">
        <f>IF(G182&gt;Settings!$B$19,G182-Settings!$B$19,0)</f>
        <v>0</v>
      </c>
      <c r="I182" s="33">
        <f t="shared" si="8"/>
        <v>0</v>
      </c>
      <c r="J182" s="33">
        <f>IF(Auto_Roster!M182="Y",G182,0)</f>
        <v>0</v>
      </c>
      <c r="K182" s="33">
        <f>IF(Auto_Roster!L182="Y",G182,0)</f>
        <v>0</v>
      </c>
      <c r="L182" s="26" t="str">
        <f>Auto_Roster!K182</f>
        <v>N</v>
      </c>
      <c r="M182" s="34">
        <f>IF(L182="Y",Settings!$B$16,0)</f>
        <v>0</v>
      </c>
      <c r="N182" s="33">
        <f t="shared" si="9"/>
        <v>0</v>
      </c>
      <c r="O182" s="34">
        <f>N182*Settings!$B$17</f>
        <v>0</v>
      </c>
      <c r="P182" s="34">
        <f>IFERROR(VLOOKUP(C182,Employees!$A$4:$E$103,5,FALSE),Settings!$B$18)</f>
        <v>100</v>
      </c>
      <c r="Q182" s="34">
        <f t="shared" si="10"/>
        <v>0</v>
      </c>
      <c r="R182" s="34">
        <f>H182*P182*Settings!$B$13</f>
        <v>0</v>
      </c>
      <c r="S182" s="34">
        <f>J182*P182*(Settings!$B$14-1)</f>
        <v>0</v>
      </c>
      <c r="T182" s="34">
        <f>K182*P182*(Settings!$B$15-1)</f>
        <v>0</v>
      </c>
      <c r="U182" s="34">
        <f t="shared" si="11"/>
        <v>0</v>
      </c>
      <c r="V182" s="26" t="str">
        <f>Auto_Roster!O182</f>
        <v>Pending</v>
      </c>
      <c r="W182" s="26" t="e">
        <f ca="1">_xludf.TEXTJOIN("; ",TRUE,Auto_Roster!N182,IF(G182&gt;Settings!$B$19,"Approval required &gt; standard hours",""),IF(AND(F182&lt;&gt;"Off",G182=0),"Missing claimed hours",""))</f>
        <v>#NAME?</v>
      </c>
      <c r="X182" s="7"/>
    </row>
    <row r="183" spans="1:24" x14ac:dyDescent="0.35">
      <c r="A183" s="31">
        <f>Auto_Roster!A183</f>
        <v>46151</v>
      </c>
      <c r="B183" s="31">
        <f>Auto_Roster!B183</f>
        <v>46146</v>
      </c>
      <c r="C183" s="26" t="str">
        <f>Auto_Roster!C183</f>
        <v/>
      </c>
      <c r="D183" s="26" t="str">
        <f>Auto_Roster!D183</f>
        <v/>
      </c>
      <c r="E183" s="26" t="str">
        <f>Auto_Roster!E183</f>
        <v/>
      </c>
      <c r="F183" s="26" t="str">
        <f>Auto_Roster!G183</f>
        <v/>
      </c>
      <c r="G183" s="33">
        <f>Auto_Roster!J183</f>
        <v>0</v>
      </c>
      <c r="H183" s="33">
        <f>IF(G183&gt;Settings!$B$19,G183-Settings!$B$19,0)</f>
        <v>0</v>
      </c>
      <c r="I183" s="33">
        <f t="shared" si="8"/>
        <v>0</v>
      </c>
      <c r="J183" s="33">
        <f>IF(Auto_Roster!M183="Y",G183,0)</f>
        <v>0</v>
      </c>
      <c r="K183" s="33">
        <f>IF(Auto_Roster!L183="Y",G183,0)</f>
        <v>0</v>
      </c>
      <c r="L183" s="26" t="str">
        <f>Auto_Roster!K183</f>
        <v>N</v>
      </c>
      <c r="M183" s="34">
        <f>IF(L183="Y",Settings!$B$16,0)</f>
        <v>0</v>
      </c>
      <c r="N183" s="33">
        <f t="shared" si="9"/>
        <v>0</v>
      </c>
      <c r="O183" s="34">
        <f>N183*Settings!$B$17</f>
        <v>0</v>
      </c>
      <c r="P183" s="34">
        <f>IFERROR(VLOOKUP(C183,Employees!$A$4:$E$103,5,FALSE),Settings!$B$18)</f>
        <v>100</v>
      </c>
      <c r="Q183" s="34">
        <f t="shared" si="10"/>
        <v>0</v>
      </c>
      <c r="R183" s="34">
        <f>H183*P183*Settings!$B$13</f>
        <v>0</v>
      </c>
      <c r="S183" s="34">
        <f>J183*P183*(Settings!$B$14-1)</f>
        <v>0</v>
      </c>
      <c r="T183" s="34">
        <f>K183*P183*(Settings!$B$15-1)</f>
        <v>0</v>
      </c>
      <c r="U183" s="34">
        <f t="shared" si="11"/>
        <v>0</v>
      </c>
      <c r="V183" s="26" t="str">
        <f>Auto_Roster!O183</f>
        <v>Pending</v>
      </c>
      <c r="W183" s="26" t="e">
        <f ca="1">_xludf.TEXTJOIN("; ",TRUE,Auto_Roster!N183,IF(G183&gt;Settings!$B$19,"Approval required &gt; standard hours",""),IF(AND(F183&lt;&gt;"Off",G183=0),"Missing claimed hours",""))</f>
        <v>#NAME?</v>
      </c>
      <c r="X183" s="7"/>
    </row>
    <row r="184" spans="1:24" x14ac:dyDescent="0.35">
      <c r="A184" s="31">
        <f>Auto_Roster!A184</f>
        <v>46152</v>
      </c>
      <c r="B184" s="31">
        <f>Auto_Roster!B184</f>
        <v>46146</v>
      </c>
      <c r="C184" s="26" t="str">
        <f>Auto_Roster!C184</f>
        <v>E001</v>
      </c>
      <c r="D184" s="26" t="str">
        <f>Auto_Roster!D184</f>
        <v>Musiwa Khavalani</v>
      </c>
      <c r="E184" s="26">
        <f>Auto_Roster!E184</f>
        <v>0</v>
      </c>
      <c r="F184" s="26" t="e">
        <f>Auto_Roster!G184</f>
        <v>#N/A</v>
      </c>
      <c r="G184" s="33" t="e">
        <f>Auto_Roster!J184</f>
        <v>#N/A</v>
      </c>
      <c r="H184" s="33" t="e">
        <f>IF(G184&gt;Settings!$B$19,G184-Settings!$B$19,0)</f>
        <v>#N/A</v>
      </c>
      <c r="I184" s="33" t="e">
        <f t="shared" si="8"/>
        <v>#N/A</v>
      </c>
      <c r="J184" s="33" t="e">
        <f>IF(Auto_Roster!M184="Y",G184,0)</f>
        <v>#N/A</v>
      </c>
      <c r="K184" s="33">
        <f>IF(Auto_Roster!L184="Y",G184,0)</f>
        <v>0</v>
      </c>
      <c r="L184" s="26" t="str">
        <f>Auto_Roster!K184</f>
        <v>N</v>
      </c>
      <c r="M184" s="34">
        <f>IF(L184="Y",Settings!$B$16,0)</f>
        <v>0</v>
      </c>
      <c r="N184" s="33" t="e">
        <f t="shared" si="9"/>
        <v>#N/A</v>
      </c>
      <c r="O184" s="34" t="e">
        <f>N184*Settings!$B$17</f>
        <v>#N/A</v>
      </c>
      <c r="P184" s="34">
        <f>IFERROR(VLOOKUP(C184,Employees!$A$4:$E$103,5,FALSE),Settings!$B$18)</f>
        <v>100</v>
      </c>
      <c r="Q184" s="34" t="e">
        <f t="shared" si="10"/>
        <v>#N/A</v>
      </c>
      <c r="R184" s="34" t="e">
        <f>H184*P184*Settings!$B$13</f>
        <v>#N/A</v>
      </c>
      <c r="S184" s="34" t="e">
        <f>J184*P184*(Settings!$B$14-1)</f>
        <v>#N/A</v>
      </c>
      <c r="T184" s="34">
        <f>K184*P184*(Settings!$B$15-1)</f>
        <v>0</v>
      </c>
      <c r="U184" s="34" t="e">
        <f t="shared" si="11"/>
        <v>#N/A</v>
      </c>
      <c r="V184" s="26" t="str">
        <f>Auto_Roster!O184</f>
        <v>Pending</v>
      </c>
      <c r="W184" s="26" t="e">
        <f ca="1">_xludf.TEXTJOIN("; ",TRUE,Auto_Roster!N184,IF(G184&gt;Settings!$B$19,"Approval required &gt; standard hours",""),IF(AND(F184&lt;&gt;"Off",G184=0),"Missing claimed hours",""))</f>
        <v>#NAME?</v>
      </c>
      <c r="X184" s="7"/>
    </row>
    <row r="185" spans="1:24" x14ac:dyDescent="0.35">
      <c r="A185" s="31">
        <f>Auto_Roster!A185</f>
        <v>46152</v>
      </c>
      <c r="B185" s="31">
        <f>Auto_Roster!B185</f>
        <v>46146</v>
      </c>
      <c r="C185" s="26" t="str">
        <f>Auto_Roster!C185</f>
        <v>E002</v>
      </c>
      <c r="D185" s="26" t="str">
        <f>Auto_Roster!D185</f>
        <v>Mpho  Nembemhia</v>
      </c>
      <c r="E185" s="26" t="str">
        <f>Auto_Roster!E185</f>
        <v>B</v>
      </c>
      <c r="F185" s="26" t="str">
        <f>Auto_Roster!G185</f>
        <v>Day</v>
      </c>
      <c r="G185" s="33">
        <f>Auto_Roster!J185</f>
        <v>8</v>
      </c>
      <c r="H185" s="33">
        <f>IF(G185&gt;Settings!$B$19,G185-Settings!$B$19,0)</f>
        <v>0</v>
      </c>
      <c r="I185" s="33">
        <f t="shared" si="8"/>
        <v>8</v>
      </c>
      <c r="J185" s="33">
        <f>IF(Auto_Roster!M185="Y",G185,0)</f>
        <v>8</v>
      </c>
      <c r="K185" s="33">
        <f>IF(Auto_Roster!L185="Y",G185,0)</f>
        <v>0</v>
      </c>
      <c r="L185" s="26" t="str">
        <f>Auto_Roster!K185</f>
        <v>N</v>
      </c>
      <c r="M185" s="34">
        <f>IF(L185="Y",Settings!$B$16,0)</f>
        <v>0</v>
      </c>
      <c r="N185" s="33">
        <f t="shared" si="9"/>
        <v>0</v>
      </c>
      <c r="O185" s="34">
        <f>N185*Settings!$B$17</f>
        <v>0</v>
      </c>
      <c r="P185" s="34">
        <f>IFERROR(VLOOKUP(C185,Employees!$A$4:$E$103,5,FALSE),Settings!$B$18)</f>
        <v>100</v>
      </c>
      <c r="Q185" s="34">
        <f t="shared" si="10"/>
        <v>800</v>
      </c>
      <c r="R185" s="34">
        <f>H185*P185*Settings!$B$13</f>
        <v>0</v>
      </c>
      <c r="S185" s="34">
        <f>J185*P185*(Settings!$B$14-1)</f>
        <v>800</v>
      </c>
      <c r="T185" s="34">
        <f>K185*P185*(Settings!$B$15-1)</f>
        <v>0</v>
      </c>
      <c r="U185" s="34">
        <f t="shared" si="11"/>
        <v>1600</v>
      </c>
      <c r="V185" s="26" t="str">
        <f>Auto_Roster!O185</f>
        <v>Pending</v>
      </c>
      <c r="W185" s="26" t="e">
        <f ca="1">_xludf.TEXTJOIN("; ",TRUE,Auto_Roster!N185,IF(G185&gt;Settings!$B$19,"Approval required &gt; standard hours",""),IF(AND(F185&lt;&gt;"Off",G185=0),"Missing claimed hours",""))</f>
        <v>#NAME?</v>
      </c>
      <c r="X185" s="7"/>
    </row>
    <row r="186" spans="1:24" x14ac:dyDescent="0.35">
      <c r="A186" s="31">
        <f>Auto_Roster!A186</f>
        <v>46152</v>
      </c>
      <c r="B186" s="31">
        <f>Auto_Roster!B186</f>
        <v>46146</v>
      </c>
      <c r="C186" s="26" t="str">
        <f>Auto_Roster!C186</f>
        <v>E003</v>
      </c>
      <c r="D186" s="26" t="str">
        <f>Auto_Roster!D186</f>
        <v>Dimpho Makhafola</v>
      </c>
      <c r="E186" s="26" t="str">
        <f>Auto_Roster!E186</f>
        <v>C</v>
      </c>
      <c r="F186" s="26" t="str">
        <f>Auto_Roster!G186</f>
        <v>Off</v>
      </c>
      <c r="G186" s="33">
        <f>Auto_Roster!J186</f>
        <v>0</v>
      </c>
      <c r="H186" s="33">
        <f>IF(G186&gt;Settings!$B$19,G186-Settings!$B$19,0)</f>
        <v>0</v>
      </c>
      <c r="I186" s="33">
        <f t="shared" si="8"/>
        <v>0</v>
      </c>
      <c r="J186" s="33">
        <f>IF(Auto_Roster!M186="Y",G186,0)</f>
        <v>0</v>
      </c>
      <c r="K186" s="33">
        <f>IF(Auto_Roster!L186="Y",G186,0)</f>
        <v>0</v>
      </c>
      <c r="L186" s="26" t="str">
        <f>Auto_Roster!K186</f>
        <v>N</v>
      </c>
      <c r="M186" s="34">
        <f>IF(L186="Y",Settings!$B$16,0)</f>
        <v>0</v>
      </c>
      <c r="N186" s="33">
        <f t="shared" si="9"/>
        <v>0</v>
      </c>
      <c r="O186" s="34">
        <f>N186*Settings!$B$17</f>
        <v>0</v>
      </c>
      <c r="P186" s="34">
        <f>IFERROR(VLOOKUP(C186,Employees!$A$4:$E$103,5,FALSE),Settings!$B$18)</f>
        <v>100</v>
      </c>
      <c r="Q186" s="34">
        <f t="shared" si="10"/>
        <v>0</v>
      </c>
      <c r="R186" s="34">
        <f>H186*P186*Settings!$B$13</f>
        <v>0</v>
      </c>
      <c r="S186" s="34">
        <f>J186*P186*(Settings!$B$14-1)</f>
        <v>0</v>
      </c>
      <c r="T186" s="34">
        <f>K186*P186*(Settings!$B$15-1)</f>
        <v>0</v>
      </c>
      <c r="U186" s="34">
        <f t="shared" si="11"/>
        <v>0</v>
      </c>
      <c r="V186" s="26" t="str">
        <f>Auto_Roster!O186</f>
        <v>Pending</v>
      </c>
      <c r="W186" s="26" t="e">
        <f ca="1">_xludf.TEXTJOIN("; ",TRUE,Auto_Roster!N186,IF(G186&gt;Settings!$B$19,"Approval required &gt; standard hours",""),IF(AND(F186&lt;&gt;"Off",G186=0),"Missing claimed hours",""))</f>
        <v>#NAME?</v>
      </c>
      <c r="X186" s="7"/>
    </row>
    <row r="187" spans="1:24" x14ac:dyDescent="0.35">
      <c r="A187" s="31">
        <f>Auto_Roster!A187</f>
        <v>46152</v>
      </c>
      <c r="B187" s="31">
        <f>Auto_Roster!B187</f>
        <v>46146</v>
      </c>
      <c r="C187" s="26" t="str">
        <f>Auto_Roster!C187</f>
        <v>E004</v>
      </c>
      <c r="D187" s="26" t="str">
        <f>Auto_Roster!D187</f>
        <v>Bashii Fall</v>
      </c>
      <c r="E187" s="26" t="str">
        <f>Auto_Roster!E187</f>
        <v>D</v>
      </c>
      <c r="F187" s="26" t="str">
        <f>Auto_Roster!G187</f>
        <v>Night</v>
      </c>
      <c r="G187" s="33">
        <f>Auto_Roster!J187</f>
        <v>8</v>
      </c>
      <c r="H187" s="33">
        <f>IF(G187&gt;Settings!$B$19,G187-Settings!$B$19,0)</f>
        <v>0</v>
      </c>
      <c r="I187" s="33">
        <f t="shared" si="8"/>
        <v>8</v>
      </c>
      <c r="J187" s="33">
        <f>IF(Auto_Roster!M187="Y",G187,0)</f>
        <v>8</v>
      </c>
      <c r="K187" s="33">
        <f>IF(Auto_Roster!L187="Y",G187,0)</f>
        <v>0</v>
      </c>
      <c r="L187" s="26" t="str">
        <f>Auto_Roster!K187</f>
        <v>N</v>
      </c>
      <c r="M187" s="34">
        <f>IF(L187="Y",Settings!$B$16,0)</f>
        <v>0</v>
      </c>
      <c r="N187" s="33">
        <f t="shared" si="9"/>
        <v>8</v>
      </c>
      <c r="O187" s="34">
        <f>N187*Settings!$B$17</f>
        <v>0</v>
      </c>
      <c r="P187" s="34">
        <f>IFERROR(VLOOKUP(C187,Employees!$A$4:$E$103,5,FALSE),Settings!$B$18)</f>
        <v>100</v>
      </c>
      <c r="Q187" s="34">
        <f t="shared" si="10"/>
        <v>800</v>
      </c>
      <c r="R187" s="34">
        <f>H187*P187*Settings!$B$13</f>
        <v>0</v>
      </c>
      <c r="S187" s="34">
        <f>J187*P187*(Settings!$B$14-1)</f>
        <v>800</v>
      </c>
      <c r="T187" s="34">
        <f>K187*P187*(Settings!$B$15-1)</f>
        <v>0</v>
      </c>
      <c r="U187" s="34">
        <f t="shared" si="11"/>
        <v>1600</v>
      </c>
      <c r="V187" s="26" t="str">
        <f>Auto_Roster!O187</f>
        <v>Pending</v>
      </c>
      <c r="W187" s="26" t="e">
        <f ca="1">_xludf.TEXTJOIN("; ",TRUE,Auto_Roster!N187,IF(G187&gt;Settings!$B$19,"Approval required &gt; standard hours",""),IF(AND(F187&lt;&gt;"Off",G187=0),"Missing claimed hours",""))</f>
        <v>#NAME?</v>
      </c>
      <c r="X187" s="7"/>
    </row>
    <row r="188" spans="1:24" x14ac:dyDescent="0.35">
      <c r="A188" s="31">
        <f>Auto_Roster!A188</f>
        <v>46152</v>
      </c>
      <c r="B188" s="31">
        <f>Auto_Roster!B188</f>
        <v>46146</v>
      </c>
      <c r="C188" s="26" t="str">
        <f>Auto_Roster!C188</f>
        <v>E005</v>
      </c>
      <c r="D188" s="26" t="str">
        <f>Auto_Roster!D188</f>
        <v>Lesego Aphane</v>
      </c>
      <c r="E188" s="26" t="str">
        <f>Auto_Roster!E188</f>
        <v>A</v>
      </c>
      <c r="F188" s="26" t="str">
        <f>Auto_Roster!G188</f>
        <v>Evening</v>
      </c>
      <c r="G188" s="33">
        <f>Auto_Roster!J188</f>
        <v>8</v>
      </c>
      <c r="H188" s="33">
        <f>IF(G188&gt;Settings!$B$19,G188-Settings!$B$19,0)</f>
        <v>0</v>
      </c>
      <c r="I188" s="33">
        <f t="shared" si="8"/>
        <v>8</v>
      </c>
      <c r="J188" s="33">
        <f>IF(Auto_Roster!M188="Y",G188,0)</f>
        <v>8</v>
      </c>
      <c r="K188" s="33">
        <f>IF(Auto_Roster!L188="Y",G188,0)</f>
        <v>0</v>
      </c>
      <c r="L188" s="26" t="str">
        <f>Auto_Roster!K188</f>
        <v>N</v>
      </c>
      <c r="M188" s="34">
        <f>IF(L188="Y",Settings!$B$16,0)</f>
        <v>0</v>
      </c>
      <c r="N188" s="33">
        <f t="shared" si="9"/>
        <v>0</v>
      </c>
      <c r="O188" s="34">
        <f>N188*Settings!$B$17</f>
        <v>0</v>
      </c>
      <c r="P188" s="34">
        <f>IFERROR(VLOOKUP(C188,Employees!$A$4:$E$103,5,FALSE),Settings!$B$18)</f>
        <v>100</v>
      </c>
      <c r="Q188" s="34">
        <f t="shared" si="10"/>
        <v>800</v>
      </c>
      <c r="R188" s="34">
        <f>H188*P188*Settings!$B$13</f>
        <v>0</v>
      </c>
      <c r="S188" s="34">
        <f>J188*P188*(Settings!$B$14-1)</f>
        <v>800</v>
      </c>
      <c r="T188" s="34">
        <f>K188*P188*(Settings!$B$15-1)</f>
        <v>0</v>
      </c>
      <c r="U188" s="34">
        <f t="shared" si="11"/>
        <v>1600</v>
      </c>
      <c r="V188" s="26" t="str">
        <f>Auto_Roster!O188</f>
        <v>Pending</v>
      </c>
      <c r="W188" s="26" t="e">
        <f ca="1">_xludf.TEXTJOIN("; ",TRUE,Auto_Roster!N188,IF(G188&gt;Settings!$B$19,"Approval required &gt; standard hours",""),IF(AND(F188&lt;&gt;"Off",G188=0),"Missing claimed hours",""))</f>
        <v>#NAME?</v>
      </c>
      <c r="X188" s="7"/>
    </row>
    <row r="189" spans="1:24" x14ac:dyDescent="0.35">
      <c r="A189" s="31">
        <f>Auto_Roster!A189</f>
        <v>46152</v>
      </c>
      <c r="B189" s="31">
        <f>Auto_Roster!B189</f>
        <v>46146</v>
      </c>
      <c r="C189" s="26" t="str">
        <f>Auto_Roster!C189</f>
        <v>E006</v>
      </c>
      <c r="D189" s="26" t="str">
        <f>Auto_Roster!D189</f>
        <v>Nhalnahla</v>
      </c>
      <c r="E189" s="26" t="str">
        <f>Auto_Roster!E189</f>
        <v>B</v>
      </c>
      <c r="F189" s="26" t="str">
        <f>Auto_Roster!G189</f>
        <v>Day</v>
      </c>
      <c r="G189" s="33">
        <f>Auto_Roster!J189</f>
        <v>8</v>
      </c>
      <c r="H189" s="33">
        <f>IF(G189&gt;Settings!$B$19,G189-Settings!$B$19,0)</f>
        <v>0</v>
      </c>
      <c r="I189" s="33">
        <f t="shared" si="8"/>
        <v>8</v>
      </c>
      <c r="J189" s="33">
        <f>IF(Auto_Roster!M189="Y",G189,0)</f>
        <v>8</v>
      </c>
      <c r="K189" s="33">
        <f>IF(Auto_Roster!L189="Y",G189,0)</f>
        <v>0</v>
      </c>
      <c r="L189" s="26" t="str">
        <f>Auto_Roster!K189</f>
        <v>N</v>
      </c>
      <c r="M189" s="34">
        <f>IF(L189="Y",Settings!$B$16,0)</f>
        <v>0</v>
      </c>
      <c r="N189" s="33">
        <f t="shared" si="9"/>
        <v>0</v>
      </c>
      <c r="O189" s="34">
        <f>N189*Settings!$B$17</f>
        <v>0</v>
      </c>
      <c r="P189" s="34">
        <f>IFERROR(VLOOKUP(C189,Employees!$A$4:$E$103,5,FALSE),Settings!$B$18)</f>
        <v>100</v>
      </c>
      <c r="Q189" s="34">
        <f t="shared" si="10"/>
        <v>800</v>
      </c>
      <c r="R189" s="34">
        <f>H189*P189*Settings!$B$13</f>
        <v>0</v>
      </c>
      <c r="S189" s="34">
        <f>J189*P189*(Settings!$B$14-1)</f>
        <v>800</v>
      </c>
      <c r="T189" s="34">
        <f>K189*P189*(Settings!$B$15-1)</f>
        <v>0</v>
      </c>
      <c r="U189" s="34">
        <f t="shared" si="11"/>
        <v>1600</v>
      </c>
      <c r="V189" s="26" t="str">
        <f>Auto_Roster!O189</f>
        <v>Pending</v>
      </c>
      <c r="W189" s="26" t="e">
        <f ca="1">_xludf.TEXTJOIN("; ",TRUE,Auto_Roster!N189,IF(G189&gt;Settings!$B$19,"Approval required &gt; standard hours",""),IF(AND(F189&lt;&gt;"Off",G189=0),"Missing claimed hours",""))</f>
        <v>#NAME?</v>
      </c>
      <c r="X189" s="7"/>
    </row>
    <row r="190" spans="1:24" x14ac:dyDescent="0.35">
      <c r="A190" s="31">
        <f>Auto_Roster!A190</f>
        <v>46152</v>
      </c>
      <c r="B190" s="31">
        <f>Auto_Roster!B190</f>
        <v>46146</v>
      </c>
      <c r="C190" s="26" t="str">
        <f>Auto_Roster!C190</f>
        <v>E007</v>
      </c>
      <c r="D190" s="26" t="str">
        <f>Auto_Roster!D190</f>
        <v>Joe</v>
      </c>
      <c r="E190" s="26" t="str">
        <f>Auto_Roster!E190</f>
        <v>C</v>
      </c>
      <c r="F190" s="26" t="str">
        <f>Auto_Roster!G190</f>
        <v>Off</v>
      </c>
      <c r="G190" s="33">
        <f>Auto_Roster!J190</f>
        <v>0</v>
      </c>
      <c r="H190" s="33">
        <f>IF(G190&gt;Settings!$B$19,G190-Settings!$B$19,0)</f>
        <v>0</v>
      </c>
      <c r="I190" s="33">
        <f t="shared" si="8"/>
        <v>0</v>
      </c>
      <c r="J190" s="33">
        <f>IF(Auto_Roster!M190="Y",G190,0)</f>
        <v>0</v>
      </c>
      <c r="K190" s="33">
        <f>IF(Auto_Roster!L190="Y",G190,0)</f>
        <v>0</v>
      </c>
      <c r="L190" s="26" t="str">
        <f>Auto_Roster!K190</f>
        <v>N</v>
      </c>
      <c r="M190" s="34">
        <f>IF(L190="Y",Settings!$B$16,0)</f>
        <v>0</v>
      </c>
      <c r="N190" s="33">
        <f t="shared" si="9"/>
        <v>0</v>
      </c>
      <c r="O190" s="34">
        <f>N190*Settings!$B$17</f>
        <v>0</v>
      </c>
      <c r="P190" s="34">
        <f>IFERROR(VLOOKUP(C190,Employees!$A$4:$E$103,5,FALSE),Settings!$B$18)</f>
        <v>100</v>
      </c>
      <c r="Q190" s="34">
        <f t="shared" si="10"/>
        <v>0</v>
      </c>
      <c r="R190" s="34">
        <f>H190*P190*Settings!$B$13</f>
        <v>0</v>
      </c>
      <c r="S190" s="34">
        <f>J190*P190*(Settings!$B$14-1)</f>
        <v>0</v>
      </c>
      <c r="T190" s="34">
        <f>K190*P190*(Settings!$B$15-1)</f>
        <v>0</v>
      </c>
      <c r="U190" s="34">
        <f t="shared" si="11"/>
        <v>0</v>
      </c>
      <c r="V190" s="26" t="str">
        <f>Auto_Roster!O190</f>
        <v>Pending</v>
      </c>
      <c r="W190" s="26" t="e">
        <f ca="1">_xludf.TEXTJOIN("; ",TRUE,Auto_Roster!N190,IF(G190&gt;Settings!$B$19,"Approval required &gt; standard hours",""),IF(AND(F190&lt;&gt;"Off",G190=0),"Missing claimed hours",""))</f>
        <v>#NAME?</v>
      </c>
      <c r="X190" s="7"/>
    </row>
    <row r="191" spans="1:24" x14ac:dyDescent="0.35">
      <c r="A191" s="31">
        <f>Auto_Roster!A191</f>
        <v>46152</v>
      </c>
      <c r="B191" s="31">
        <f>Auto_Roster!B191</f>
        <v>46146</v>
      </c>
      <c r="C191" s="26" t="str">
        <f>Auto_Roster!C191</f>
        <v>E008</v>
      </c>
      <c r="D191" s="26" t="str">
        <f>Auto_Roster!D191</f>
        <v>Tim</v>
      </c>
      <c r="E191" s="26" t="str">
        <f>Auto_Roster!E191</f>
        <v>D</v>
      </c>
      <c r="F191" s="26" t="str">
        <f>Auto_Roster!G191</f>
        <v>Night</v>
      </c>
      <c r="G191" s="33">
        <f>Auto_Roster!J191</f>
        <v>8</v>
      </c>
      <c r="H191" s="33">
        <f>IF(G191&gt;Settings!$B$19,G191-Settings!$B$19,0)</f>
        <v>0</v>
      </c>
      <c r="I191" s="33">
        <f t="shared" si="8"/>
        <v>8</v>
      </c>
      <c r="J191" s="33">
        <f>IF(Auto_Roster!M191="Y",G191,0)</f>
        <v>8</v>
      </c>
      <c r="K191" s="33">
        <f>IF(Auto_Roster!L191="Y",G191,0)</f>
        <v>0</v>
      </c>
      <c r="L191" s="26" t="str">
        <f>Auto_Roster!K191</f>
        <v>N</v>
      </c>
      <c r="M191" s="34">
        <f>IF(L191="Y",Settings!$B$16,0)</f>
        <v>0</v>
      </c>
      <c r="N191" s="33">
        <f t="shared" si="9"/>
        <v>8</v>
      </c>
      <c r="O191" s="34">
        <f>N191*Settings!$B$17</f>
        <v>0</v>
      </c>
      <c r="P191" s="34">
        <f>IFERROR(VLOOKUP(C191,Employees!$A$4:$E$103,5,FALSE),Settings!$B$18)</f>
        <v>100</v>
      </c>
      <c r="Q191" s="34">
        <f t="shared" si="10"/>
        <v>800</v>
      </c>
      <c r="R191" s="34">
        <f>H191*P191*Settings!$B$13</f>
        <v>0</v>
      </c>
      <c r="S191" s="34">
        <f>J191*P191*(Settings!$B$14-1)</f>
        <v>800</v>
      </c>
      <c r="T191" s="34">
        <f>K191*P191*(Settings!$B$15-1)</f>
        <v>0</v>
      </c>
      <c r="U191" s="34">
        <f t="shared" si="11"/>
        <v>1600</v>
      </c>
      <c r="V191" s="26" t="str">
        <f>Auto_Roster!O191</f>
        <v>Pending</v>
      </c>
      <c r="W191" s="26" t="e">
        <f ca="1">_xludf.TEXTJOIN("; ",TRUE,Auto_Roster!N191,IF(G191&gt;Settings!$B$19,"Approval required &gt; standard hours",""),IF(AND(F191&lt;&gt;"Off",G191=0),"Missing claimed hours",""))</f>
        <v>#NAME?</v>
      </c>
      <c r="X191" s="7"/>
    </row>
    <row r="192" spans="1:24" x14ac:dyDescent="0.35">
      <c r="A192" s="31">
        <f>Auto_Roster!A192</f>
        <v>46152</v>
      </c>
      <c r="B192" s="31">
        <f>Auto_Roster!B192</f>
        <v>46146</v>
      </c>
      <c r="C192" s="26" t="str">
        <f>Auto_Roster!C192</f>
        <v>E009</v>
      </c>
      <c r="D192" s="26" t="str">
        <f>Auto_Roster!D192</f>
        <v>Frank</v>
      </c>
      <c r="E192" s="26" t="str">
        <f>Auto_Roster!E192</f>
        <v>A</v>
      </c>
      <c r="F192" s="26" t="str">
        <f>Auto_Roster!G192</f>
        <v>Evening</v>
      </c>
      <c r="G192" s="33">
        <f>Auto_Roster!J192</f>
        <v>8</v>
      </c>
      <c r="H192" s="33">
        <f>IF(G192&gt;Settings!$B$19,G192-Settings!$B$19,0)</f>
        <v>0</v>
      </c>
      <c r="I192" s="33">
        <f t="shared" si="8"/>
        <v>8</v>
      </c>
      <c r="J192" s="33">
        <f>IF(Auto_Roster!M192="Y",G192,0)</f>
        <v>8</v>
      </c>
      <c r="K192" s="33">
        <f>IF(Auto_Roster!L192="Y",G192,0)</f>
        <v>0</v>
      </c>
      <c r="L192" s="26" t="str">
        <f>Auto_Roster!K192</f>
        <v>N</v>
      </c>
      <c r="M192" s="34">
        <f>IF(L192="Y",Settings!$B$16,0)</f>
        <v>0</v>
      </c>
      <c r="N192" s="33">
        <f t="shared" si="9"/>
        <v>0</v>
      </c>
      <c r="O192" s="34">
        <f>N192*Settings!$B$17</f>
        <v>0</v>
      </c>
      <c r="P192" s="34">
        <f>IFERROR(VLOOKUP(C192,Employees!$A$4:$E$103,5,FALSE),Settings!$B$18)</f>
        <v>100</v>
      </c>
      <c r="Q192" s="34">
        <f t="shared" si="10"/>
        <v>800</v>
      </c>
      <c r="R192" s="34">
        <f>H192*P192*Settings!$B$13</f>
        <v>0</v>
      </c>
      <c r="S192" s="34">
        <f>J192*P192*(Settings!$B$14-1)</f>
        <v>800</v>
      </c>
      <c r="T192" s="34">
        <f>K192*P192*(Settings!$B$15-1)</f>
        <v>0</v>
      </c>
      <c r="U192" s="34">
        <f t="shared" si="11"/>
        <v>1600</v>
      </c>
      <c r="V192" s="26" t="str">
        <f>Auto_Roster!O192</f>
        <v>Pending</v>
      </c>
      <c r="W192" s="26" t="e">
        <f ca="1">_xludf.TEXTJOIN("; ",TRUE,Auto_Roster!N192,IF(G192&gt;Settings!$B$19,"Approval required &gt; standard hours",""),IF(AND(F192&lt;&gt;"Off",G192=0),"Missing claimed hours",""))</f>
        <v>#NAME?</v>
      </c>
      <c r="X192" s="7"/>
    </row>
    <row r="193" spans="1:24" x14ac:dyDescent="0.35">
      <c r="A193" s="31">
        <f>Auto_Roster!A193</f>
        <v>46152</v>
      </c>
      <c r="B193" s="31">
        <f>Auto_Roster!B193</f>
        <v>46146</v>
      </c>
      <c r="C193" s="26" t="str">
        <f>Auto_Roster!C193</f>
        <v/>
      </c>
      <c r="D193" s="26" t="str">
        <f>Auto_Roster!D193</f>
        <v/>
      </c>
      <c r="E193" s="26" t="str">
        <f>Auto_Roster!E193</f>
        <v/>
      </c>
      <c r="F193" s="26" t="str">
        <f>Auto_Roster!G193</f>
        <v/>
      </c>
      <c r="G193" s="33">
        <f>Auto_Roster!J193</f>
        <v>0</v>
      </c>
      <c r="H193" s="33">
        <f>IF(G193&gt;Settings!$B$19,G193-Settings!$B$19,0)</f>
        <v>0</v>
      </c>
      <c r="I193" s="33">
        <f t="shared" si="8"/>
        <v>0</v>
      </c>
      <c r="J193" s="33">
        <f>IF(Auto_Roster!M193="Y",G193,0)</f>
        <v>0</v>
      </c>
      <c r="K193" s="33">
        <f>IF(Auto_Roster!L193="Y",G193,0)</f>
        <v>0</v>
      </c>
      <c r="L193" s="26" t="str">
        <f>Auto_Roster!K193</f>
        <v>N</v>
      </c>
      <c r="M193" s="34">
        <f>IF(L193="Y",Settings!$B$16,0)</f>
        <v>0</v>
      </c>
      <c r="N193" s="33">
        <f t="shared" si="9"/>
        <v>0</v>
      </c>
      <c r="O193" s="34">
        <f>N193*Settings!$B$17</f>
        <v>0</v>
      </c>
      <c r="P193" s="34">
        <f>IFERROR(VLOOKUP(C193,Employees!$A$4:$E$103,5,FALSE),Settings!$B$18)</f>
        <v>100</v>
      </c>
      <c r="Q193" s="34">
        <f t="shared" si="10"/>
        <v>0</v>
      </c>
      <c r="R193" s="34">
        <f>H193*P193*Settings!$B$13</f>
        <v>0</v>
      </c>
      <c r="S193" s="34">
        <f>J193*P193*(Settings!$B$14-1)</f>
        <v>0</v>
      </c>
      <c r="T193" s="34">
        <f>K193*P193*(Settings!$B$15-1)</f>
        <v>0</v>
      </c>
      <c r="U193" s="34">
        <f t="shared" si="11"/>
        <v>0</v>
      </c>
      <c r="V193" s="26" t="str">
        <f>Auto_Roster!O193</f>
        <v>Pending</v>
      </c>
      <c r="W193" s="26" t="e">
        <f ca="1">_xludf.TEXTJOIN("; ",TRUE,Auto_Roster!N193,IF(G193&gt;Settings!$B$19,"Approval required &gt; standard hours",""),IF(AND(F193&lt;&gt;"Off",G193=0),"Missing claimed hours",""))</f>
        <v>#NAME?</v>
      </c>
      <c r="X193" s="7"/>
    </row>
    <row r="194" spans="1:24" x14ac:dyDescent="0.35">
      <c r="A194" s="31">
        <f>Auto_Roster!A194</f>
        <v>46152</v>
      </c>
      <c r="B194" s="31">
        <f>Auto_Roster!B194</f>
        <v>46146</v>
      </c>
      <c r="C194" s="26" t="str">
        <f>Auto_Roster!C194</f>
        <v/>
      </c>
      <c r="D194" s="26" t="str">
        <f>Auto_Roster!D194</f>
        <v/>
      </c>
      <c r="E194" s="26" t="str">
        <f>Auto_Roster!E194</f>
        <v/>
      </c>
      <c r="F194" s="26" t="str">
        <f>Auto_Roster!G194</f>
        <v/>
      </c>
      <c r="G194" s="33">
        <f>Auto_Roster!J194</f>
        <v>0</v>
      </c>
      <c r="H194" s="33">
        <f>IF(G194&gt;Settings!$B$19,G194-Settings!$B$19,0)</f>
        <v>0</v>
      </c>
      <c r="I194" s="33">
        <f t="shared" si="8"/>
        <v>0</v>
      </c>
      <c r="J194" s="33">
        <f>IF(Auto_Roster!M194="Y",G194,0)</f>
        <v>0</v>
      </c>
      <c r="K194" s="33">
        <f>IF(Auto_Roster!L194="Y",G194,0)</f>
        <v>0</v>
      </c>
      <c r="L194" s="26" t="str">
        <f>Auto_Roster!K194</f>
        <v>N</v>
      </c>
      <c r="M194" s="34">
        <f>IF(L194="Y",Settings!$B$16,0)</f>
        <v>0</v>
      </c>
      <c r="N194" s="33">
        <f t="shared" si="9"/>
        <v>0</v>
      </c>
      <c r="O194" s="34">
        <f>N194*Settings!$B$17</f>
        <v>0</v>
      </c>
      <c r="P194" s="34">
        <f>IFERROR(VLOOKUP(C194,Employees!$A$4:$E$103,5,FALSE),Settings!$B$18)</f>
        <v>100</v>
      </c>
      <c r="Q194" s="34">
        <f t="shared" si="10"/>
        <v>0</v>
      </c>
      <c r="R194" s="34">
        <f>H194*P194*Settings!$B$13</f>
        <v>0</v>
      </c>
      <c r="S194" s="34">
        <f>J194*P194*(Settings!$B$14-1)</f>
        <v>0</v>
      </c>
      <c r="T194" s="34">
        <f>K194*P194*(Settings!$B$15-1)</f>
        <v>0</v>
      </c>
      <c r="U194" s="34">
        <f t="shared" si="11"/>
        <v>0</v>
      </c>
      <c r="V194" s="26" t="str">
        <f>Auto_Roster!O194</f>
        <v>Pending</v>
      </c>
      <c r="W194" s="26" t="e">
        <f ca="1">_xludf.TEXTJOIN("; ",TRUE,Auto_Roster!N194,IF(G194&gt;Settings!$B$19,"Approval required &gt; standard hours",""),IF(AND(F194&lt;&gt;"Off",G194=0),"Missing claimed hours",""))</f>
        <v>#NAME?</v>
      </c>
      <c r="X194" s="7"/>
    </row>
    <row r="195" spans="1:24" x14ac:dyDescent="0.35">
      <c r="A195" s="31">
        <f>Auto_Roster!A195</f>
        <v>46152</v>
      </c>
      <c r="B195" s="31">
        <f>Auto_Roster!B195</f>
        <v>46146</v>
      </c>
      <c r="C195" s="26" t="str">
        <f>Auto_Roster!C195</f>
        <v/>
      </c>
      <c r="D195" s="26" t="str">
        <f>Auto_Roster!D195</f>
        <v/>
      </c>
      <c r="E195" s="26" t="str">
        <f>Auto_Roster!E195</f>
        <v/>
      </c>
      <c r="F195" s="26" t="str">
        <f>Auto_Roster!G195</f>
        <v/>
      </c>
      <c r="G195" s="33">
        <f>Auto_Roster!J195</f>
        <v>0</v>
      </c>
      <c r="H195" s="33">
        <f>IF(G195&gt;Settings!$B$19,G195-Settings!$B$19,0)</f>
        <v>0</v>
      </c>
      <c r="I195" s="33">
        <f t="shared" si="8"/>
        <v>0</v>
      </c>
      <c r="J195" s="33">
        <f>IF(Auto_Roster!M195="Y",G195,0)</f>
        <v>0</v>
      </c>
      <c r="K195" s="33">
        <f>IF(Auto_Roster!L195="Y",G195,0)</f>
        <v>0</v>
      </c>
      <c r="L195" s="26" t="str">
        <f>Auto_Roster!K195</f>
        <v>N</v>
      </c>
      <c r="M195" s="34">
        <f>IF(L195="Y",Settings!$B$16,0)</f>
        <v>0</v>
      </c>
      <c r="N195" s="33">
        <f t="shared" si="9"/>
        <v>0</v>
      </c>
      <c r="O195" s="34">
        <f>N195*Settings!$B$17</f>
        <v>0</v>
      </c>
      <c r="P195" s="34">
        <f>IFERROR(VLOOKUP(C195,Employees!$A$4:$E$103,5,FALSE),Settings!$B$18)</f>
        <v>100</v>
      </c>
      <c r="Q195" s="34">
        <f t="shared" si="10"/>
        <v>0</v>
      </c>
      <c r="R195" s="34">
        <f>H195*P195*Settings!$B$13</f>
        <v>0</v>
      </c>
      <c r="S195" s="34">
        <f>J195*P195*(Settings!$B$14-1)</f>
        <v>0</v>
      </c>
      <c r="T195" s="34">
        <f>K195*P195*(Settings!$B$15-1)</f>
        <v>0</v>
      </c>
      <c r="U195" s="34">
        <f t="shared" si="11"/>
        <v>0</v>
      </c>
      <c r="V195" s="26" t="str">
        <f>Auto_Roster!O195</f>
        <v>Pending</v>
      </c>
      <c r="W195" s="26" t="e">
        <f ca="1">_xludf.TEXTJOIN("; ",TRUE,Auto_Roster!N195,IF(G195&gt;Settings!$B$19,"Approval required &gt; standard hours",""),IF(AND(F195&lt;&gt;"Off",G195=0),"Missing claimed hours",""))</f>
        <v>#NAME?</v>
      </c>
      <c r="X195" s="7"/>
    </row>
    <row r="196" spans="1:24" x14ac:dyDescent="0.35">
      <c r="A196" s="31">
        <f>Auto_Roster!A196</f>
        <v>46152</v>
      </c>
      <c r="B196" s="31">
        <f>Auto_Roster!B196</f>
        <v>46146</v>
      </c>
      <c r="C196" s="26" t="str">
        <f>Auto_Roster!C196</f>
        <v/>
      </c>
      <c r="D196" s="26" t="str">
        <f>Auto_Roster!D196</f>
        <v/>
      </c>
      <c r="E196" s="26" t="str">
        <f>Auto_Roster!E196</f>
        <v/>
      </c>
      <c r="F196" s="26" t="str">
        <f>Auto_Roster!G196</f>
        <v/>
      </c>
      <c r="G196" s="33">
        <f>Auto_Roster!J196</f>
        <v>0</v>
      </c>
      <c r="H196" s="33">
        <f>IF(G196&gt;Settings!$B$19,G196-Settings!$B$19,0)</f>
        <v>0</v>
      </c>
      <c r="I196" s="33">
        <f t="shared" ref="I196:I259" si="12">MAX(0,G196-H196)</f>
        <v>0</v>
      </c>
      <c r="J196" s="33">
        <f>IF(Auto_Roster!M196="Y",G196,0)</f>
        <v>0</v>
      </c>
      <c r="K196" s="33">
        <f>IF(Auto_Roster!L196="Y",G196,0)</f>
        <v>0</v>
      </c>
      <c r="L196" s="26" t="str">
        <f>Auto_Roster!K196</f>
        <v>N</v>
      </c>
      <c r="M196" s="34">
        <f>IF(L196="Y",Settings!$B$16,0)</f>
        <v>0</v>
      </c>
      <c r="N196" s="33">
        <f t="shared" ref="N196:N259" si="13">IF(F196="Night",G196,0)</f>
        <v>0</v>
      </c>
      <c r="O196" s="34">
        <f>N196*Settings!$B$17</f>
        <v>0</v>
      </c>
      <c r="P196" s="34">
        <f>IFERROR(VLOOKUP(C196,Employees!$A$4:$E$103,5,FALSE),Settings!$B$18)</f>
        <v>100</v>
      </c>
      <c r="Q196" s="34">
        <f t="shared" ref="Q196:Q259" si="14">I196*P196</f>
        <v>0</v>
      </c>
      <c r="R196" s="34">
        <f>H196*P196*Settings!$B$13</f>
        <v>0</v>
      </c>
      <c r="S196" s="34">
        <f>J196*P196*(Settings!$B$14-1)</f>
        <v>0</v>
      </c>
      <c r="T196" s="34">
        <f>K196*P196*(Settings!$B$15-1)</f>
        <v>0</v>
      </c>
      <c r="U196" s="34">
        <f t="shared" ref="U196:U259" si="15">SUM(Q196:T196)+M196+O196</f>
        <v>0</v>
      </c>
      <c r="V196" s="26" t="str">
        <f>Auto_Roster!O196</f>
        <v>Pending</v>
      </c>
      <c r="W196" s="26" t="e">
        <f ca="1">_xludf.TEXTJOIN("; ",TRUE,Auto_Roster!N196,IF(G196&gt;Settings!$B$19,"Approval required &gt; standard hours",""),IF(AND(F196&lt;&gt;"Off",G196=0),"Missing claimed hours",""))</f>
        <v>#NAME?</v>
      </c>
      <c r="X196" s="7"/>
    </row>
    <row r="197" spans="1:24" x14ac:dyDescent="0.35">
      <c r="A197" s="31">
        <f>Auto_Roster!A197</f>
        <v>46152</v>
      </c>
      <c r="B197" s="31">
        <f>Auto_Roster!B197</f>
        <v>46146</v>
      </c>
      <c r="C197" s="26" t="str">
        <f>Auto_Roster!C197</f>
        <v/>
      </c>
      <c r="D197" s="26" t="str">
        <f>Auto_Roster!D197</f>
        <v/>
      </c>
      <c r="E197" s="26" t="str">
        <f>Auto_Roster!E197</f>
        <v/>
      </c>
      <c r="F197" s="26" t="str">
        <f>Auto_Roster!G197</f>
        <v/>
      </c>
      <c r="G197" s="33">
        <f>Auto_Roster!J197</f>
        <v>0</v>
      </c>
      <c r="H197" s="33">
        <f>IF(G197&gt;Settings!$B$19,G197-Settings!$B$19,0)</f>
        <v>0</v>
      </c>
      <c r="I197" s="33">
        <f t="shared" si="12"/>
        <v>0</v>
      </c>
      <c r="J197" s="33">
        <f>IF(Auto_Roster!M197="Y",G197,0)</f>
        <v>0</v>
      </c>
      <c r="K197" s="33">
        <f>IF(Auto_Roster!L197="Y",G197,0)</f>
        <v>0</v>
      </c>
      <c r="L197" s="26" t="str">
        <f>Auto_Roster!K197</f>
        <v>N</v>
      </c>
      <c r="M197" s="34">
        <f>IF(L197="Y",Settings!$B$16,0)</f>
        <v>0</v>
      </c>
      <c r="N197" s="33">
        <f t="shared" si="13"/>
        <v>0</v>
      </c>
      <c r="O197" s="34">
        <f>N197*Settings!$B$17</f>
        <v>0</v>
      </c>
      <c r="P197" s="34">
        <f>IFERROR(VLOOKUP(C197,Employees!$A$4:$E$103,5,FALSE),Settings!$B$18)</f>
        <v>100</v>
      </c>
      <c r="Q197" s="34">
        <f t="shared" si="14"/>
        <v>0</v>
      </c>
      <c r="R197" s="34">
        <f>H197*P197*Settings!$B$13</f>
        <v>0</v>
      </c>
      <c r="S197" s="34">
        <f>J197*P197*(Settings!$B$14-1)</f>
        <v>0</v>
      </c>
      <c r="T197" s="34">
        <f>K197*P197*(Settings!$B$15-1)</f>
        <v>0</v>
      </c>
      <c r="U197" s="34">
        <f t="shared" si="15"/>
        <v>0</v>
      </c>
      <c r="V197" s="26" t="str">
        <f>Auto_Roster!O197</f>
        <v>Pending</v>
      </c>
      <c r="W197" s="26" t="e">
        <f ca="1">_xludf.TEXTJOIN("; ",TRUE,Auto_Roster!N197,IF(G197&gt;Settings!$B$19,"Approval required &gt; standard hours",""),IF(AND(F197&lt;&gt;"Off",G197=0),"Missing claimed hours",""))</f>
        <v>#NAME?</v>
      </c>
      <c r="X197" s="7"/>
    </row>
    <row r="198" spans="1:24" x14ac:dyDescent="0.35">
      <c r="A198" s="31">
        <f>Auto_Roster!A198</f>
        <v>46152</v>
      </c>
      <c r="B198" s="31">
        <f>Auto_Roster!B198</f>
        <v>46146</v>
      </c>
      <c r="C198" s="26" t="str">
        <f>Auto_Roster!C198</f>
        <v/>
      </c>
      <c r="D198" s="26" t="str">
        <f>Auto_Roster!D198</f>
        <v/>
      </c>
      <c r="E198" s="26" t="str">
        <f>Auto_Roster!E198</f>
        <v/>
      </c>
      <c r="F198" s="26" t="str">
        <f>Auto_Roster!G198</f>
        <v/>
      </c>
      <c r="G198" s="33">
        <f>Auto_Roster!J198</f>
        <v>0</v>
      </c>
      <c r="H198" s="33">
        <f>IF(G198&gt;Settings!$B$19,G198-Settings!$B$19,0)</f>
        <v>0</v>
      </c>
      <c r="I198" s="33">
        <f t="shared" si="12"/>
        <v>0</v>
      </c>
      <c r="J198" s="33">
        <f>IF(Auto_Roster!M198="Y",G198,0)</f>
        <v>0</v>
      </c>
      <c r="K198" s="33">
        <f>IF(Auto_Roster!L198="Y",G198,0)</f>
        <v>0</v>
      </c>
      <c r="L198" s="26" t="str">
        <f>Auto_Roster!K198</f>
        <v>N</v>
      </c>
      <c r="M198" s="34">
        <f>IF(L198="Y",Settings!$B$16,0)</f>
        <v>0</v>
      </c>
      <c r="N198" s="33">
        <f t="shared" si="13"/>
        <v>0</v>
      </c>
      <c r="O198" s="34">
        <f>N198*Settings!$B$17</f>
        <v>0</v>
      </c>
      <c r="P198" s="34">
        <f>IFERROR(VLOOKUP(C198,Employees!$A$4:$E$103,5,FALSE),Settings!$B$18)</f>
        <v>100</v>
      </c>
      <c r="Q198" s="34">
        <f t="shared" si="14"/>
        <v>0</v>
      </c>
      <c r="R198" s="34">
        <f>H198*P198*Settings!$B$13</f>
        <v>0</v>
      </c>
      <c r="S198" s="34">
        <f>J198*P198*(Settings!$B$14-1)</f>
        <v>0</v>
      </c>
      <c r="T198" s="34">
        <f>K198*P198*(Settings!$B$15-1)</f>
        <v>0</v>
      </c>
      <c r="U198" s="34">
        <f t="shared" si="15"/>
        <v>0</v>
      </c>
      <c r="V198" s="26" t="str">
        <f>Auto_Roster!O198</f>
        <v>Pending</v>
      </c>
      <c r="W198" s="26" t="e">
        <f ca="1">_xludf.TEXTJOIN("; ",TRUE,Auto_Roster!N198,IF(G198&gt;Settings!$B$19,"Approval required &gt; standard hours",""),IF(AND(F198&lt;&gt;"Off",G198=0),"Missing claimed hours",""))</f>
        <v>#NAME?</v>
      </c>
      <c r="X198" s="7"/>
    </row>
    <row r="199" spans="1:24" x14ac:dyDescent="0.35">
      <c r="A199" s="31">
        <f>Auto_Roster!A199</f>
        <v>46152</v>
      </c>
      <c r="B199" s="31">
        <f>Auto_Roster!B199</f>
        <v>46146</v>
      </c>
      <c r="C199" s="26" t="str">
        <f>Auto_Roster!C199</f>
        <v/>
      </c>
      <c r="D199" s="26" t="str">
        <f>Auto_Roster!D199</f>
        <v/>
      </c>
      <c r="E199" s="26" t="str">
        <f>Auto_Roster!E199</f>
        <v/>
      </c>
      <c r="F199" s="26" t="str">
        <f>Auto_Roster!G199</f>
        <v/>
      </c>
      <c r="G199" s="33">
        <f>Auto_Roster!J199</f>
        <v>0</v>
      </c>
      <c r="H199" s="33">
        <f>IF(G199&gt;Settings!$B$19,G199-Settings!$B$19,0)</f>
        <v>0</v>
      </c>
      <c r="I199" s="33">
        <f t="shared" si="12"/>
        <v>0</v>
      </c>
      <c r="J199" s="33">
        <f>IF(Auto_Roster!M199="Y",G199,0)</f>
        <v>0</v>
      </c>
      <c r="K199" s="33">
        <f>IF(Auto_Roster!L199="Y",G199,0)</f>
        <v>0</v>
      </c>
      <c r="L199" s="26" t="str">
        <f>Auto_Roster!K199</f>
        <v>N</v>
      </c>
      <c r="M199" s="34">
        <f>IF(L199="Y",Settings!$B$16,0)</f>
        <v>0</v>
      </c>
      <c r="N199" s="33">
        <f t="shared" si="13"/>
        <v>0</v>
      </c>
      <c r="O199" s="34">
        <f>N199*Settings!$B$17</f>
        <v>0</v>
      </c>
      <c r="P199" s="34">
        <f>IFERROR(VLOOKUP(C199,Employees!$A$4:$E$103,5,FALSE),Settings!$B$18)</f>
        <v>100</v>
      </c>
      <c r="Q199" s="34">
        <f t="shared" si="14"/>
        <v>0</v>
      </c>
      <c r="R199" s="34">
        <f>H199*P199*Settings!$B$13</f>
        <v>0</v>
      </c>
      <c r="S199" s="34">
        <f>J199*P199*(Settings!$B$14-1)</f>
        <v>0</v>
      </c>
      <c r="T199" s="34">
        <f>K199*P199*(Settings!$B$15-1)</f>
        <v>0</v>
      </c>
      <c r="U199" s="34">
        <f t="shared" si="15"/>
        <v>0</v>
      </c>
      <c r="V199" s="26" t="str">
        <f>Auto_Roster!O199</f>
        <v>Pending</v>
      </c>
      <c r="W199" s="26" t="e">
        <f ca="1">_xludf.TEXTJOIN("; ",TRUE,Auto_Roster!N199,IF(G199&gt;Settings!$B$19,"Approval required &gt; standard hours",""),IF(AND(F199&lt;&gt;"Off",G199=0),"Missing claimed hours",""))</f>
        <v>#NAME?</v>
      </c>
      <c r="X199" s="7"/>
    </row>
    <row r="200" spans="1:24" x14ac:dyDescent="0.35">
      <c r="A200" s="31">
        <f>Auto_Roster!A200</f>
        <v>46152</v>
      </c>
      <c r="B200" s="31">
        <f>Auto_Roster!B200</f>
        <v>46146</v>
      </c>
      <c r="C200" s="26" t="str">
        <f>Auto_Roster!C200</f>
        <v/>
      </c>
      <c r="D200" s="26" t="str">
        <f>Auto_Roster!D200</f>
        <v/>
      </c>
      <c r="E200" s="26" t="str">
        <f>Auto_Roster!E200</f>
        <v/>
      </c>
      <c r="F200" s="26" t="str">
        <f>Auto_Roster!G200</f>
        <v/>
      </c>
      <c r="G200" s="33">
        <f>Auto_Roster!J200</f>
        <v>0</v>
      </c>
      <c r="H200" s="33">
        <f>IF(G200&gt;Settings!$B$19,G200-Settings!$B$19,0)</f>
        <v>0</v>
      </c>
      <c r="I200" s="33">
        <f t="shared" si="12"/>
        <v>0</v>
      </c>
      <c r="J200" s="33">
        <f>IF(Auto_Roster!M200="Y",G200,0)</f>
        <v>0</v>
      </c>
      <c r="K200" s="33">
        <f>IF(Auto_Roster!L200="Y",G200,0)</f>
        <v>0</v>
      </c>
      <c r="L200" s="26" t="str">
        <f>Auto_Roster!K200</f>
        <v>N</v>
      </c>
      <c r="M200" s="34">
        <f>IF(L200="Y",Settings!$B$16,0)</f>
        <v>0</v>
      </c>
      <c r="N200" s="33">
        <f t="shared" si="13"/>
        <v>0</v>
      </c>
      <c r="O200" s="34">
        <f>N200*Settings!$B$17</f>
        <v>0</v>
      </c>
      <c r="P200" s="34">
        <f>IFERROR(VLOOKUP(C200,Employees!$A$4:$E$103,5,FALSE),Settings!$B$18)</f>
        <v>100</v>
      </c>
      <c r="Q200" s="34">
        <f t="shared" si="14"/>
        <v>0</v>
      </c>
      <c r="R200" s="34">
        <f>H200*P200*Settings!$B$13</f>
        <v>0</v>
      </c>
      <c r="S200" s="34">
        <f>J200*P200*(Settings!$B$14-1)</f>
        <v>0</v>
      </c>
      <c r="T200" s="34">
        <f>K200*P200*(Settings!$B$15-1)</f>
        <v>0</v>
      </c>
      <c r="U200" s="34">
        <f t="shared" si="15"/>
        <v>0</v>
      </c>
      <c r="V200" s="26" t="str">
        <f>Auto_Roster!O200</f>
        <v>Pending</v>
      </c>
      <c r="W200" s="26" t="e">
        <f ca="1">_xludf.TEXTJOIN("; ",TRUE,Auto_Roster!N200,IF(G200&gt;Settings!$B$19,"Approval required &gt; standard hours",""),IF(AND(F200&lt;&gt;"Off",G200=0),"Missing claimed hours",""))</f>
        <v>#NAME?</v>
      </c>
      <c r="X200" s="7"/>
    </row>
    <row r="201" spans="1:24" x14ac:dyDescent="0.35">
      <c r="A201" s="31">
        <f>Auto_Roster!A201</f>
        <v>46152</v>
      </c>
      <c r="B201" s="31">
        <f>Auto_Roster!B201</f>
        <v>46146</v>
      </c>
      <c r="C201" s="26" t="str">
        <f>Auto_Roster!C201</f>
        <v/>
      </c>
      <c r="D201" s="26" t="str">
        <f>Auto_Roster!D201</f>
        <v/>
      </c>
      <c r="E201" s="26" t="str">
        <f>Auto_Roster!E201</f>
        <v/>
      </c>
      <c r="F201" s="26" t="str">
        <f>Auto_Roster!G201</f>
        <v/>
      </c>
      <c r="G201" s="33">
        <f>Auto_Roster!J201</f>
        <v>0</v>
      </c>
      <c r="H201" s="33">
        <f>IF(G201&gt;Settings!$B$19,G201-Settings!$B$19,0)</f>
        <v>0</v>
      </c>
      <c r="I201" s="33">
        <f t="shared" si="12"/>
        <v>0</v>
      </c>
      <c r="J201" s="33">
        <f>IF(Auto_Roster!M201="Y",G201,0)</f>
        <v>0</v>
      </c>
      <c r="K201" s="33">
        <f>IF(Auto_Roster!L201="Y",G201,0)</f>
        <v>0</v>
      </c>
      <c r="L201" s="26" t="str">
        <f>Auto_Roster!K201</f>
        <v>N</v>
      </c>
      <c r="M201" s="34">
        <f>IF(L201="Y",Settings!$B$16,0)</f>
        <v>0</v>
      </c>
      <c r="N201" s="33">
        <f t="shared" si="13"/>
        <v>0</v>
      </c>
      <c r="O201" s="34">
        <f>N201*Settings!$B$17</f>
        <v>0</v>
      </c>
      <c r="P201" s="34">
        <f>IFERROR(VLOOKUP(C201,Employees!$A$4:$E$103,5,FALSE),Settings!$B$18)</f>
        <v>100</v>
      </c>
      <c r="Q201" s="34">
        <f t="shared" si="14"/>
        <v>0</v>
      </c>
      <c r="R201" s="34">
        <f>H201*P201*Settings!$B$13</f>
        <v>0</v>
      </c>
      <c r="S201" s="34">
        <f>J201*P201*(Settings!$B$14-1)</f>
        <v>0</v>
      </c>
      <c r="T201" s="34">
        <f>K201*P201*(Settings!$B$15-1)</f>
        <v>0</v>
      </c>
      <c r="U201" s="34">
        <f t="shared" si="15"/>
        <v>0</v>
      </c>
      <c r="V201" s="26" t="str">
        <f>Auto_Roster!O201</f>
        <v>Pending</v>
      </c>
      <c r="W201" s="26" t="e">
        <f ca="1">_xludf.TEXTJOIN("; ",TRUE,Auto_Roster!N201,IF(G201&gt;Settings!$B$19,"Approval required &gt; standard hours",""),IF(AND(F201&lt;&gt;"Off",G201=0),"Missing claimed hours",""))</f>
        <v>#NAME?</v>
      </c>
      <c r="X201" s="7"/>
    </row>
    <row r="202" spans="1:24" x14ac:dyDescent="0.35">
      <c r="A202" s="31">
        <f>Auto_Roster!A202</f>
        <v>46152</v>
      </c>
      <c r="B202" s="31">
        <f>Auto_Roster!B202</f>
        <v>46146</v>
      </c>
      <c r="C202" s="26" t="str">
        <f>Auto_Roster!C202</f>
        <v/>
      </c>
      <c r="D202" s="26" t="str">
        <f>Auto_Roster!D202</f>
        <v/>
      </c>
      <c r="E202" s="26" t="str">
        <f>Auto_Roster!E202</f>
        <v/>
      </c>
      <c r="F202" s="26" t="str">
        <f>Auto_Roster!G202</f>
        <v/>
      </c>
      <c r="G202" s="33">
        <f>Auto_Roster!J202</f>
        <v>0</v>
      </c>
      <c r="H202" s="33">
        <f>IF(G202&gt;Settings!$B$19,G202-Settings!$B$19,0)</f>
        <v>0</v>
      </c>
      <c r="I202" s="33">
        <f t="shared" si="12"/>
        <v>0</v>
      </c>
      <c r="J202" s="33">
        <f>IF(Auto_Roster!M202="Y",G202,0)</f>
        <v>0</v>
      </c>
      <c r="K202" s="33">
        <f>IF(Auto_Roster!L202="Y",G202,0)</f>
        <v>0</v>
      </c>
      <c r="L202" s="26" t="str">
        <f>Auto_Roster!K202</f>
        <v>N</v>
      </c>
      <c r="M202" s="34">
        <f>IF(L202="Y",Settings!$B$16,0)</f>
        <v>0</v>
      </c>
      <c r="N202" s="33">
        <f t="shared" si="13"/>
        <v>0</v>
      </c>
      <c r="O202" s="34">
        <f>N202*Settings!$B$17</f>
        <v>0</v>
      </c>
      <c r="P202" s="34">
        <f>IFERROR(VLOOKUP(C202,Employees!$A$4:$E$103,5,FALSE),Settings!$B$18)</f>
        <v>100</v>
      </c>
      <c r="Q202" s="34">
        <f t="shared" si="14"/>
        <v>0</v>
      </c>
      <c r="R202" s="34">
        <f>H202*P202*Settings!$B$13</f>
        <v>0</v>
      </c>
      <c r="S202" s="34">
        <f>J202*P202*(Settings!$B$14-1)</f>
        <v>0</v>
      </c>
      <c r="T202" s="34">
        <f>K202*P202*(Settings!$B$15-1)</f>
        <v>0</v>
      </c>
      <c r="U202" s="34">
        <f t="shared" si="15"/>
        <v>0</v>
      </c>
      <c r="V202" s="26" t="str">
        <f>Auto_Roster!O202</f>
        <v>Pending</v>
      </c>
      <c r="W202" s="26" t="e">
        <f ca="1">_xludf.TEXTJOIN("; ",TRUE,Auto_Roster!N202,IF(G202&gt;Settings!$B$19,"Approval required &gt; standard hours",""),IF(AND(F202&lt;&gt;"Off",G202=0),"Missing claimed hours",""))</f>
        <v>#NAME?</v>
      </c>
      <c r="X202" s="7"/>
    </row>
    <row r="203" spans="1:24" x14ac:dyDescent="0.35">
      <c r="A203" s="31">
        <f>Auto_Roster!A203</f>
        <v>46152</v>
      </c>
      <c r="B203" s="31">
        <f>Auto_Roster!B203</f>
        <v>46146</v>
      </c>
      <c r="C203" s="26" t="str">
        <f>Auto_Roster!C203</f>
        <v/>
      </c>
      <c r="D203" s="26" t="str">
        <f>Auto_Roster!D203</f>
        <v/>
      </c>
      <c r="E203" s="26" t="str">
        <f>Auto_Roster!E203</f>
        <v/>
      </c>
      <c r="F203" s="26" t="str">
        <f>Auto_Roster!G203</f>
        <v/>
      </c>
      <c r="G203" s="33">
        <f>Auto_Roster!J203</f>
        <v>0</v>
      </c>
      <c r="H203" s="33">
        <f>IF(G203&gt;Settings!$B$19,G203-Settings!$B$19,0)</f>
        <v>0</v>
      </c>
      <c r="I203" s="33">
        <f t="shared" si="12"/>
        <v>0</v>
      </c>
      <c r="J203" s="33">
        <f>IF(Auto_Roster!M203="Y",G203,0)</f>
        <v>0</v>
      </c>
      <c r="K203" s="33">
        <f>IF(Auto_Roster!L203="Y",G203,0)</f>
        <v>0</v>
      </c>
      <c r="L203" s="26" t="str">
        <f>Auto_Roster!K203</f>
        <v>N</v>
      </c>
      <c r="M203" s="34">
        <f>IF(L203="Y",Settings!$B$16,0)</f>
        <v>0</v>
      </c>
      <c r="N203" s="33">
        <f t="shared" si="13"/>
        <v>0</v>
      </c>
      <c r="O203" s="34">
        <f>N203*Settings!$B$17</f>
        <v>0</v>
      </c>
      <c r="P203" s="34">
        <f>IFERROR(VLOOKUP(C203,Employees!$A$4:$E$103,5,FALSE),Settings!$B$18)</f>
        <v>100</v>
      </c>
      <c r="Q203" s="34">
        <f t="shared" si="14"/>
        <v>0</v>
      </c>
      <c r="R203" s="34">
        <f>H203*P203*Settings!$B$13</f>
        <v>0</v>
      </c>
      <c r="S203" s="34">
        <f>J203*P203*(Settings!$B$14-1)</f>
        <v>0</v>
      </c>
      <c r="T203" s="34">
        <f>K203*P203*(Settings!$B$15-1)</f>
        <v>0</v>
      </c>
      <c r="U203" s="34">
        <f t="shared" si="15"/>
        <v>0</v>
      </c>
      <c r="V203" s="26" t="str">
        <f>Auto_Roster!O203</f>
        <v>Pending</v>
      </c>
      <c r="W203" s="26" t="e">
        <f ca="1">_xludf.TEXTJOIN("; ",TRUE,Auto_Roster!N203,IF(G203&gt;Settings!$B$19,"Approval required &gt; standard hours",""),IF(AND(F203&lt;&gt;"Off",G203=0),"Missing claimed hours",""))</f>
        <v>#NAME?</v>
      </c>
      <c r="X203" s="7"/>
    </row>
    <row r="204" spans="1:24" x14ac:dyDescent="0.35">
      <c r="A204" s="31">
        <f>Auto_Roster!A204</f>
        <v>46153</v>
      </c>
      <c r="B204" s="31">
        <f>Auto_Roster!B204</f>
        <v>46153</v>
      </c>
      <c r="C204" s="26" t="str">
        <f>Auto_Roster!C204</f>
        <v>E001</v>
      </c>
      <c r="D204" s="26" t="str">
        <f>Auto_Roster!D204</f>
        <v>Musiwa Khavalani</v>
      </c>
      <c r="E204" s="26">
        <f>Auto_Roster!E204</f>
        <v>0</v>
      </c>
      <c r="F204" s="26" t="e">
        <f>Auto_Roster!G204</f>
        <v>#N/A</v>
      </c>
      <c r="G204" s="33" t="e">
        <f>Auto_Roster!J204</f>
        <v>#N/A</v>
      </c>
      <c r="H204" s="33" t="e">
        <f>IF(G204&gt;Settings!$B$19,G204-Settings!$B$19,0)</f>
        <v>#N/A</v>
      </c>
      <c r="I204" s="33" t="e">
        <f t="shared" si="12"/>
        <v>#N/A</v>
      </c>
      <c r="J204" s="33">
        <f>IF(Auto_Roster!M204="Y",G204,0)</f>
        <v>0</v>
      </c>
      <c r="K204" s="33">
        <f>IF(Auto_Roster!L204="Y",G204,0)</f>
        <v>0</v>
      </c>
      <c r="L204" s="26" t="str">
        <f>Auto_Roster!K204</f>
        <v>N</v>
      </c>
      <c r="M204" s="34">
        <f>IF(L204="Y",Settings!$B$16,0)</f>
        <v>0</v>
      </c>
      <c r="N204" s="33" t="e">
        <f t="shared" si="13"/>
        <v>#N/A</v>
      </c>
      <c r="O204" s="34" t="e">
        <f>N204*Settings!$B$17</f>
        <v>#N/A</v>
      </c>
      <c r="P204" s="34">
        <f>IFERROR(VLOOKUP(C204,Employees!$A$4:$E$103,5,FALSE),Settings!$B$18)</f>
        <v>100</v>
      </c>
      <c r="Q204" s="34" t="e">
        <f t="shared" si="14"/>
        <v>#N/A</v>
      </c>
      <c r="R204" s="34" t="e">
        <f>H204*P204*Settings!$B$13</f>
        <v>#N/A</v>
      </c>
      <c r="S204" s="34">
        <f>J204*P204*(Settings!$B$14-1)</f>
        <v>0</v>
      </c>
      <c r="T204" s="34">
        <f>K204*P204*(Settings!$B$15-1)</f>
        <v>0</v>
      </c>
      <c r="U204" s="34" t="e">
        <f t="shared" si="15"/>
        <v>#N/A</v>
      </c>
      <c r="V204" s="26" t="str">
        <f>Auto_Roster!O204</f>
        <v>Pending</v>
      </c>
      <c r="W204" s="26" t="e">
        <f ca="1">_xludf.TEXTJOIN("; ",TRUE,Auto_Roster!N204,IF(G204&gt;Settings!$B$19,"Approval required &gt; standard hours",""),IF(AND(F204&lt;&gt;"Off",G204=0),"Missing claimed hours",""))</f>
        <v>#NAME?</v>
      </c>
      <c r="X204" s="7"/>
    </row>
    <row r="205" spans="1:24" x14ac:dyDescent="0.35">
      <c r="A205" s="31">
        <f>Auto_Roster!A205</f>
        <v>46153</v>
      </c>
      <c r="B205" s="31">
        <f>Auto_Roster!B205</f>
        <v>46153</v>
      </c>
      <c r="C205" s="26" t="str">
        <f>Auto_Roster!C205</f>
        <v>E002</v>
      </c>
      <c r="D205" s="26" t="str">
        <f>Auto_Roster!D205</f>
        <v>Mpho  Nembemhia</v>
      </c>
      <c r="E205" s="26" t="str">
        <f>Auto_Roster!E205</f>
        <v>B</v>
      </c>
      <c r="F205" s="26" t="str">
        <f>Auto_Roster!G205</f>
        <v>Evening</v>
      </c>
      <c r="G205" s="33">
        <f>Auto_Roster!J205</f>
        <v>8</v>
      </c>
      <c r="H205" s="33">
        <f>IF(G205&gt;Settings!$B$19,G205-Settings!$B$19,0)</f>
        <v>0</v>
      </c>
      <c r="I205" s="33">
        <f t="shared" si="12"/>
        <v>8</v>
      </c>
      <c r="J205" s="33">
        <f>IF(Auto_Roster!M205="Y",G205,0)</f>
        <v>0</v>
      </c>
      <c r="K205" s="33">
        <f>IF(Auto_Roster!L205="Y",G205,0)</f>
        <v>0</v>
      </c>
      <c r="L205" s="26" t="str">
        <f>Auto_Roster!K205</f>
        <v>N</v>
      </c>
      <c r="M205" s="34">
        <f>IF(L205="Y",Settings!$B$16,0)</f>
        <v>0</v>
      </c>
      <c r="N205" s="33">
        <f t="shared" si="13"/>
        <v>0</v>
      </c>
      <c r="O205" s="34">
        <f>N205*Settings!$B$17</f>
        <v>0</v>
      </c>
      <c r="P205" s="34">
        <f>IFERROR(VLOOKUP(C205,Employees!$A$4:$E$103,5,FALSE),Settings!$B$18)</f>
        <v>100</v>
      </c>
      <c r="Q205" s="34">
        <f t="shared" si="14"/>
        <v>800</v>
      </c>
      <c r="R205" s="34">
        <f>H205*P205*Settings!$B$13</f>
        <v>0</v>
      </c>
      <c r="S205" s="34">
        <f>J205*P205*(Settings!$B$14-1)</f>
        <v>0</v>
      </c>
      <c r="T205" s="34">
        <f>K205*P205*(Settings!$B$15-1)</f>
        <v>0</v>
      </c>
      <c r="U205" s="34">
        <f t="shared" si="15"/>
        <v>800</v>
      </c>
      <c r="V205" s="26" t="str">
        <f>Auto_Roster!O205</f>
        <v>Pending</v>
      </c>
      <c r="W205" s="26" t="e">
        <f ca="1">_xludf.TEXTJOIN("; ",TRUE,Auto_Roster!N205,IF(G205&gt;Settings!$B$19,"Approval required &gt; standard hours",""),IF(AND(F205&lt;&gt;"Off",G205=0),"Missing claimed hours",""))</f>
        <v>#NAME?</v>
      </c>
      <c r="X205" s="7"/>
    </row>
    <row r="206" spans="1:24" x14ac:dyDescent="0.35">
      <c r="A206" s="31">
        <f>Auto_Roster!A206</f>
        <v>46153</v>
      </c>
      <c r="B206" s="31">
        <f>Auto_Roster!B206</f>
        <v>46153</v>
      </c>
      <c r="C206" s="26" t="str">
        <f>Auto_Roster!C206</f>
        <v>E003</v>
      </c>
      <c r="D206" s="26" t="str">
        <f>Auto_Roster!D206</f>
        <v>Dimpho Makhafola</v>
      </c>
      <c r="E206" s="26" t="str">
        <f>Auto_Roster!E206</f>
        <v>C</v>
      </c>
      <c r="F206" s="26" t="str">
        <f>Auto_Roster!G206</f>
        <v>Day</v>
      </c>
      <c r="G206" s="33">
        <f>Auto_Roster!J206</f>
        <v>8</v>
      </c>
      <c r="H206" s="33">
        <f>IF(G206&gt;Settings!$B$19,G206-Settings!$B$19,0)</f>
        <v>0</v>
      </c>
      <c r="I206" s="33">
        <f t="shared" si="12"/>
        <v>8</v>
      </c>
      <c r="J206" s="33">
        <f>IF(Auto_Roster!M206="Y",G206,0)</f>
        <v>0</v>
      </c>
      <c r="K206" s="33">
        <f>IF(Auto_Roster!L206="Y",G206,0)</f>
        <v>0</v>
      </c>
      <c r="L206" s="26" t="str">
        <f>Auto_Roster!K206</f>
        <v>N</v>
      </c>
      <c r="M206" s="34">
        <f>IF(L206="Y",Settings!$B$16,0)</f>
        <v>0</v>
      </c>
      <c r="N206" s="33">
        <f t="shared" si="13"/>
        <v>0</v>
      </c>
      <c r="O206" s="34">
        <f>N206*Settings!$B$17</f>
        <v>0</v>
      </c>
      <c r="P206" s="34">
        <f>IFERROR(VLOOKUP(C206,Employees!$A$4:$E$103,5,FALSE),Settings!$B$18)</f>
        <v>100</v>
      </c>
      <c r="Q206" s="34">
        <f t="shared" si="14"/>
        <v>800</v>
      </c>
      <c r="R206" s="34">
        <f>H206*P206*Settings!$B$13</f>
        <v>0</v>
      </c>
      <c r="S206" s="34">
        <f>J206*P206*(Settings!$B$14-1)</f>
        <v>0</v>
      </c>
      <c r="T206" s="34">
        <f>K206*P206*(Settings!$B$15-1)</f>
        <v>0</v>
      </c>
      <c r="U206" s="34">
        <f t="shared" si="15"/>
        <v>800</v>
      </c>
      <c r="V206" s="26" t="str">
        <f>Auto_Roster!O206</f>
        <v>Pending</v>
      </c>
      <c r="W206" s="26" t="e">
        <f ca="1">_xludf.TEXTJOIN("; ",TRUE,Auto_Roster!N206,IF(G206&gt;Settings!$B$19,"Approval required &gt; standard hours",""),IF(AND(F206&lt;&gt;"Off",G206=0),"Missing claimed hours",""))</f>
        <v>#NAME?</v>
      </c>
      <c r="X206" s="7"/>
    </row>
    <row r="207" spans="1:24" x14ac:dyDescent="0.35">
      <c r="A207" s="31">
        <f>Auto_Roster!A207</f>
        <v>46153</v>
      </c>
      <c r="B207" s="31">
        <f>Auto_Roster!B207</f>
        <v>46153</v>
      </c>
      <c r="C207" s="26" t="str">
        <f>Auto_Roster!C207</f>
        <v>E004</v>
      </c>
      <c r="D207" s="26" t="str">
        <f>Auto_Roster!D207</f>
        <v>Bashii Fall</v>
      </c>
      <c r="E207" s="26" t="str">
        <f>Auto_Roster!E207</f>
        <v>D</v>
      </c>
      <c r="F207" s="26" t="str">
        <f>Auto_Roster!G207</f>
        <v>Off</v>
      </c>
      <c r="G207" s="33">
        <f>Auto_Roster!J207</f>
        <v>0</v>
      </c>
      <c r="H207" s="33">
        <f>IF(G207&gt;Settings!$B$19,G207-Settings!$B$19,0)</f>
        <v>0</v>
      </c>
      <c r="I207" s="33">
        <f t="shared" si="12"/>
        <v>0</v>
      </c>
      <c r="J207" s="33">
        <f>IF(Auto_Roster!M207="Y",G207,0)</f>
        <v>0</v>
      </c>
      <c r="K207" s="33">
        <f>IF(Auto_Roster!L207="Y",G207,0)</f>
        <v>0</v>
      </c>
      <c r="L207" s="26" t="str">
        <f>Auto_Roster!K207</f>
        <v>N</v>
      </c>
      <c r="M207" s="34">
        <f>IF(L207="Y",Settings!$B$16,0)</f>
        <v>0</v>
      </c>
      <c r="N207" s="33">
        <f t="shared" si="13"/>
        <v>0</v>
      </c>
      <c r="O207" s="34">
        <f>N207*Settings!$B$17</f>
        <v>0</v>
      </c>
      <c r="P207" s="34">
        <f>IFERROR(VLOOKUP(C207,Employees!$A$4:$E$103,5,FALSE),Settings!$B$18)</f>
        <v>100</v>
      </c>
      <c r="Q207" s="34">
        <f t="shared" si="14"/>
        <v>0</v>
      </c>
      <c r="R207" s="34">
        <f>H207*P207*Settings!$B$13</f>
        <v>0</v>
      </c>
      <c r="S207" s="34">
        <f>J207*P207*(Settings!$B$14-1)</f>
        <v>0</v>
      </c>
      <c r="T207" s="34">
        <f>K207*P207*(Settings!$B$15-1)</f>
        <v>0</v>
      </c>
      <c r="U207" s="34">
        <f t="shared" si="15"/>
        <v>0</v>
      </c>
      <c r="V207" s="26" t="str">
        <f>Auto_Roster!O207</f>
        <v>Pending</v>
      </c>
      <c r="W207" s="26" t="e">
        <f ca="1">_xludf.TEXTJOIN("; ",TRUE,Auto_Roster!N207,IF(G207&gt;Settings!$B$19,"Approval required &gt; standard hours",""),IF(AND(F207&lt;&gt;"Off",G207=0),"Missing claimed hours",""))</f>
        <v>#NAME?</v>
      </c>
      <c r="X207" s="7"/>
    </row>
    <row r="208" spans="1:24" x14ac:dyDescent="0.35">
      <c r="A208" s="31">
        <f>Auto_Roster!A208</f>
        <v>46153</v>
      </c>
      <c r="B208" s="31">
        <f>Auto_Roster!B208</f>
        <v>46153</v>
      </c>
      <c r="C208" s="26" t="str">
        <f>Auto_Roster!C208</f>
        <v>E005</v>
      </c>
      <c r="D208" s="26" t="str">
        <f>Auto_Roster!D208</f>
        <v>Lesego Aphane</v>
      </c>
      <c r="E208" s="26" t="str">
        <f>Auto_Roster!E208</f>
        <v>A</v>
      </c>
      <c r="F208" s="26" t="str">
        <f>Auto_Roster!G208</f>
        <v>Night</v>
      </c>
      <c r="G208" s="33">
        <f>Auto_Roster!J208</f>
        <v>8</v>
      </c>
      <c r="H208" s="33">
        <f>IF(G208&gt;Settings!$B$19,G208-Settings!$B$19,0)</f>
        <v>0</v>
      </c>
      <c r="I208" s="33">
        <f t="shared" si="12"/>
        <v>8</v>
      </c>
      <c r="J208" s="33">
        <f>IF(Auto_Roster!M208="Y",G208,0)</f>
        <v>0</v>
      </c>
      <c r="K208" s="33">
        <f>IF(Auto_Roster!L208="Y",G208,0)</f>
        <v>0</v>
      </c>
      <c r="L208" s="26" t="str">
        <f>Auto_Roster!K208</f>
        <v>N</v>
      </c>
      <c r="M208" s="34">
        <f>IF(L208="Y",Settings!$B$16,0)</f>
        <v>0</v>
      </c>
      <c r="N208" s="33">
        <f t="shared" si="13"/>
        <v>8</v>
      </c>
      <c r="O208" s="34">
        <f>N208*Settings!$B$17</f>
        <v>0</v>
      </c>
      <c r="P208" s="34">
        <f>IFERROR(VLOOKUP(C208,Employees!$A$4:$E$103,5,FALSE),Settings!$B$18)</f>
        <v>100</v>
      </c>
      <c r="Q208" s="34">
        <f t="shared" si="14"/>
        <v>800</v>
      </c>
      <c r="R208" s="34">
        <f>H208*P208*Settings!$B$13</f>
        <v>0</v>
      </c>
      <c r="S208" s="34">
        <f>J208*P208*(Settings!$B$14-1)</f>
        <v>0</v>
      </c>
      <c r="T208" s="34">
        <f>K208*P208*(Settings!$B$15-1)</f>
        <v>0</v>
      </c>
      <c r="U208" s="34">
        <f t="shared" si="15"/>
        <v>800</v>
      </c>
      <c r="V208" s="26" t="str">
        <f>Auto_Roster!O208</f>
        <v>Pending</v>
      </c>
      <c r="W208" s="26" t="e">
        <f ca="1">_xludf.TEXTJOIN("; ",TRUE,Auto_Roster!N208,IF(G208&gt;Settings!$B$19,"Approval required &gt; standard hours",""),IF(AND(F208&lt;&gt;"Off",G208=0),"Missing claimed hours",""))</f>
        <v>#NAME?</v>
      </c>
      <c r="X208" s="7"/>
    </row>
    <row r="209" spans="1:24" x14ac:dyDescent="0.35">
      <c r="A209" s="31">
        <f>Auto_Roster!A209</f>
        <v>46153</v>
      </c>
      <c r="B209" s="31">
        <f>Auto_Roster!B209</f>
        <v>46153</v>
      </c>
      <c r="C209" s="26" t="str">
        <f>Auto_Roster!C209</f>
        <v>E006</v>
      </c>
      <c r="D209" s="26" t="str">
        <f>Auto_Roster!D209</f>
        <v>Nhalnahla</v>
      </c>
      <c r="E209" s="26" t="str">
        <f>Auto_Roster!E209</f>
        <v>B</v>
      </c>
      <c r="F209" s="26" t="str">
        <f>Auto_Roster!G209</f>
        <v>Evening</v>
      </c>
      <c r="G209" s="33">
        <f>Auto_Roster!J209</f>
        <v>8</v>
      </c>
      <c r="H209" s="33">
        <f>IF(G209&gt;Settings!$B$19,G209-Settings!$B$19,0)</f>
        <v>0</v>
      </c>
      <c r="I209" s="33">
        <f t="shared" si="12"/>
        <v>8</v>
      </c>
      <c r="J209" s="33">
        <f>IF(Auto_Roster!M209="Y",G209,0)</f>
        <v>0</v>
      </c>
      <c r="K209" s="33">
        <f>IF(Auto_Roster!L209="Y",G209,0)</f>
        <v>0</v>
      </c>
      <c r="L209" s="26" t="str">
        <f>Auto_Roster!K209</f>
        <v>N</v>
      </c>
      <c r="M209" s="34">
        <f>IF(L209="Y",Settings!$B$16,0)</f>
        <v>0</v>
      </c>
      <c r="N209" s="33">
        <f t="shared" si="13"/>
        <v>0</v>
      </c>
      <c r="O209" s="34">
        <f>N209*Settings!$B$17</f>
        <v>0</v>
      </c>
      <c r="P209" s="34">
        <f>IFERROR(VLOOKUP(C209,Employees!$A$4:$E$103,5,FALSE),Settings!$B$18)</f>
        <v>100</v>
      </c>
      <c r="Q209" s="34">
        <f t="shared" si="14"/>
        <v>800</v>
      </c>
      <c r="R209" s="34">
        <f>H209*P209*Settings!$B$13</f>
        <v>0</v>
      </c>
      <c r="S209" s="34">
        <f>J209*P209*(Settings!$B$14-1)</f>
        <v>0</v>
      </c>
      <c r="T209" s="34">
        <f>K209*P209*(Settings!$B$15-1)</f>
        <v>0</v>
      </c>
      <c r="U209" s="34">
        <f t="shared" si="15"/>
        <v>800</v>
      </c>
      <c r="V209" s="26" t="str">
        <f>Auto_Roster!O209</f>
        <v>Pending</v>
      </c>
      <c r="W209" s="26" t="e">
        <f ca="1">_xludf.TEXTJOIN("; ",TRUE,Auto_Roster!N209,IF(G209&gt;Settings!$B$19,"Approval required &gt; standard hours",""),IF(AND(F209&lt;&gt;"Off",G209=0),"Missing claimed hours",""))</f>
        <v>#NAME?</v>
      </c>
      <c r="X209" s="7"/>
    </row>
    <row r="210" spans="1:24" x14ac:dyDescent="0.35">
      <c r="A210" s="31">
        <f>Auto_Roster!A210</f>
        <v>46153</v>
      </c>
      <c r="B210" s="31">
        <f>Auto_Roster!B210</f>
        <v>46153</v>
      </c>
      <c r="C210" s="26" t="str">
        <f>Auto_Roster!C210</f>
        <v>E007</v>
      </c>
      <c r="D210" s="26" t="str">
        <f>Auto_Roster!D210</f>
        <v>Joe</v>
      </c>
      <c r="E210" s="26" t="str">
        <f>Auto_Roster!E210</f>
        <v>C</v>
      </c>
      <c r="F210" s="26" t="str">
        <f>Auto_Roster!G210</f>
        <v>Day</v>
      </c>
      <c r="G210" s="33">
        <f>Auto_Roster!J210</f>
        <v>8</v>
      </c>
      <c r="H210" s="33">
        <f>IF(G210&gt;Settings!$B$19,G210-Settings!$B$19,0)</f>
        <v>0</v>
      </c>
      <c r="I210" s="33">
        <f t="shared" si="12"/>
        <v>8</v>
      </c>
      <c r="J210" s="33">
        <f>IF(Auto_Roster!M210="Y",G210,0)</f>
        <v>0</v>
      </c>
      <c r="K210" s="33">
        <f>IF(Auto_Roster!L210="Y",G210,0)</f>
        <v>0</v>
      </c>
      <c r="L210" s="26" t="str">
        <f>Auto_Roster!K210</f>
        <v>N</v>
      </c>
      <c r="M210" s="34">
        <f>IF(L210="Y",Settings!$B$16,0)</f>
        <v>0</v>
      </c>
      <c r="N210" s="33">
        <f t="shared" si="13"/>
        <v>0</v>
      </c>
      <c r="O210" s="34">
        <f>N210*Settings!$B$17</f>
        <v>0</v>
      </c>
      <c r="P210" s="34">
        <f>IFERROR(VLOOKUP(C210,Employees!$A$4:$E$103,5,FALSE),Settings!$B$18)</f>
        <v>100</v>
      </c>
      <c r="Q210" s="34">
        <f t="shared" si="14"/>
        <v>800</v>
      </c>
      <c r="R210" s="34">
        <f>H210*P210*Settings!$B$13</f>
        <v>0</v>
      </c>
      <c r="S210" s="34">
        <f>J210*P210*(Settings!$B$14-1)</f>
        <v>0</v>
      </c>
      <c r="T210" s="34">
        <f>K210*P210*(Settings!$B$15-1)</f>
        <v>0</v>
      </c>
      <c r="U210" s="34">
        <f t="shared" si="15"/>
        <v>800</v>
      </c>
      <c r="V210" s="26" t="str">
        <f>Auto_Roster!O210</f>
        <v>Pending</v>
      </c>
      <c r="W210" s="26" t="e">
        <f ca="1">_xludf.TEXTJOIN("; ",TRUE,Auto_Roster!N210,IF(G210&gt;Settings!$B$19,"Approval required &gt; standard hours",""),IF(AND(F210&lt;&gt;"Off",G210=0),"Missing claimed hours",""))</f>
        <v>#NAME?</v>
      </c>
      <c r="X210" s="7"/>
    </row>
    <row r="211" spans="1:24" x14ac:dyDescent="0.35">
      <c r="A211" s="31">
        <f>Auto_Roster!A211</f>
        <v>46153</v>
      </c>
      <c r="B211" s="31">
        <f>Auto_Roster!B211</f>
        <v>46153</v>
      </c>
      <c r="C211" s="26" t="str">
        <f>Auto_Roster!C211</f>
        <v>E008</v>
      </c>
      <c r="D211" s="26" t="str">
        <f>Auto_Roster!D211</f>
        <v>Tim</v>
      </c>
      <c r="E211" s="26" t="str">
        <f>Auto_Roster!E211</f>
        <v>D</v>
      </c>
      <c r="F211" s="26" t="str">
        <f>Auto_Roster!G211</f>
        <v>Off</v>
      </c>
      <c r="G211" s="33">
        <f>Auto_Roster!J211</f>
        <v>0</v>
      </c>
      <c r="H211" s="33">
        <f>IF(G211&gt;Settings!$B$19,G211-Settings!$B$19,0)</f>
        <v>0</v>
      </c>
      <c r="I211" s="33">
        <f t="shared" si="12"/>
        <v>0</v>
      </c>
      <c r="J211" s="33">
        <f>IF(Auto_Roster!M211="Y",G211,0)</f>
        <v>0</v>
      </c>
      <c r="K211" s="33">
        <f>IF(Auto_Roster!L211="Y",G211,0)</f>
        <v>0</v>
      </c>
      <c r="L211" s="26" t="str">
        <f>Auto_Roster!K211</f>
        <v>N</v>
      </c>
      <c r="M211" s="34">
        <f>IF(L211="Y",Settings!$B$16,0)</f>
        <v>0</v>
      </c>
      <c r="N211" s="33">
        <f t="shared" si="13"/>
        <v>0</v>
      </c>
      <c r="O211" s="34">
        <f>N211*Settings!$B$17</f>
        <v>0</v>
      </c>
      <c r="P211" s="34">
        <f>IFERROR(VLOOKUP(C211,Employees!$A$4:$E$103,5,FALSE),Settings!$B$18)</f>
        <v>100</v>
      </c>
      <c r="Q211" s="34">
        <f t="shared" si="14"/>
        <v>0</v>
      </c>
      <c r="R211" s="34">
        <f>H211*P211*Settings!$B$13</f>
        <v>0</v>
      </c>
      <c r="S211" s="34">
        <f>J211*P211*(Settings!$B$14-1)</f>
        <v>0</v>
      </c>
      <c r="T211" s="34">
        <f>K211*P211*(Settings!$B$15-1)</f>
        <v>0</v>
      </c>
      <c r="U211" s="34">
        <f t="shared" si="15"/>
        <v>0</v>
      </c>
      <c r="V211" s="26" t="str">
        <f>Auto_Roster!O211</f>
        <v>Pending</v>
      </c>
      <c r="W211" s="26" t="e">
        <f ca="1">_xludf.TEXTJOIN("; ",TRUE,Auto_Roster!N211,IF(G211&gt;Settings!$B$19,"Approval required &gt; standard hours",""),IF(AND(F211&lt;&gt;"Off",G211=0),"Missing claimed hours",""))</f>
        <v>#NAME?</v>
      </c>
      <c r="X211" s="7"/>
    </row>
    <row r="212" spans="1:24" x14ac:dyDescent="0.35">
      <c r="A212" s="31">
        <f>Auto_Roster!A212</f>
        <v>46153</v>
      </c>
      <c r="B212" s="31">
        <f>Auto_Roster!B212</f>
        <v>46153</v>
      </c>
      <c r="C212" s="26" t="str">
        <f>Auto_Roster!C212</f>
        <v>E009</v>
      </c>
      <c r="D212" s="26" t="str">
        <f>Auto_Roster!D212</f>
        <v>Frank</v>
      </c>
      <c r="E212" s="26" t="str">
        <f>Auto_Roster!E212</f>
        <v>A</v>
      </c>
      <c r="F212" s="26" t="str">
        <f>Auto_Roster!G212</f>
        <v>Night</v>
      </c>
      <c r="G212" s="33">
        <f>Auto_Roster!J212</f>
        <v>8</v>
      </c>
      <c r="H212" s="33">
        <f>IF(G212&gt;Settings!$B$19,G212-Settings!$B$19,0)</f>
        <v>0</v>
      </c>
      <c r="I212" s="33">
        <f t="shared" si="12"/>
        <v>8</v>
      </c>
      <c r="J212" s="33">
        <f>IF(Auto_Roster!M212="Y",G212,0)</f>
        <v>0</v>
      </c>
      <c r="K212" s="33">
        <f>IF(Auto_Roster!L212="Y",G212,0)</f>
        <v>0</v>
      </c>
      <c r="L212" s="26" t="str">
        <f>Auto_Roster!K212</f>
        <v>N</v>
      </c>
      <c r="M212" s="34">
        <f>IF(L212="Y",Settings!$B$16,0)</f>
        <v>0</v>
      </c>
      <c r="N212" s="33">
        <f t="shared" si="13"/>
        <v>8</v>
      </c>
      <c r="O212" s="34">
        <f>N212*Settings!$B$17</f>
        <v>0</v>
      </c>
      <c r="P212" s="34">
        <f>IFERROR(VLOOKUP(C212,Employees!$A$4:$E$103,5,FALSE),Settings!$B$18)</f>
        <v>100</v>
      </c>
      <c r="Q212" s="34">
        <f t="shared" si="14"/>
        <v>800</v>
      </c>
      <c r="R212" s="34">
        <f>H212*P212*Settings!$B$13</f>
        <v>0</v>
      </c>
      <c r="S212" s="34">
        <f>J212*P212*(Settings!$B$14-1)</f>
        <v>0</v>
      </c>
      <c r="T212" s="34">
        <f>K212*P212*(Settings!$B$15-1)</f>
        <v>0</v>
      </c>
      <c r="U212" s="34">
        <f t="shared" si="15"/>
        <v>800</v>
      </c>
      <c r="V212" s="26" t="str">
        <f>Auto_Roster!O212</f>
        <v>Pending</v>
      </c>
      <c r="W212" s="26" t="e">
        <f ca="1">_xludf.TEXTJOIN("; ",TRUE,Auto_Roster!N212,IF(G212&gt;Settings!$B$19,"Approval required &gt; standard hours",""),IF(AND(F212&lt;&gt;"Off",G212=0),"Missing claimed hours",""))</f>
        <v>#NAME?</v>
      </c>
      <c r="X212" s="7"/>
    </row>
    <row r="213" spans="1:24" x14ac:dyDescent="0.35">
      <c r="A213" s="31">
        <f>Auto_Roster!A213</f>
        <v>46153</v>
      </c>
      <c r="B213" s="31">
        <f>Auto_Roster!B213</f>
        <v>46153</v>
      </c>
      <c r="C213" s="26" t="str">
        <f>Auto_Roster!C213</f>
        <v/>
      </c>
      <c r="D213" s="26" t="str">
        <f>Auto_Roster!D213</f>
        <v/>
      </c>
      <c r="E213" s="26" t="str">
        <f>Auto_Roster!E213</f>
        <v/>
      </c>
      <c r="F213" s="26" t="str">
        <f>Auto_Roster!G213</f>
        <v/>
      </c>
      <c r="G213" s="33">
        <f>Auto_Roster!J213</f>
        <v>0</v>
      </c>
      <c r="H213" s="33">
        <f>IF(G213&gt;Settings!$B$19,G213-Settings!$B$19,0)</f>
        <v>0</v>
      </c>
      <c r="I213" s="33">
        <f t="shared" si="12"/>
        <v>0</v>
      </c>
      <c r="J213" s="33">
        <f>IF(Auto_Roster!M213="Y",G213,0)</f>
        <v>0</v>
      </c>
      <c r="K213" s="33">
        <f>IF(Auto_Roster!L213="Y",G213,0)</f>
        <v>0</v>
      </c>
      <c r="L213" s="26" t="str">
        <f>Auto_Roster!K213</f>
        <v>N</v>
      </c>
      <c r="M213" s="34">
        <f>IF(L213="Y",Settings!$B$16,0)</f>
        <v>0</v>
      </c>
      <c r="N213" s="33">
        <f t="shared" si="13"/>
        <v>0</v>
      </c>
      <c r="O213" s="34">
        <f>N213*Settings!$B$17</f>
        <v>0</v>
      </c>
      <c r="P213" s="34">
        <f>IFERROR(VLOOKUP(C213,Employees!$A$4:$E$103,5,FALSE),Settings!$B$18)</f>
        <v>100</v>
      </c>
      <c r="Q213" s="34">
        <f t="shared" si="14"/>
        <v>0</v>
      </c>
      <c r="R213" s="34">
        <f>H213*P213*Settings!$B$13</f>
        <v>0</v>
      </c>
      <c r="S213" s="34">
        <f>J213*P213*(Settings!$B$14-1)</f>
        <v>0</v>
      </c>
      <c r="T213" s="34">
        <f>K213*P213*(Settings!$B$15-1)</f>
        <v>0</v>
      </c>
      <c r="U213" s="34">
        <f t="shared" si="15"/>
        <v>0</v>
      </c>
      <c r="V213" s="26" t="str">
        <f>Auto_Roster!O213</f>
        <v>Pending</v>
      </c>
      <c r="W213" s="26" t="e">
        <f ca="1">_xludf.TEXTJOIN("; ",TRUE,Auto_Roster!N213,IF(G213&gt;Settings!$B$19,"Approval required &gt; standard hours",""),IF(AND(F213&lt;&gt;"Off",G213=0),"Missing claimed hours",""))</f>
        <v>#NAME?</v>
      </c>
      <c r="X213" s="7"/>
    </row>
    <row r="214" spans="1:24" x14ac:dyDescent="0.35">
      <c r="A214" s="31">
        <f>Auto_Roster!A214</f>
        <v>46153</v>
      </c>
      <c r="B214" s="31">
        <f>Auto_Roster!B214</f>
        <v>46153</v>
      </c>
      <c r="C214" s="26" t="str">
        <f>Auto_Roster!C214</f>
        <v/>
      </c>
      <c r="D214" s="26" t="str">
        <f>Auto_Roster!D214</f>
        <v/>
      </c>
      <c r="E214" s="26" t="str">
        <f>Auto_Roster!E214</f>
        <v/>
      </c>
      <c r="F214" s="26" t="str">
        <f>Auto_Roster!G214</f>
        <v/>
      </c>
      <c r="G214" s="33">
        <f>Auto_Roster!J214</f>
        <v>0</v>
      </c>
      <c r="H214" s="33">
        <f>IF(G214&gt;Settings!$B$19,G214-Settings!$B$19,0)</f>
        <v>0</v>
      </c>
      <c r="I214" s="33">
        <f t="shared" si="12"/>
        <v>0</v>
      </c>
      <c r="J214" s="33">
        <f>IF(Auto_Roster!M214="Y",G214,0)</f>
        <v>0</v>
      </c>
      <c r="K214" s="33">
        <f>IF(Auto_Roster!L214="Y",G214,0)</f>
        <v>0</v>
      </c>
      <c r="L214" s="26" t="str">
        <f>Auto_Roster!K214</f>
        <v>N</v>
      </c>
      <c r="M214" s="34">
        <f>IF(L214="Y",Settings!$B$16,0)</f>
        <v>0</v>
      </c>
      <c r="N214" s="33">
        <f t="shared" si="13"/>
        <v>0</v>
      </c>
      <c r="O214" s="34">
        <f>N214*Settings!$B$17</f>
        <v>0</v>
      </c>
      <c r="P214" s="34">
        <f>IFERROR(VLOOKUP(C214,Employees!$A$4:$E$103,5,FALSE),Settings!$B$18)</f>
        <v>100</v>
      </c>
      <c r="Q214" s="34">
        <f t="shared" si="14"/>
        <v>0</v>
      </c>
      <c r="R214" s="34">
        <f>H214*P214*Settings!$B$13</f>
        <v>0</v>
      </c>
      <c r="S214" s="34">
        <f>J214*P214*(Settings!$B$14-1)</f>
        <v>0</v>
      </c>
      <c r="T214" s="34">
        <f>K214*P214*(Settings!$B$15-1)</f>
        <v>0</v>
      </c>
      <c r="U214" s="34">
        <f t="shared" si="15"/>
        <v>0</v>
      </c>
      <c r="V214" s="26" t="str">
        <f>Auto_Roster!O214</f>
        <v>Pending</v>
      </c>
      <c r="W214" s="26" t="e">
        <f ca="1">_xludf.TEXTJOIN("; ",TRUE,Auto_Roster!N214,IF(G214&gt;Settings!$B$19,"Approval required &gt; standard hours",""),IF(AND(F214&lt;&gt;"Off",G214=0),"Missing claimed hours",""))</f>
        <v>#NAME?</v>
      </c>
      <c r="X214" s="7"/>
    </row>
    <row r="215" spans="1:24" x14ac:dyDescent="0.35">
      <c r="A215" s="31">
        <f>Auto_Roster!A215</f>
        <v>46153</v>
      </c>
      <c r="B215" s="31">
        <f>Auto_Roster!B215</f>
        <v>46153</v>
      </c>
      <c r="C215" s="26" t="str">
        <f>Auto_Roster!C215</f>
        <v/>
      </c>
      <c r="D215" s="26" t="str">
        <f>Auto_Roster!D215</f>
        <v/>
      </c>
      <c r="E215" s="26" t="str">
        <f>Auto_Roster!E215</f>
        <v/>
      </c>
      <c r="F215" s="26" t="str">
        <f>Auto_Roster!G215</f>
        <v/>
      </c>
      <c r="G215" s="33">
        <f>Auto_Roster!J215</f>
        <v>0</v>
      </c>
      <c r="H215" s="33">
        <f>IF(G215&gt;Settings!$B$19,G215-Settings!$B$19,0)</f>
        <v>0</v>
      </c>
      <c r="I215" s="33">
        <f t="shared" si="12"/>
        <v>0</v>
      </c>
      <c r="J215" s="33">
        <f>IF(Auto_Roster!M215="Y",G215,0)</f>
        <v>0</v>
      </c>
      <c r="K215" s="33">
        <f>IF(Auto_Roster!L215="Y",G215,0)</f>
        <v>0</v>
      </c>
      <c r="L215" s="26" t="str">
        <f>Auto_Roster!K215</f>
        <v>N</v>
      </c>
      <c r="M215" s="34">
        <f>IF(L215="Y",Settings!$B$16,0)</f>
        <v>0</v>
      </c>
      <c r="N215" s="33">
        <f t="shared" si="13"/>
        <v>0</v>
      </c>
      <c r="O215" s="34">
        <f>N215*Settings!$B$17</f>
        <v>0</v>
      </c>
      <c r="P215" s="34">
        <f>IFERROR(VLOOKUP(C215,Employees!$A$4:$E$103,5,FALSE),Settings!$B$18)</f>
        <v>100</v>
      </c>
      <c r="Q215" s="34">
        <f t="shared" si="14"/>
        <v>0</v>
      </c>
      <c r="R215" s="34">
        <f>H215*P215*Settings!$B$13</f>
        <v>0</v>
      </c>
      <c r="S215" s="34">
        <f>J215*P215*(Settings!$B$14-1)</f>
        <v>0</v>
      </c>
      <c r="T215" s="34">
        <f>K215*P215*(Settings!$B$15-1)</f>
        <v>0</v>
      </c>
      <c r="U215" s="34">
        <f t="shared" si="15"/>
        <v>0</v>
      </c>
      <c r="V215" s="26" t="str">
        <f>Auto_Roster!O215</f>
        <v>Pending</v>
      </c>
      <c r="W215" s="26" t="e">
        <f ca="1">_xludf.TEXTJOIN("; ",TRUE,Auto_Roster!N215,IF(G215&gt;Settings!$B$19,"Approval required &gt; standard hours",""),IF(AND(F215&lt;&gt;"Off",G215=0),"Missing claimed hours",""))</f>
        <v>#NAME?</v>
      </c>
      <c r="X215" s="7"/>
    </row>
    <row r="216" spans="1:24" x14ac:dyDescent="0.35">
      <c r="A216" s="31">
        <f>Auto_Roster!A216</f>
        <v>46153</v>
      </c>
      <c r="B216" s="31">
        <f>Auto_Roster!B216</f>
        <v>46153</v>
      </c>
      <c r="C216" s="26" t="str">
        <f>Auto_Roster!C216</f>
        <v/>
      </c>
      <c r="D216" s="26" t="str">
        <f>Auto_Roster!D216</f>
        <v/>
      </c>
      <c r="E216" s="26" t="str">
        <f>Auto_Roster!E216</f>
        <v/>
      </c>
      <c r="F216" s="26" t="str">
        <f>Auto_Roster!G216</f>
        <v/>
      </c>
      <c r="G216" s="33">
        <f>Auto_Roster!J216</f>
        <v>0</v>
      </c>
      <c r="H216" s="33">
        <f>IF(G216&gt;Settings!$B$19,G216-Settings!$B$19,0)</f>
        <v>0</v>
      </c>
      <c r="I216" s="33">
        <f t="shared" si="12"/>
        <v>0</v>
      </c>
      <c r="J216" s="33">
        <f>IF(Auto_Roster!M216="Y",G216,0)</f>
        <v>0</v>
      </c>
      <c r="K216" s="33">
        <f>IF(Auto_Roster!L216="Y",G216,0)</f>
        <v>0</v>
      </c>
      <c r="L216" s="26" t="str">
        <f>Auto_Roster!K216</f>
        <v>N</v>
      </c>
      <c r="M216" s="34">
        <f>IF(L216="Y",Settings!$B$16,0)</f>
        <v>0</v>
      </c>
      <c r="N216" s="33">
        <f t="shared" si="13"/>
        <v>0</v>
      </c>
      <c r="O216" s="34">
        <f>N216*Settings!$B$17</f>
        <v>0</v>
      </c>
      <c r="P216" s="34">
        <f>IFERROR(VLOOKUP(C216,Employees!$A$4:$E$103,5,FALSE),Settings!$B$18)</f>
        <v>100</v>
      </c>
      <c r="Q216" s="34">
        <f t="shared" si="14"/>
        <v>0</v>
      </c>
      <c r="R216" s="34">
        <f>H216*P216*Settings!$B$13</f>
        <v>0</v>
      </c>
      <c r="S216" s="34">
        <f>J216*P216*(Settings!$B$14-1)</f>
        <v>0</v>
      </c>
      <c r="T216" s="34">
        <f>K216*P216*(Settings!$B$15-1)</f>
        <v>0</v>
      </c>
      <c r="U216" s="34">
        <f t="shared" si="15"/>
        <v>0</v>
      </c>
      <c r="V216" s="26" t="str">
        <f>Auto_Roster!O216</f>
        <v>Pending</v>
      </c>
      <c r="W216" s="26" t="e">
        <f ca="1">_xludf.TEXTJOIN("; ",TRUE,Auto_Roster!N216,IF(G216&gt;Settings!$B$19,"Approval required &gt; standard hours",""),IF(AND(F216&lt;&gt;"Off",G216=0),"Missing claimed hours",""))</f>
        <v>#NAME?</v>
      </c>
      <c r="X216" s="7"/>
    </row>
    <row r="217" spans="1:24" x14ac:dyDescent="0.35">
      <c r="A217" s="31">
        <f>Auto_Roster!A217</f>
        <v>46153</v>
      </c>
      <c r="B217" s="31">
        <f>Auto_Roster!B217</f>
        <v>46153</v>
      </c>
      <c r="C217" s="26" t="str">
        <f>Auto_Roster!C217</f>
        <v/>
      </c>
      <c r="D217" s="26" t="str">
        <f>Auto_Roster!D217</f>
        <v/>
      </c>
      <c r="E217" s="26" t="str">
        <f>Auto_Roster!E217</f>
        <v/>
      </c>
      <c r="F217" s="26" t="str">
        <f>Auto_Roster!G217</f>
        <v/>
      </c>
      <c r="G217" s="33">
        <f>Auto_Roster!J217</f>
        <v>0</v>
      </c>
      <c r="H217" s="33">
        <f>IF(G217&gt;Settings!$B$19,G217-Settings!$B$19,0)</f>
        <v>0</v>
      </c>
      <c r="I217" s="33">
        <f t="shared" si="12"/>
        <v>0</v>
      </c>
      <c r="J217" s="33">
        <f>IF(Auto_Roster!M217="Y",G217,0)</f>
        <v>0</v>
      </c>
      <c r="K217" s="33">
        <f>IF(Auto_Roster!L217="Y",G217,0)</f>
        <v>0</v>
      </c>
      <c r="L217" s="26" t="str">
        <f>Auto_Roster!K217</f>
        <v>N</v>
      </c>
      <c r="M217" s="34">
        <f>IF(L217="Y",Settings!$B$16,0)</f>
        <v>0</v>
      </c>
      <c r="N217" s="33">
        <f t="shared" si="13"/>
        <v>0</v>
      </c>
      <c r="O217" s="34">
        <f>N217*Settings!$B$17</f>
        <v>0</v>
      </c>
      <c r="P217" s="34">
        <f>IFERROR(VLOOKUP(C217,Employees!$A$4:$E$103,5,FALSE),Settings!$B$18)</f>
        <v>100</v>
      </c>
      <c r="Q217" s="34">
        <f t="shared" si="14"/>
        <v>0</v>
      </c>
      <c r="R217" s="34">
        <f>H217*P217*Settings!$B$13</f>
        <v>0</v>
      </c>
      <c r="S217" s="34">
        <f>J217*P217*(Settings!$B$14-1)</f>
        <v>0</v>
      </c>
      <c r="T217" s="34">
        <f>K217*P217*(Settings!$B$15-1)</f>
        <v>0</v>
      </c>
      <c r="U217" s="34">
        <f t="shared" si="15"/>
        <v>0</v>
      </c>
      <c r="V217" s="26" t="str">
        <f>Auto_Roster!O217</f>
        <v>Pending</v>
      </c>
      <c r="W217" s="26" t="e">
        <f ca="1">_xludf.TEXTJOIN("; ",TRUE,Auto_Roster!N217,IF(G217&gt;Settings!$B$19,"Approval required &gt; standard hours",""),IF(AND(F217&lt;&gt;"Off",G217=0),"Missing claimed hours",""))</f>
        <v>#NAME?</v>
      </c>
      <c r="X217" s="7"/>
    </row>
    <row r="218" spans="1:24" x14ac:dyDescent="0.35">
      <c r="A218" s="31">
        <f>Auto_Roster!A218</f>
        <v>46153</v>
      </c>
      <c r="B218" s="31">
        <f>Auto_Roster!B218</f>
        <v>46153</v>
      </c>
      <c r="C218" s="26" t="str">
        <f>Auto_Roster!C218</f>
        <v/>
      </c>
      <c r="D218" s="26" t="str">
        <f>Auto_Roster!D218</f>
        <v/>
      </c>
      <c r="E218" s="26" t="str">
        <f>Auto_Roster!E218</f>
        <v/>
      </c>
      <c r="F218" s="26" t="str">
        <f>Auto_Roster!G218</f>
        <v/>
      </c>
      <c r="G218" s="33">
        <f>Auto_Roster!J218</f>
        <v>0</v>
      </c>
      <c r="H218" s="33">
        <f>IF(G218&gt;Settings!$B$19,G218-Settings!$B$19,0)</f>
        <v>0</v>
      </c>
      <c r="I218" s="33">
        <f t="shared" si="12"/>
        <v>0</v>
      </c>
      <c r="J218" s="33">
        <f>IF(Auto_Roster!M218="Y",G218,0)</f>
        <v>0</v>
      </c>
      <c r="K218" s="33">
        <f>IF(Auto_Roster!L218="Y",G218,0)</f>
        <v>0</v>
      </c>
      <c r="L218" s="26" t="str">
        <f>Auto_Roster!K218</f>
        <v>N</v>
      </c>
      <c r="M218" s="34">
        <f>IF(L218="Y",Settings!$B$16,0)</f>
        <v>0</v>
      </c>
      <c r="N218" s="33">
        <f t="shared" si="13"/>
        <v>0</v>
      </c>
      <c r="O218" s="34">
        <f>N218*Settings!$B$17</f>
        <v>0</v>
      </c>
      <c r="P218" s="34">
        <f>IFERROR(VLOOKUP(C218,Employees!$A$4:$E$103,5,FALSE),Settings!$B$18)</f>
        <v>100</v>
      </c>
      <c r="Q218" s="34">
        <f t="shared" si="14"/>
        <v>0</v>
      </c>
      <c r="R218" s="34">
        <f>H218*P218*Settings!$B$13</f>
        <v>0</v>
      </c>
      <c r="S218" s="34">
        <f>J218*P218*(Settings!$B$14-1)</f>
        <v>0</v>
      </c>
      <c r="T218" s="34">
        <f>K218*P218*(Settings!$B$15-1)</f>
        <v>0</v>
      </c>
      <c r="U218" s="34">
        <f t="shared" si="15"/>
        <v>0</v>
      </c>
      <c r="V218" s="26" t="str">
        <f>Auto_Roster!O218</f>
        <v>Pending</v>
      </c>
      <c r="W218" s="26" t="e">
        <f ca="1">_xludf.TEXTJOIN("; ",TRUE,Auto_Roster!N218,IF(G218&gt;Settings!$B$19,"Approval required &gt; standard hours",""),IF(AND(F218&lt;&gt;"Off",G218=0),"Missing claimed hours",""))</f>
        <v>#NAME?</v>
      </c>
      <c r="X218" s="7"/>
    </row>
    <row r="219" spans="1:24" x14ac:dyDescent="0.35">
      <c r="A219" s="31">
        <f>Auto_Roster!A219</f>
        <v>46153</v>
      </c>
      <c r="B219" s="31">
        <f>Auto_Roster!B219</f>
        <v>46153</v>
      </c>
      <c r="C219" s="26" t="str">
        <f>Auto_Roster!C219</f>
        <v/>
      </c>
      <c r="D219" s="26" t="str">
        <f>Auto_Roster!D219</f>
        <v/>
      </c>
      <c r="E219" s="26" t="str">
        <f>Auto_Roster!E219</f>
        <v/>
      </c>
      <c r="F219" s="26" t="str">
        <f>Auto_Roster!G219</f>
        <v/>
      </c>
      <c r="G219" s="33">
        <f>Auto_Roster!J219</f>
        <v>0</v>
      </c>
      <c r="H219" s="33">
        <f>IF(G219&gt;Settings!$B$19,G219-Settings!$B$19,0)</f>
        <v>0</v>
      </c>
      <c r="I219" s="33">
        <f t="shared" si="12"/>
        <v>0</v>
      </c>
      <c r="J219" s="33">
        <f>IF(Auto_Roster!M219="Y",G219,0)</f>
        <v>0</v>
      </c>
      <c r="K219" s="33">
        <f>IF(Auto_Roster!L219="Y",G219,0)</f>
        <v>0</v>
      </c>
      <c r="L219" s="26" t="str">
        <f>Auto_Roster!K219</f>
        <v>N</v>
      </c>
      <c r="M219" s="34">
        <f>IF(L219="Y",Settings!$B$16,0)</f>
        <v>0</v>
      </c>
      <c r="N219" s="33">
        <f t="shared" si="13"/>
        <v>0</v>
      </c>
      <c r="O219" s="34">
        <f>N219*Settings!$B$17</f>
        <v>0</v>
      </c>
      <c r="P219" s="34">
        <f>IFERROR(VLOOKUP(C219,Employees!$A$4:$E$103,5,FALSE),Settings!$B$18)</f>
        <v>100</v>
      </c>
      <c r="Q219" s="34">
        <f t="shared" si="14"/>
        <v>0</v>
      </c>
      <c r="R219" s="34">
        <f>H219*P219*Settings!$B$13</f>
        <v>0</v>
      </c>
      <c r="S219" s="34">
        <f>J219*P219*(Settings!$B$14-1)</f>
        <v>0</v>
      </c>
      <c r="T219" s="34">
        <f>K219*P219*(Settings!$B$15-1)</f>
        <v>0</v>
      </c>
      <c r="U219" s="34">
        <f t="shared" si="15"/>
        <v>0</v>
      </c>
      <c r="V219" s="26" t="str">
        <f>Auto_Roster!O219</f>
        <v>Pending</v>
      </c>
      <c r="W219" s="26" t="e">
        <f ca="1">_xludf.TEXTJOIN("; ",TRUE,Auto_Roster!N219,IF(G219&gt;Settings!$B$19,"Approval required &gt; standard hours",""),IF(AND(F219&lt;&gt;"Off",G219=0),"Missing claimed hours",""))</f>
        <v>#NAME?</v>
      </c>
      <c r="X219" s="7"/>
    </row>
    <row r="220" spans="1:24" x14ac:dyDescent="0.35">
      <c r="A220" s="31">
        <f>Auto_Roster!A220</f>
        <v>46153</v>
      </c>
      <c r="B220" s="31">
        <f>Auto_Roster!B220</f>
        <v>46153</v>
      </c>
      <c r="C220" s="26" t="str">
        <f>Auto_Roster!C220</f>
        <v/>
      </c>
      <c r="D220" s="26" t="str">
        <f>Auto_Roster!D220</f>
        <v/>
      </c>
      <c r="E220" s="26" t="str">
        <f>Auto_Roster!E220</f>
        <v/>
      </c>
      <c r="F220" s="26" t="str">
        <f>Auto_Roster!G220</f>
        <v/>
      </c>
      <c r="G220" s="33">
        <f>Auto_Roster!J220</f>
        <v>0</v>
      </c>
      <c r="H220" s="33">
        <f>IF(G220&gt;Settings!$B$19,G220-Settings!$B$19,0)</f>
        <v>0</v>
      </c>
      <c r="I220" s="33">
        <f t="shared" si="12"/>
        <v>0</v>
      </c>
      <c r="J220" s="33">
        <f>IF(Auto_Roster!M220="Y",G220,0)</f>
        <v>0</v>
      </c>
      <c r="K220" s="33">
        <f>IF(Auto_Roster!L220="Y",G220,0)</f>
        <v>0</v>
      </c>
      <c r="L220" s="26" t="str">
        <f>Auto_Roster!K220</f>
        <v>N</v>
      </c>
      <c r="M220" s="34">
        <f>IF(L220="Y",Settings!$B$16,0)</f>
        <v>0</v>
      </c>
      <c r="N220" s="33">
        <f t="shared" si="13"/>
        <v>0</v>
      </c>
      <c r="O220" s="34">
        <f>N220*Settings!$B$17</f>
        <v>0</v>
      </c>
      <c r="P220" s="34">
        <f>IFERROR(VLOOKUP(C220,Employees!$A$4:$E$103,5,FALSE),Settings!$B$18)</f>
        <v>100</v>
      </c>
      <c r="Q220" s="34">
        <f t="shared" si="14"/>
        <v>0</v>
      </c>
      <c r="R220" s="34">
        <f>H220*P220*Settings!$B$13</f>
        <v>0</v>
      </c>
      <c r="S220" s="34">
        <f>J220*P220*(Settings!$B$14-1)</f>
        <v>0</v>
      </c>
      <c r="T220" s="34">
        <f>K220*P220*(Settings!$B$15-1)</f>
        <v>0</v>
      </c>
      <c r="U220" s="34">
        <f t="shared" si="15"/>
        <v>0</v>
      </c>
      <c r="V220" s="26" t="str">
        <f>Auto_Roster!O220</f>
        <v>Pending</v>
      </c>
      <c r="W220" s="26" t="e">
        <f ca="1">_xludf.TEXTJOIN("; ",TRUE,Auto_Roster!N220,IF(G220&gt;Settings!$B$19,"Approval required &gt; standard hours",""),IF(AND(F220&lt;&gt;"Off",G220=0),"Missing claimed hours",""))</f>
        <v>#NAME?</v>
      </c>
      <c r="X220" s="7"/>
    </row>
    <row r="221" spans="1:24" x14ac:dyDescent="0.35">
      <c r="A221" s="31">
        <f>Auto_Roster!A221</f>
        <v>46153</v>
      </c>
      <c r="B221" s="31">
        <f>Auto_Roster!B221</f>
        <v>46153</v>
      </c>
      <c r="C221" s="26" t="str">
        <f>Auto_Roster!C221</f>
        <v/>
      </c>
      <c r="D221" s="26" t="str">
        <f>Auto_Roster!D221</f>
        <v/>
      </c>
      <c r="E221" s="26" t="str">
        <f>Auto_Roster!E221</f>
        <v/>
      </c>
      <c r="F221" s="26" t="str">
        <f>Auto_Roster!G221</f>
        <v/>
      </c>
      <c r="G221" s="33">
        <f>Auto_Roster!J221</f>
        <v>0</v>
      </c>
      <c r="H221" s="33">
        <f>IF(G221&gt;Settings!$B$19,G221-Settings!$B$19,0)</f>
        <v>0</v>
      </c>
      <c r="I221" s="33">
        <f t="shared" si="12"/>
        <v>0</v>
      </c>
      <c r="J221" s="33">
        <f>IF(Auto_Roster!M221="Y",G221,0)</f>
        <v>0</v>
      </c>
      <c r="K221" s="33">
        <f>IF(Auto_Roster!L221="Y",G221,0)</f>
        <v>0</v>
      </c>
      <c r="L221" s="26" t="str">
        <f>Auto_Roster!K221</f>
        <v>N</v>
      </c>
      <c r="M221" s="34">
        <f>IF(L221="Y",Settings!$B$16,0)</f>
        <v>0</v>
      </c>
      <c r="N221" s="33">
        <f t="shared" si="13"/>
        <v>0</v>
      </c>
      <c r="O221" s="34">
        <f>N221*Settings!$B$17</f>
        <v>0</v>
      </c>
      <c r="P221" s="34">
        <f>IFERROR(VLOOKUP(C221,Employees!$A$4:$E$103,5,FALSE),Settings!$B$18)</f>
        <v>100</v>
      </c>
      <c r="Q221" s="34">
        <f t="shared" si="14"/>
        <v>0</v>
      </c>
      <c r="R221" s="34">
        <f>H221*P221*Settings!$B$13</f>
        <v>0</v>
      </c>
      <c r="S221" s="34">
        <f>J221*P221*(Settings!$B$14-1)</f>
        <v>0</v>
      </c>
      <c r="T221" s="34">
        <f>K221*P221*(Settings!$B$15-1)</f>
        <v>0</v>
      </c>
      <c r="U221" s="34">
        <f t="shared" si="15"/>
        <v>0</v>
      </c>
      <c r="V221" s="26" t="str">
        <f>Auto_Roster!O221</f>
        <v>Pending</v>
      </c>
      <c r="W221" s="26" t="e">
        <f ca="1">_xludf.TEXTJOIN("; ",TRUE,Auto_Roster!N221,IF(G221&gt;Settings!$B$19,"Approval required &gt; standard hours",""),IF(AND(F221&lt;&gt;"Off",G221=0),"Missing claimed hours",""))</f>
        <v>#NAME?</v>
      </c>
      <c r="X221" s="7"/>
    </row>
    <row r="222" spans="1:24" x14ac:dyDescent="0.35">
      <c r="A222" s="31">
        <f>Auto_Roster!A222</f>
        <v>46153</v>
      </c>
      <c r="B222" s="31">
        <f>Auto_Roster!B222</f>
        <v>46153</v>
      </c>
      <c r="C222" s="26" t="str">
        <f>Auto_Roster!C222</f>
        <v/>
      </c>
      <c r="D222" s="26" t="str">
        <f>Auto_Roster!D222</f>
        <v/>
      </c>
      <c r="E222" s="26" t="str">
        <f>Auto_Roster!E222</f>
        <v/>
      </c>
      <c r="F222" s="26" t="str">
        <f>Auto_Roster!G222</f>
        <v/>
      </c>
      <c r="G222" s="33">
        <f>Auto_Roster!J222</f>
        <v>0</v>
      </c>
      <c r="H222" s="33">
        <f>IF(G222&gt;Settings!$B$19,G222-Settings!$B$19,0)</f>
        <v>0</v>
      </c>
      <c r="I222" s="33">
        <f t="shared" si="12"/>
        <v>0</v>
      </c>
      <c r="J222" s="33">
        <f>IF(Auto_Roster!M222="Y",G222,0)</f>
        <v>0</v>
      </c>
      <c r="K222" s="33">
        <f>IF(Auto_Roster!L222="Y",G222,0)</f>
        <v>0</v>
      </c>
      <c r="L222" s="26" t="str">
        <f>Auto_Roster!K222</f>
        <v>N</v>
      </c>
      <c r="M222" s="34">
        <f>IF(L222="Y",Settings!$B$16,0)</f>
        <v>0</v>
      </c>
      <c r="N222" s="33">
        <f t="shared" si="13"/>
        <v>0</v>
      </c>
      <c r="O222" s="34">
        <f>N222*Settings!$B$17</f>
        <v>0</v>
      </c>
      <c r="P222" s="34">
        <f>IFERROR(VLOOKUP(C222,Employees!$A$4:$E$103,5,FALSE),Settings!$B$18)</f>
        <v>100</v>
      </c>
      <c r="Q222" s="34">
        <f t="shared" si="14"/>
        <v>0</v>
      </c>
      <c r="R222" s="34">
        <f>H222*P222*Settings!$B$13</f>
        <v>0</v>
      </c>
      <c r="S222" s="34">
        <f>J222*P222*(Settings!$B$14-1)</f>
        <v>0</v>
      </c>
      <c r="T222" s="34">
        <f>K222*P222*(Settings!$B$15-1)</f>
        <v>0</v>
      </c>
      <c r="U222" s="34">
        <f t="shared" si="15"/>
        <v>0</v>
      </c>
      <c r="V222" s="26" t="str">
        <f>Auto_Roster!O222</f>
        <v>Pending</v>
      </c>
      <c r="W222" s="26" t="e">
        <f ca="1">_xludf.TEXTJOIN("; ",TRUE,Auto_Roster!N222,IF(G222&gt;Settings!$B$19,"Approval required &gt; standard hours",""),IF(AND(F222&lt;&gt;"Off",G222=0),"Missing claimed hours",""))</f>
        <v>#NAME?</v>
      </c>
      <c r="X222" s="7"/>
    </row>
    <row r="223" spans="1:24" x14ac:dyDescent="0.35">
      <c r="A223" s="31">
        <f>Auto_Roster!A223</f>
        <v>46153</v>
      </c>
      <c r="B223" s="31">
        <f>Auto_Roster!B223</f>
        <v>46153</v>
      </c>
      <c r="C223" s="26" t="str">
        <f>Auto_Roster!C223</f>
        <v/>
      </c>
      <c r="D223" s="26" t="str">
        <f>Auto_Roster!D223</f>
        <v/>
      </c>
      <c r="E223" s="26" t="str">
        <f>Auto_Roster!E223</f>
        <v/>
      </c>
      <c r="F223" s="26" t="str">
        <f>Auto_Roster!G223</f>
        <v/>
      </c>
      <c r="G223" s="33">
        <f>Auto_Roster!J223</f>
        <v>0</v>
      </c>
      <c r="H223" s="33">
        <f>IF(G223&gt;Settings!$B$19,G223-Settings!$B$19,0)</f>
        <v>0</v>
      </c>
      <c r="I223" s="33">
        <f t="shared" si="12"/>
        <v>0</v>
      </c>
      <c r="J223" s="33">
        <f>IF(Auto_Roster!M223="Y",G223,0)</f>
        <v>0</v>
      </c>
      <c r="K223" s="33">
        <f>IF(Auto_Roster!L223="Y",G223,0)</f>
        <v>0</v>
      </c>
      <c r="L223" s="26" t="str">
        <f>Auto_Roster!K223</f>
        <v>N</v>
      </c>
      <c r="M223" s="34">
        <f>IF(L223="Y",Settings!$B$16,0)</f>
        <v>0</v>
      </c>
      <c r="N223" s="33">
        <f t="shared" si="13"/>
        <v>0</v>
      </c>
      <c r="O223" s="34">
        <f>N223*Settings!$B$17</f>
        <v>0</v>
      </c>
      <c r="P223" s="34">
        <f>IFERROR(VLOOKUP(C223,Employees!$A$4:$E$103,5,FALSE),Settings!$B$18)</f>
        <v>100</v>
      </c>
      <c r="Q223" s="34">
        <f t="shared" si="14"/>
        <v>0</v>
      </c>
      <c r="R223" s="34">
        <f>H223*P223*Settings!$B$13</f>
        <v>0</v>
      </c>
      <c r="S223" s="34">
        <f>J223*P223*(Settings!$B$14-1)</f>
        <v>0</v>
      </c>
      <c r="T223" s="34">
        <f>K223*P223*(Settings!$B$15-1)</f>
        <v>0</v>
      </c>
      <c r="U223" s="34">
        <f t="shared" si="15"/>
        <v>0</v>
      </c>
      <c r="V223" s="26" t="str">
        <f>Auto_Roster!O223</f>
        <v>Pending</v>
      </c>
      <c r="W223" s="26" t="e">
        <f ca="1">_xludf.TEXTJOIN("; ",TRUE,Auto_Roster!N223,IF(G223&gt;Settings!$B$19,"Approval required &gt; standard hours",""),IF(AND(F223&lt;&gt;"Off",G223=0),"Missing claimed hours",""))</f>
        <v>#NAME?</v>
      </c>
      <c r="X223" s="7"/>
    </row>
    <row r="224" spans="1:24" x14ac:dyDescent="0.35">
      <c r="A224" s="31">
        <f>Auto_Roster!A224</f>
        <v>46154</v>
      </c>
      <c r="B224" s="31">
        <f>Auto_Roster!B224</f>
        <v>46153</v>
      </c>
      <c r="C224" s="26" t="str">
        <f>Auto_Roster!C224</f>
        <v>E001</v>
      </c>
      <c r="D224" s="26" t="str">
        <f>Auto_Roster!D224</f>
        <v>Musiwa Khavalani</v>
      </c>
      <c r="E224" s="26">
        <f>Auto_Roster!E224</f>
        <v>0</v>
      </c>
      <c r="F224" s="26" t="e">
        <f>Auto_Roster!G224</f>
        <v>#N/A</v>
      </c>
      <c r="G224" s="33" t="e">
        <f>Auto_Roster!J224</f>
        <v>#N/A</v>
      </c>
      <c r="H224" s="33" t="e">
        <f>IF(G224&gt;Settings!$B$19,G224-Settings!$B$19,0)</f>
        <v>#N/A</v>
      </c>
      <c r="I224" s="33" t="e">
        <f t="shared" si="12"/>
        <v>#N/A</v>
      </c>
      <c r="J224" s="33">
        <f>IF(Auto_Roster!M224="Y",G224,0)</f>
        <v>0</v>
      </c>
      <c r="K224" s="33">
        <f>IF(Auto_Roster!L224="Y",G224,0)</f>
        <v>0</v>
      </c>
      <c r="L224" s="26" t="str">
        <f>Auto_Roster!K224</f>
        <v>N</v>
      </c>
      <c r="M224" s="34">
        <f>IF(L224="Y",Settings!$B$16,0)</f>
        <v>0</v>
      </c>
      <c r="N224" s="33" t="e">
        <f t="shared" si="13"/>
        <v>#N/A</v>
      </c>
      <c r="O224" s="34" t="e">
        <f>N224*Settings!$B$17</f>
        <v>#N/A</v>
      </c>
      <c r="P224" s="34">
        <f>IFERROR(VLOOKUP(C224,Employees!$A$4:$E$103,5,FALSE),Settings!$B$18)</f>
        <v>100</v>
      </c>
      <c r="Q224" s="34" t="e">
        <f t="shared" si="14"/>
        <v>#N/A</v>
      </c>
      <c r="R224" s="34" t="e">
        <f>H224*P224*Settings!$B$13</f>
        <v>#N/A</v>
      </c>
      <c r="S224" s="34">
        <f>J224*P224*(Settings!$B$14-1)</f>
        <v>0</v>
      </c>
      <c r="T224" s="34">
        <f>K224*P224*(Settings!$B$15-1)</f>
        <v>0</v>
      </c>
      <c r="U224" s="34" t="e">
        <f t="shared" si="15"/>
        <v>#N/A</v>
      </c>
      <c r="V224" s="26" t="str">
        <f>Auto_Roster!O224</f>
        <v>Pending</v>
      </c>
      <c r="W224" s="26" t="e">
        <f ca="1">_xludf.TEXTJOIN("; ",TRUE,Auto_Roster!N224,IF(G224&gt;Settings!$B$19,"Approval required &gt; standard hours",""),IF(AND(F224&lt;&gt;"Off",G224=0),"Missing claimed hours",""))</f>
        <v>#NAME?</v>
      </c>
      <c r="X224" s="7"/>
    </row>
    <row r="225" spans="1:24" x14ac:dyDescent="0.35">
      <c r="A225" s="31">
        <f>Auto_Roster!A225</f>
        <v>46154</v>
      </c>
      <c r="B225" s="31">
        <f>Auto_Roster!B225</f>
        <v>46153</v>
      </c>
      <c r="C225" s="26" t="str">
        <f>Auto_Roster!C225</f>
        <v>E002</v>
      </c>
      <c r="D225" s="26" t="str">
        <f>Auto_Roster!D225</f>
        <v>Mpho  Nembemhia</v>
      </c>
      <c r="E225" s="26" t="str">
        <f>Auto_Roster!E225</f>
        <v>B</v>
      </c>
      <c r="F225" s="26" t="str">
        <f>Auto_Roster!G225</f>
        <v>Night</v>
      </c>
      <c r="G225" s="33">
        <f>Auto_Roster!J225</f>
        <v>8</v>
      </c>
      <c r="H225" s="33">
        <f>IF(G225&gt;Settings!$B$19,G225-Settings!$B$19,0)</f>
        <v>0</v>
      </c>
      <c r="I225" s="33">
        <f t="shared" si="12"/>
        <v>8</v>
      </c>
      <c r="J225" s="33">
        <f>IF(Auto_Roster!M225="Y",G225,0)</f>
        <v>0</v>
      </c>
      <c r="K225" s="33">
        <f>IF(Auto_Roster!L225="Y",G225,0)</f>
        <v>0</v>
      </c>
      <c r="L225" s="26" t="str">
        <f>Auto_Roster!K225</f>
        <v>N</v>
      </c>
      <c r="M225" s="34">
        <f>IF(L225="Y",Settings!$B$16,0)</f>
        <v>0</v>
      </c>
      <c r="N225" s="33">
        <f t="shared" si="13"/>
        <v>8</v>
      </c>
      <c r="O225" s="34">
        <f>N225*Settings!$B$17</f>
        <v>0</v>
      </c>
      <c r="P225" s="34">
        <f>IFERROR(VLOOKUP(C225,Employees!$A$4:$E$103,5,FALSE),Settings!$B$18)</f>
        <v>100</v>
      </c>
      <c r="Q225" s="34">
        <f t="shared" si="14"/>
        <v>800</v>
      </c>
      <c r="R225" s="34">
        <f>H225*P225*Settings!$B$13</f>
        <v>0</v>
      </c>
      <c r="S225" s="34">
        <f>J225*P225*(Settings!$B$14-1)</f>
        <v>0</v>
      </c>
      <c r="T225" s="34">
        <f>K225*P225*(Settings!$B$15-1)</f>
        <v>0</v>
      </c>
      <c r="U225" s="34">
        <f t="shared" si="15"/>
        <v>800</v>
      </c>
      <c r="V225" s="26" t="str">
        <f>Auto_Roster!O225</f>
        <v>Pending</v>
      </c>
      <c r="W225" s="26" t="e">
        <f ca="1">_xludf.TEXTJOIN("; ",TRUE,Auto_Roster!N225,IF(G225&gt;Settings!$B$19,"Approval required &gt; standard hours",""),IF(AND(F225&lt;&gt;"Off",G225=0),"Missing claimed hours",""))</f>
        <v>#NAME?</v>
      </c>
      <c r="X225" s="7"/>
    </row>
    <row r="226" spans="1:24" x14ac:dyDescent="0.35">
      <c r="A226" s="31">
        <f>Auto_Roster!A226</f>
        <v>46154</v>
      </c>
      <c r="B226" s="31">
        <f>Auto_Roster!B226</f>
        <v>46153</v>
      </c>
      <c r="C226" s="26" t="str">
        <f>Auto_Roster!C226</f>
        <v>E003</v>
      </c>
      <c r="D226" s="26" t="str">
        <f>Auto_Roster!D226</f>
        <v>Dimpho Makhafola</v>
      </c>
      <c r="E226" s="26" t="str">
        <f>Auto_Roster!E226</f>
        <v>C</v>
      </c>
      <c r="F226" s="26" t="str">
        <f>Auto_Roster!G226</f>
        <v>Evening</v>
      </c>
      <c r="G226" s="33">
        <f>Auto_Roster!J226</f>
        <v>8</v>
      </c>
      <c r="H226" s="33">
        <f>IF(G226&gt;Settings!$B$19,G226-Settings!$B$19,0)</f>
        <v>0</v>
      </c>
      <c r="I226" s="33">
        <f t="shared" si="12"/>
        <v>8</v>
      </c>
      <c r="J226" s="33">
        <f>IF(Auto_Roster!M226="Y",G226,0)</f>
        <v>0</v>
      </c>
      <c r="K226" s="33">
        <f>IF(Auto_Roster!L226="Y",G226,0)</f>
        <v>0</v>
      </c>
      <c r="L226" s="26" t="str">
        <f>Auto_Roster!K226</f>
        <v>N</v>
      </c>
      <c r="M226" s="34">
        <f>IF(L226="Y",Settings!$B$16,0)</f>
        <v>0</v>
      </c>
      <c r="N226" s="33">
        <f t="shared" si="13"/>
        <v>0</v>
      </c>
      <c r="O226" s="34">
        <f>N226*Settings!$B$17</f>
        <v>0</v>
      </c>
      <c r="P226" s="34">
        <f>IFERROR(VLOOKUP(C226,Employees!$A$4:$E$103,5,FALSE),Settings!$B$18)</f>
        <v>100</v>
      </c>
      <c r="Q226" s="34">
        <f t="shared" si="14"/>
        <v>800</v>
      </c>
      <c r="R226" s="34">
        <f>H226*P226*Settings!$B$13</f>
        <v>0</v>
      </c>
      <c r="S226" s="34">
        <f>J226*P226*(Settings!$B$14-1)</f>
        <v>0</v>
      </c>
      <c r="T226" s="34">
        <f>K226*P226*(Settings!$B$15-1)</f>
        <v>0</v>
      </c>
      <c r="U226" s="34">
        <f t="shared" si="15"/>
        <v>800</v>
      </c>
      <c r="V226" s="26" t="str">
        <f>Auto_Roster!O226</f>
        <v>Pending</v>
      </c>
      <c r="W226" s="26" t="e">
        <f ca="1">_xludf.TEXTJOIN("; ",TRUE,Auto_Roster!N226,IF(G226&gt;Settings!$B$19,"Approval required &gt; standard hours",""),IF(AND(F226&lt;&gt;"Off",G226=0),"Missing claimed hours",""))</f>
        <v>#NAME?</v>
      </c>
      <c r="X226" s="7"/>
    </row>
    <row r="227" spans="1:24" x14ac:dyDescent="0.35">
      <c r="A227" s="31">
        <f>Auto_Roster!A227</f>
        <v>46154</v>
      </c>
      <c r="B227" s="31">
        <f>Auto_Roster!B227</f>
        <v>46153</v>
      </c>
      <c r="C227" s="26" t="str">
        <f>Auto_Roster!C227</f>
        <v>E004</v>
      </c>
      <c r="D227" s="26" t="str">
        <f>Auto_Roster!D227</f>
        <v>Bashii Fall</v>
      </c>
      <c r="E227" s="26" t="str">
        <f>Auto_Roster!E227</f>
        <v>D</v>
      </c>
      <c r="F227" s="26" t="str">
        <f>Auto_Roster!G227</f>
        <v>Day</v>
      </c>
      <c r="G227" s="33">
        <f>Auto_Roster!J227</f>
        <v>8</v>
      </c>
      <c r="H227" s="33">
        <f>IF(G227&gt;Settings!$B$19,G227-Settings!$B$19,0)</f>
        <v>0</v>
      </c>
      <c r="I227" s="33">
        <f t="shared" si="12"/>
        <v>8</v>
      </c>
      <c r="J227" s="33">
        <f>IF(Auto_Roster!M227="Y",G227,0)</f>
        <v>0</v>
      </c>
      <c r="K227" s="33">
        <f>IF(Auto_Roster!L227="Y",G227,0)</f>
        <v>0</v>
      </c>
      <c r="L227" s="26" t="str">
        <f>Auto_Roster!K227</f>
        <v>N</v>
      </c>
      <c r="M227" s="34">
        <f>IF(L227="Y",Settings!$B$16,0)</f>
        <v>0</v>
      </c>
      <c r="N227" s="33">
        <f t="shared" si="13"/>
        <v>0</v>
      </c>
      <c r="O227" s="34">
        <f>N227*Settings!$B$17</f>
        <v>0</v>
      </c>
      <c r="P227" s="34">
        <f>IFERROR(VLOOKUP(C227,Employees!$A$4:$E$103,5,FALSE),Settings!$B$18)</f>
        <v>100</v>
      </c>
      <c r="Q227" s="34">
        <f t="shared" si="14"/>
        <v>800</v>
      </c>
      <c r="R227" s="34">
        <f>H227*P227*Settings!$B$13</f>
        <v>0</v>
      </c>
      <c r="S227" s="34">
        <f>J227*P227*(Settings!$B$14-1)</f>
        <v>0</v>
      </c>
      <c r="T227" s="34">
        <f>K227*P227*(Settings!$B$15-1)</f>
        <v>0</v>
      </c>
      <c r="U227" s="34">
        <f t="shared" si="15"/>
        <v>800</v>
      </c>
      <c r="V227" s="26" t="str">
        <f>Auto_Roster!O227</f>
        <v>Pending</v>
      </c>
      <c r="W227" s="26" t="e">
        <f ca="1">_xludf.TEXTJOIN("; ",TRUE,Auto_Roster!N227,IF(G227&gt;Settings!$B$19,"Approval required &gt; standard hours",""),IF(AND(F227&lt;&gt;"Off",G227=0),"Missing claimed hours",""))</f>
        <v>#NAME?</v>
      </c>
      <c r="X227" s="7"/>
    </row>
    <row r="228" spans="1:24" x14ac:dyDescent="0.35">
      <c r="A228" s="31">
        <f>Auto_Roster!A228</f>
        <v>46154</v>
      </c>
      <c r="B228" s="31">
        <f>Auto_Roster!B228</f>
        <v>46153</v>
      </c>
      <c r="C228" s="26" t="str">
        <f>Auto_Roster!C228</f>
        <v>E005</v>
      </c>
      <c r="D228" s="26" t="str">
        <f>Auto_Roster!D228</f>
        <v>Lesego Aphane</v>
      </c>
      <c r="E228" s="26" t="str">
        <f>Auto_Roster!E228</f>
        <v>A</v>
      </c>
      <c r="F228" s="26" t="str">
        <f>Auto_Roster!G228</f>
        <v>Off</v>
      </c>
      <c r="G228" s="33">
        <f>Auto_Roster!J228</f>
        <v>0</v>
      </c>
      <c r="H228" s="33">
        <f>IF(G228&gt;Settings!$B$19,G228-Settings!$B$19,0)</f>
        <v>0</v>
      </c>
      <c r="I228" s="33">
        <f t="shared" si="12"/>
        <v>0</v>
      </c>
      <c r="J228" s="33">
        <f>IF(Auto_Roster!M228="Y",G228,0)</f>
        <v>0</v>
      </c>
      <c r="K228" s="33">
        <f>IF(Auto_Roster!L228="Y",G228,0)</f>
        <v>0</v>
      </c>
      <c r="L228" s="26" t="str">
        <f>Auto_Roster!K228</f>
        <v>N</v>
      </c>
      <c r="M228" s="34">
        <f>IF(L228="Y",Settings!$B$16,0)</f>
        <v>0</v>
      </c>
      <c r="N228" s="33">
        <f t="shared" si="13"/>
        <v>0</v>
      </c>
      <c r="O228" s="34">
        <f>N228*Settings!$B$17</f>
        <v>0</v>
      </c>
      <c r="P228" s="34">
        <f>IFERROR(VLOOKUP(C228,Employees!$A$4:$E$103,5,FALSE),Settings!$B$18)</f>
        <v>100</v>
      </c>
      <c r="Q228" s="34">
        <f t="shared" si="14"/>
        <v>0</v>
      </c>
      <c r="R228" s="34">
        <f>H228*P228*Settings!$B$13</f>
        <v>0</v>
      </c>
      <c r="S228" s="34">
        <f>J228*P228*(Settings!$B$14-1)</f>
        <v>0</v>
      </c>
      <c r="T228" s="34">
        <f>K228*P228*(Settings!$B$15-1)</f>
        <v>0</v>
      </c>
      <c r="U228" s="34">
        <f t="shared" si="15"/>
        <v>0</v>
      </c>
      <c r="V228" s="26" t="str">
        <f>Auto_Roster!O228</f>
        <v>Pending</v>
      </c>
      <c r="W228" s="26" t="e">
        <f ca="1">_xludf.TEXTJOIN("; ",TRUE,Auto_Roster!N228,IF(G228&gt;Settings!$B$19,"Approval required &gt; standard hours",""),IF(AND(F228&lt;&gt;"Off",G228=0),"Missing claimed hours",""))</f>
        <v>#NAME?</v>
      </c>
      <c r="X228" s="7"/>
    </row>
    <row r="229" spans="1:24" x14ac:dyDescent="0.35">
      <c r="A229" s="31">
        <f>Auto_Roster!A229</f>
        <v>46154</v>
      </c>
      <c r="B229" s="31">
        <f>Auto_Roster!B229</f>
        <v>46153</v>
      </c>
      <c r="C229" s="26" t="str">
        <f>Auto_Roster!C229</f>
        <v>E006</v>
      </c>
      <c r="D229" s="26" t="str">
        <f>Auto_Roster!D229</f>
        <v>Nhalnahla</v>
      </c>
      <c r="E229" s="26" t="str">
        <f>Auto_Roster!E229</f>
        <v>B</v>
      </c>
      <c r="F229" s="26" t="str">
        <f>Auto_Roster!G229</f>
        <v>Night</v>
      </c>
      <c r="G229" s="33">
        <f>Auto_Roster!J229</f>
        <v>8</v>
      </c>
      <c r="H229" s="33">
        <f>IF(G229&gt;Settings!$B$19,G229-Settings!$B$19,0)</f>
        <v>0</v>
      </c>
      <c r="I229" s="33">
        <f t="shared" si="12"/>
        <v>8</v>
      </c>
      <c r="J229" s="33">
        <f>IF(Auto_Roster!M229="Y",G229,0)</f>
        <v>0</v>
      </c>
      <c r="K229" s="33">
        <f>IF(Auto_Roster!L229="Y",G229,0)</f>
        <v>0</v>
      </c>
      <c r="L229" s="26" t="str">
        <f>Auto_Roster!K229</f>
        <v>N</v>
      </c>
      <c r="M229" s="34">
        <f>IF(L229="Y",Settings!$B$16,0)</f>
        <v>0</v>
      </c>
      <c r="N229" s="33">
        <f t="shared" si="13"/>
        <v>8</v>
      </c>
      <c r="O229" s="34">
        <f>N229*Settings!$B$17</f>
        <v>0</v>
      </c>
      <c r="P229" s="34">
        <f>IFERROR(VLOOKUP(C229,Employees!$A$4:$E$103,5,FALSE),Settings!$B$18)</f>
        <v>100</v>
      </c>
      <c r="Q229" s="34">
        <f t="shared" si="14"/>
        <v>800</v>
      </c>
      <c r="R229" s="34">
        <f>H229*P229*Settings!$B$13</f>
        <v>0</v>
      </c>
      <c r="S229" s="34">
        <f>J229*P229*(Settings!$B$14-1)</f>
        <v>0</v>
      </c>
      <c r="T229" s="34">
        <f>K229*P229*(Settings!$B$15-1)</f>
        <v>0</v>
      </c>
      <c r="U229" s="34">
        <f t="shared" si="15"/>
        <v>800</v>
      </c>
      <c r="V229" s="26" t="str">
        <f>Auto_Roster!O229</f>
        <v>Pending</v>
      </c>
      <c r="W229" s="26" t="e">
        <f ca="1">_xludf.TEXTJOIN("; ",TRUE,Auto_Roster!N229,IF(G229&gt;Settings!$B$19,"Approval required &gt; standard hours",""),IF(AND(F229&lt;&gt;"Off",G229=0),"Missing claimed hours",""))</f>
        <v>#NAME?</v>
      </c>
      <c r="X229" s="7"/>
    </row>
    <row r="230" spans="1:24" x14ac:dyDescent="0.35">
      <c r="A230" s="31">
        <f>Auto_Roster!A230</f>
        <v>46154</v>
      </c>
      <c r="B230" s="31">
        <f>Auto_Roster!B230</f>
        <v>46153</v>
      </c>
      <c r="C230" s="26" t="str">
        <f>Auto_Roster!C230</f>
        <v>E007</v>
      </c>
      <c r="D230" s="26" t="str">
        <f>Auto_Roster!D230</f>
        <v>Joe</v>
      </c>
      <c r="E230" s="26" t="str">
        <f>Auto_Roster!E230</f>
        <v>C</v>
      </c>
      <c r="F230" s="26" t="str">
        <f>Auto_Roster!G230</f>
        <v>Evening</v>
      </c>
      <c r="G230" s="33">
        <f>Auto_Roster!J230</f>
        <v>8</v>
      </c>
      <c r="H230" s="33">
        <f>IF(G230&gt;Settings!$B$19,G230-Settings!$B$19,0)</f>
        <v>0</v>
      </c>
      <c r="I230" s="33">
        <f t="shared" si="12"/>
        <v>8</v>
      </c>
      <c r="J230" s="33">
        <f>IF(Auto_Roster!M230="Y",G230,0)</f>
        <v>0</v>
      </c>
      <c r="K230" s="33">
        <f>IF(Auto_Roster!L230="Y",G230,0)</f>
        <v>0</v>
      </c>
      <c r="L230" s="26" t="str">
        <f>Auto_Roster!K230</f>
        <v>N</v>
      </c>
      <c r="M230" s="34">
        <f>IF(L230="Y",Settings!$B$16,0)</f>
        <v>0</v>
      </c>
      <c r="N230" s="33">
        <f t="shared" si="13"/>
        <v>0</v>
      </c>
      <c r="O230" s="34">
        <f>N230*Settings!$B$17</f>
        <v>0</v>
      </c>
      <c r="P230" s="34">
        <f>IFERROR(VLOOKUP(C230,Employees!$A$4:$E$103,5,FALSE),Settings!$B$18)</f>
        <v>100</v>
      </c>
      <c r="Q230" s="34">
        <f t="shared" si="14"/>
        <v>800</v>
      </c>
      <c r="R230" s="34">
        <f>H230*P230*Settings!$B$13</f>
        <v>0</v>
      </c>
      <c r="S230" s="34">
        <f>J230*P230*(Settings!$B$14-1)</f>
        <v>0</v>
      </c>
      <c r="T230" s="34">
        <f>K230*P230*(Settings!$B$15-1)</f>
        <v>0</v>
      </c>
      <c r="U230" s="34">
        <f t="shared" si="15"/>
        <v>800</v>
      </c>
      <c r="V230" s="26" t="str">
        <f>Auto_Roster!O230</f>
        <v>Pending</v>
      </c>
      <c r="W230" s="26" t="e">
        <f ca="1">_xludf.TEXTJOIN("; ",TRUE,Auto_Roster!N230,IF(G230&gt;Settings!$B$19,"Approval required &gt; standard hours",""),IF(AND(F230&lt;&gt;"Off",G230=0),"Missing claimed hours",""))</f>
        <v>#NAME?</v>
      </c>
      <c r="X230" s="7"/>
    </row>
    <row r="231" spans="1:24" x14ac:dyDescent="0.35">
      <c r="A231" s="31">
        <f>Auto_Roster!A231</f>
        <v>46154</v>
      </c>
      <c r="B231" s="31">
        <f>Auto_Roster!B231</f>
        <v>46153</v>
      </c>
      <c r="C231" s="26" t="str">
        <f>Auto_Roster!C231</f>
        <v>E008</v>
      </c>
      <c r="D231" s="26" t="str">
        <f>Auto_Roster!D231</f>
        <v>Tim</v>
      </c>
      <c r="E231" s="26" t="str">
        <f>Auto_Roster!E231</f>
        <v>D</v>
      </c>
      <c r="F231" s="26" t="str">
        <f>Auto_Roster!G231</f>
        <v>Day</v>
      </c>
      <c r="G231" s="33">
        <f>Auto_Roster!J231</f>
        <v>8</v>
      </c>
      <c r="H231" s="33">
        <f>IF(G231&gt;Settings!$B$19,G231-Settings!$B$19,0)</f>
        <v>0</v>
      </c>
      <c r="I231" s="33">
        <f t="shared" si="12"/>
        <v>8</v>
      </c>
      <c r="J231" s="33">
        <f>IF(Auto_Roster!M231="Y",G231,0)</f>
        <v>0</v>
      </c>
      <c r="K231" s="33">
        <f>IF(Auto_Roster!L231="Y",G231,0)</f>
        <v>0</v>
      </c>
      <c r="L231" s="26" t="str">
        <f>Auto_Roster!K231</f>
        <v>N</v>
      </c>
      <c r="M231" s="34">
        <f>IF(L231="Y",Settings!$B$16,0)</f>
        <v>0</v>
      </c>
      <c r="N231" s="33">
        <f t="shared" si="13"/>
        <v>0</v>
      </c>
      <c r="O231" s="34">
        <f>N231*Settings!$B$17</f>
        <v>0</v>
      </c>
      <c r="P231" s="34">
        <f>IFERROR(VLOOKUP(C231,Employees!$A$4:$E$103,5,FALSE),Settings!$B$18)</f>
        <v>100</v>
      </c>
      <c r="Q231" s="34">
        <f t="shared" si="14"/>
        <v>800</v>
      </c>
      <c r="R231" s="34">
        <f>H231*P231*Settings!$B$13</f>
        <v>0</v>
      </c>
      <c r="S231" s="34">
        <f>J231*P231*(Settings!$B$14-1)</f>
        <v>0</v>
      </c>
      <c r="T231" s="34">
        <f>K231*P231*(Settings!$B$15-1)</f>
        <v>0</v>
      </c>
      <c r="U231" s="34">
        <f t="shared" si="15"/>
        <v>800</v>
      </c>
      <c r="V231" s="26" t="str">
        <f>Auto_Roster!O231</f>
        <v>Pending</v>
      </c>
      <c r="W231" s="26" t="e">
        <f ca="1">_xludf.TEXTJOIN("; ",TRUE,Auto_Roster!N231,IF(G231&gt;Settings!$B$19,"Approval required &gt; standard hours",""),IF(AND(F231&lt;&gt;"Off",G231=0),"Missing claimed hours",""))</f>
        <v>#NAME?</v>
      </c>
      <c r="X231" s="7"/>
    </row>
    <row r="232" spans="1:24" x14ac:dyDescent="0.35">
      <c r="A232" s="31">
        <f>Auto_Roster!A232</f>
        <v>46154</v>
      </c>
      <c r="B232" s="31">
        <f>Auto_Roster!B232</f>
        <v>46153</v>
      </c>
      <c r="C232" s="26" t="str">
        <f>Auto_Roster!C232</f>
        <v>E009</v>
      </c>
      <c r="D232" s="26" t="str">
        <f>Auto_Roster!D232</f>
        <v>Frank</v>
      </c>
      <c r="E232" s="26" t="str">
        <f>Auto_Roster!E232</f>
        <v>A</v>
      </c>
      <c r="F232" s="26" t="str">
        <f>Auto_Roster!G232</f>
        <v>Off</v>
      </c>
      <c r="G232" s="33">
        <f>Auto_Roster!J232</f>
        <v>0</v>
      </c>
      <c r="H232" s="33">
        <f>IF(G232&gt;Settings!$B$19,G232-Settings!$B$19,0)</f>
        <v>0</v>
      </c>
      <c r="I232" s="33">
        <f t="shared" si="12"/>
        <v>0</v>
      </c>
      <c r="J232" s="33">
        <f>IF(Auto_Roster!M232="Y",G232,0)</f>
        <v>0</v>
      </c>
      <c r="K232" s="33">
        <f>IF(Auto_Roster!L232="Y",G232,0)</f>
        <v>0</v>
      </c>
      <c r="L232" s="26" t="str">
        <f>Auto_Roster!K232</f>
        <v>N</v>
      </c>
      <c r="M232" s="34">
        <f>IF(L232="Y",Settings!$B$16,0)</f>
        <v>0</v>
      </c>
      <c r="N232" s="33">
        <f t="shared" si="13"/>
        <v>0</v>
      </c>
      <c r="O232" s="34">
        <f>N232*Settings!$B$17</f>
        <v>0</v>
      </c>
      <c r="P232" s="34">
        <f>IFERROR(VLOOKUP(C232,Employees!$A$4:$E$103,5,FALSE),Settings!$B$18)</f>
        <v>100</v>
      </c>
      <c r="Q232" s="34">
        <f t="shared" si="14"/>
        <v>0</v>
      </c>
      <c r="R232" s="34">
        <f>H232*P232*Settings!$B$13</f>
        <v>0</v>
      </c>
      <c r="S232" s="34">
        <f>J232*P232*(Settings!$B$14-1)</f>
        <v>0</v>
      </c>
      <c r="T232" s="34">
        <f>K232*P232*(Settings!$B$15-1)</f>
        <v>0</v>
      </c>
      <c r="U232" s="34">
        <f t="shared" si="15"/>
        <v>0</v>
      </c>
      <c r="V232" s="26" t="str">
        <f>Auto_Roster!O232</f>
        <v>Pending</v>
      </c>
      <c r="W232" s="26" t="e">
        <f ca="1">_xludf.TEXTJOIN("; ",TRUE,Auto_Roster!N232,IF(G232&gt;Settings!$B$19,"Approval required &gt; standard hours",""),IF(AND(F232&lt;&gt;"Off",G232=0),"Missing claimed hours",""))</f>
        <v>#NAME?</v>
      </c>
      <c r="X232" s="7"/>
    </row>
    <row r="233" spans="1:24" x14ac:dyDescent="0.35">
      <c r="A233" s="31">
        <f>Auto_Roster!A233</f>
        <v>46154</v>
      </c>
      <c r="B233" s="31">
        <f>Auto_Roster!B233</f>
        <v>46153</v>
      </c>
      <c r="C233" s="26" t="str">
        <f>Auto_Roster!C233</f>
        <v/>
      </c>
      <c r="D233" s="26" t="str">
        <f>Auto_Roster!D233</f>
        <v/>
      </c>
      <c r="E233" s="26" t="str">
        <f>Auto_Roster!E233</f>
        <v/>
      </c>
      <c r="F233" s="26" t="str">
        <f>Auto_Roster!G233</f>
        <v/>
      </c>
      <c r="G233" s="33">
        <f>Auto_Roster!J233</f>
        <v>0</v>
      </c>
      <c r="H233" s="33">
        <f>IF(G233&gt;Settings!$B$19,G233-Settings!$B$19,0)</f>
        <v>0</v>
      </c>
      <c r="I233" s="33">
        <f t="shared" si="12"/>
        <v>0</v>
      </c>
      <c r="J233" s="33">
        <f>IF(Auto_Roster!M233="Y",G233,0)</f>
        <v>0</v>
      </c>
      <c r="K233" s="33">
        <f>IF(Auto_Roster!L233="Y",G233,0)</f>
        <v>0</v>
      </c>
      <c r="L233" s="26" t="str">
        <f>Auto_Roster!K233</f>
        <v>N</v>
      </c>
      <c r="M233" s="34">
        <f>IF(L233="Y",Settings!$B$16,0)</f>
        <v>0</v>
      </c>
      <c r="N233" s="33">
        <f t="shared" si="13"/>
        <v>0</v>
      </c>
      <c r="O233" s="34">
        <f>N233*Settings!$B$17</f>
        <v>0</v>
      </c>
      <c r="P233" s="34">
        <f>IFERROR(VLOOKUP(C233,Employees!$A$4:$E$103,5,FALSE),Settings!$B$18)</f>
        <v>100</v>
      </c>
      <c r="Q233" s="34">
        <f t="shared" si="14"/>
        <v>0</v>
      </c>
      <c r="R233" s="34">
        <f>H233*P233*Settings!$B$13</f>
        <v>0</v>
      </c>
      <c r="S233" s="34">
        <f>J233*P233*(Settings!$B$14-1)</f>
        <v>0</v>
      </c>
      <c r="T233" s="34">
        <f>K233*P233*(Settings!$B$15-1)</f>
        <v>0</v>
      </c>
      <c r="U233" s="34">
        <f t="shared" si="15"/>
        <v>0</v>
      </c>
      <c r="V233" s="26" t="str">
        <f>Auto_Roster!O233</f>
        <v>Pending</v>
      </c>
      <c r="W233" s="26" t="e">
        <f ca="1">_xludf.TEXTJOIN("; ",TRUE,Auto_Roster!N233,IF(G233&gt;Settings!$B$19,"Approval required &gt; standard hours",""),IF(AND(F233&lt;&gt;"Off",G233=0),"Missing claimed hours",""))</f>
        <v>#NAME?</v>
      </c>
      <c r="X233" s="7"/>
    </row>
    <row r="234" spans="1:24" x14ac:dyDescent="0.35">
      <c r="A234" s="31">
        <f>Auto_Roster!A234</f>
        <v>46154</v>
      </c>
      <c r="B234" s="31">
        <f>Auto_Roster!B234</f>
        <v>46153</v>
      </c>
      <c r="C234" s="26" t="str">
        <f>Auto_Roster!C234</f>
        <v/>
      </c>
      <c r="D234" s="26" t="str">
        <f>Auto_Roster!D234</f>
        <v/>
      </c>
      <c r="E234" s="26" t="str">
        <f>Auto_Roster!E234</f>
        <v/>
      </c>
      <c r="F234" s="26" t="str">
        <f>Auto_Roster!G234</f>
        <v/>
      </c>
      <c r="G234" s="33">
        <f>Auto_Roster!J234</f>
        <v>0</v>
      </c>
      <c r="H234" s="33">
        <f>IF(G234&gt;Settings!$B$19,G234-Settings!$B$19,0)</f>
        <v>0</v>
      </c>
      <c r="I234" s="33">
        <f t="shared" si="12"/>
        <v>0</v>
      </c>
      <c r="J234" s="33">
        <f>IF(Auto_Roster!M234="Y",G234,0)</f>
        <v>0</v>
      </c>
      <c r="K234" s="33">
        <f>IF(Auto_Roster!L234="Y",G234,0)</f>
        <v>0</v>
      </c>
      <c r="L234" s="26" t="str">
        <f>Auto_Roster!K234</f>
        <v>N</v>
      </c>
      <c r="M234" s="34">
        <f>IF(L234="Y",Settings!$B$16,0)</f>
        <v>0</v>
      </c>
      <c r="N234" s="33">
        <f t="shared" si="13"/>
        <v>0</v>
      </c>
      <c r="O234" s="34">
        <f>N234*Settings!$B$17</f>
        <v>0</v>
      </c>
      <c r="P234" s="34">
        <f>IFERROR(VLOOKUP(C234,Employees!$A$4:$E$103,5,FALSE),Settings!$B$18)</f>
        <v>100</v>
      </c>
      <c r="Q234" s="34">
        <f t="shared" si="14"/>
        <v>0</v>
      </c>
      <c r="R234" s="34">
        <f>H234*P234*Settings!$B$13</f>
        <v>0</v>
      </c>
      <c r="S234" s="34">
        <f>J234*P234*(Settings!$B$14-1)</f>
        <v>0</v>
      </c>
      <c r="T234" s="34">
        <f>K234*P234*(Settings!$B$15-1)</f>
        <v>0</v>
      </c>
      <c r="U234" s="34">
        <f t="shared" si="15"/>
        <v>0</v>
      </c>
      <c r="V234" s="26" t="str">
        <f>Auto_Roster!O234</f>
        <v>Pending</v>
      </c>
      <c r="W234" s="26" t="e">
        <f ca="1">_xludf.TEXTJOIN("; ",TRUE,Auto_Roster!N234,IF(G234&gt;Settings!$B$19,"Approval required &gt; standard hours",""),IF(AND(F234&lt;&gt;"Off",G234=0),"Missing claimed hours",""))</f>
        <v>#NAME?</v>
      </c>
      <c r="X234" s="7"/>
    </row>
    <row r="235" spans="1:24" x14ac:dyDescent="0.35">
      <c r="A235" s="31">
        <f>Auto_Roster!A235</f>
        <v>46154</v>
      </c>
      <c r="B235" s="31">
        <f>Auto_Roster!B235</f>
        <v>46153</v>
      </c>
      <c r="C235" s="26" t="str">
        <f>Auto_Roster!C235</f>
        <v/>
      </c>
      <c r="D235" s="26" t="str">
        <f>Auto_Roster!D235</f>
        <v/>
      </c>
      <c r="E235" s="26" t="str">
        <f>Auto_Roster!E235</f>
        <v/>
      </c>
      <c r="F235" s="26" t="str">
        <f>Auto_Roster!G235</f>
        <v/>
      </c>
      <c r="G235" s="33">
        <f>Auto_Roster!J235</f>
        <v>0</v>
      </c>
      <c r="H235" s="33">
        <f>IF(G235&gt;Settings!$B$19,G235-Settings!$B$19,0)</f>
        <v>0</v>
      </c>
      <c r="I235" s="33">
        <f t="shared" si="12"/>
        <v>0</v>
      </c>
      <c r="J235" s="33">
        <f>IF(Auto_Roster!M235="Y",G235,0)</f>
        <v>0</v>
      </c>
      <c r="K235" s="33">
        <f>IF(Auto_Roster!L235="Y",G235,0)</f>
        <v>0</v>
      </c>
      <c r="L235" s="26" t="str">
        <f>Auto_Roster!K235</f>
        <v>N</v>
      </c>
      <c r="M235" s="34">
        <f>IF(L235="Y",Settings!$B$16,0)</f>
        <v>0</v>
      </c>
      <c r="N235" s="33">
        <f t="shared" si="13"/>
        <v>0</v>
      </c>
      <c r="O235" s="34">
        <f>N235*Settings!$B$17</f>
        <v>0</v>
      </c>
      <c r="P235" s="34">
        <f>IFERROR(VLOOKUP(C235,Employees!$A$4:$E$103,5,FALSE),Settings!$B$18)</f>
        <v>100</v>
      </c>
      <c r="Q235" s="34">
        <f t="shared" si="14"/>
        <v>0</v>
      </c>
      <c r="R235" s="34">
        <f>H235*P235*Settings!$B$13</f>
        <v>0</v>
      </c>
      <c r="S235" s="34">
        <f>J235*P235*(Settings!$B$14-1)</f>
        <v>0</v>
      </c>
      <c r="T235" s="34">
        <f>K235*P235*(Settings!$B$15-1)</f>
        <v>0</v>
      </c>
      <c r="U235" s="34">
        <f t="shared" si="15"/>
        <v>0</v>
      </c>
      <c r="V235" s="26" t="str">
        <f>Auto_Roster!O235</f>
        <v>Pending</v>
      </c>
      <c r="W235" s="26" t="e">
        <f ca="1">_xludf.TEXTJOIN("; ",TRUE,Auto_Roster!N235,IF(G235&gt;Settings!$B$19,"Approval required &gt; standard hours",""),IF(AND(F235&lt;&gt;"Off",G235=0),"Missing claimed hours",""))</f>
        <v>#NAME?</v>
      </c>
      <c r="X235" s="7"/>
    </row>
    <row r="236" spans="1:24" x14ac:dyDescent="0.35">
      <c r="A236" s="31">
        <f>Auto_Roster!A236</f>
        <v>46154</v>
      </c>
      <c r="B236" s="31">
        <f>Auto_Roster!B236</f>
        <v>46153</v>
      </c>
      <c r="C236" s="26" t="str">
        <f>Auto_Roster!C236</f>
        <v/>
      </c>
      <c r="D236" s="26" t="str">
        <f>Auto_Roster!D236</f>
        <v/>
      </c>
      <c r="E236" s="26" t="str">
        <f>Auto_Roster!E236</f>
        <v/>
      </c>
      <c r="F236" s="26" t="str">
        <f>Auto_Roster!G236</f>
        <v/>
      </c>
      <c r="G236" s="33">
        <f>Auto_Roster!J236</f>
        <v>0</v>
      </c>
      <c r="H236" s="33">
        <f>IF(G236&gt;Settings!$B$19,G236-Settings!$B$19,0)</f>
        <v>0</v>
      </c>
      <c r="I236" s="33">
        <f t="shared" si="12"/>
        <v>0</v>
      </c>
      <c r="J236" s="33">
        <f>IF(Auto_Roster!M236="Y",G236,0)</f>
        <v>0</v>
      </c>
      <c r="K236" s="33">
        <f>IF(Auto_Roster!L236="Y",G236,0)</f>
        <v>0</v>
      </c>
      <c r="L236" s="26" t="str">
        <f>Auto_Roster!K236</f>
        <v>N</v>
      </c>
      <c r="M236" s="34">
        <f>IF(L236="Y",Settings!$B$16,0)</f>
        <v>0</v>
      </c>
      <c r="N236" s="33">
        <f t="shared" si="13"/>
        <v>0</v>
      </c>
      <c r="O236" s="34">
        <f>N236*Settings!$B$17</f>
        <v>0</v>
      </c>
      <c r="P236" s="34">
        <f>IFERROR(VLOOKUP(C236,Employees!$A$4:$E$103,5,FALSE),Settings!$B$18)</f>
        <v>100</v>
      </c>
      <c r="Q236" s="34">
        <f t="shared" si="14"/>
        <v>0</v>
      </c>
      <c r="R236" s="34">
        <f>H236*P236*Settings!$B$13</f>
        <v>0</v>
      </c>
      <c r="S236" s="34">
        <f>J236*P236*(Settings!$B$14-1)</f>
        <v>0</v>
      </c>
      <c r="T236" s="34">
        <f>K236*P236*(Settings!$B$15-1)</f>
        <v>0</v>
      </c>
      <c r="U236" s="34">
        <f t="shared" si="15"/>
        <v>0</v>
      </c>
      <c r="V236" s="26" t="str">
        <f>Auto_Roster!O236</f>
        <v>Pending</v>
      </c>
      <c r="W236" s="26" t="e">
        <f ca="1">_xludf.TEXTJOIN("; ",TRUE,Auto_Roster!N236,IF(G236&gt;Settings!$B$19,"Approval required &gt; standard hours",""),IF(AND(F236&lt;&gt;"Off",G236=0),"Missing claimed hours",""))</f>
        <v>#NAME?</v>
      </c>
      <c r="X236" s="7"/>
    </row>
    <row r="237" spans="1:24" x14ac:dyDescent="0.35">
      <c r="A237" s="31">
        <f>Auto_Roster!A237</f>
        <v>46154</v>
      </c>
      <c r="B237" s="31">
        <f>Auto_Roster!B237</f>
        <v>46153</v>
      </c>
      <c r="C237" s="26" t="str">
        <f>Auto_Roster!C237</f>
        <v/>
      </c>
      <c r="D237" s="26" t="str">
        <f>Auto_Roster!D237</f>
        <v/>
      </c>
      <c r="E237" s="26" t="str">
        <f>Auto_Roster!E237</f>
        <v/>
      </c>
      <c r="F237" s="26" t="str">
        <f>Auto_Roster!G237</f>
        <v/>
      </c>
      <c r="G237" s="33">
        <f>Auto_Roster!J237</f>
        <v>0</v>
      </c>
      <c r="H237" s="33">
        <f>IF(G237&gt;Settings!$B$19,G237-Settings!$B$19,0)</f>
        <v>0</v>
      </c>
      <c r="I237" s="33">
        <f t="shared" si="12"/>
        <v>0</v>
      </c>
      <c r="J237" s="33">
        <f>IF(Auto_Roster!M237="Y",G237,0)</f>
        <v>0</v>
      </c>
      <c r="K237" s="33">
        <f>IF(Auto_Roster!L237="Y",G237,0)</f>
        <v>0</v>
      </c>
      <c r="L237" s="26" t="str">
        <f>Auto_Roster!K237</f>
        <v>N</v>
      </c>
      <c r="M237" s="34">
        <f>IF(L237="Y",Settings!$B$16,0)</f>
        <v>0</v>
      </c>
      <c r="N237" s="33">
        <f t="shared" si="13"/>
        <v>0</v>
      </c>
      <c r="O237" s="34">
        <f>N237*Settings!$B$17</f>
        <v>0</v>
      </c>
      <c r="P237" s="34">
        <f>IFERROR(VLOOKUP(C237,Employees!$A$4:$E$103,5,FALSE),Settings!$B$18)</f>
        <v>100</v>
      </c>
      <c r="Q237" s="34">
        <f t="shared" si="14"/>
        <v>0</v>
      </c>
      <c r="R237" s="34">
        <f>H237*P237*Settings!$B$13</f>
        <v>0</v>
      </c>
      <c r="S237" s="34">
        <f>J237*P237*(Settings!$B$14-1)</f>
        <v>0</v>
      </c>
      <c r="T237" s="34">
        <f>K237*P237*(Settings!$B$15-1)</f>
        <v>0</v>
      </c>
      <c r="U237" s="34">
        <f t="shared" si="15"/>
        <v>0</v>
      </c>
      <c r="V237" s="26" t="str">
        <f>Auto_Roster!O237</f>
        <v>Pending</v>
      </c>
      <c r="W237" s="26" t="e">
        <f ca="1">_xludf.TEXTJOIN("; ",TRUE,Auto_Roster!N237,IF(G237&gt;Settings!$B$19,"Approval required &gt; standard hours",""),IF(AND(F237&lt;&gt;"Off",G237=0),"Missing claimed hours",""))</f>
        <v>#NAME?</v>
      </c>
      <c r="X237" s="7"/>
    </row>
    <row r="238" spans="1:24" x14ac:dyDescent="0.35">
      <c r="A238" s="31">
        <f>Auto_Roster!A238</f>
        <v>46154</v>
      </c>
      <c r="B238" s="31">
        <f>Auto_Roster!B238</f>
        <v>46153</v>
      </c>
      <c r="C238" s="26" t="str">
        <f>Auto_Roster!C238</f>
        <v/>
      </c>
      <c r="D238" s="26" t="str">
        <f>Auto_Roster!D238</f>
        <v/>
      </c>
      <c r="E238" s="26" t="str">
        <f>Auto_Roster!E238</f>
        <v/>
      </c>
      <c r="F238" s="26" t="str">
        <f>Auto_Roster!G238</f>
        <v/>
      </c>
      <c r="G238" s="33">
        <f>Auto_Roster!J238</f>
        <v>0</v>
      </c>
      <c r="H238" s="33">
        <f>IF(G238&gt;Settings!$B$19,G238-Settings!$B$19,0)</f>
        <v>0</v>
      </c>
      <c r="I238" s="33">
        <f t="shared" si="12"/>
        <v>0</v>
      </c>
      <c r="J238" s="33">
        <f>IF(Auto_Roster!M238="Y",G238,0)</f>
        <v>0</v>
      </c>
      <c r="K238" s="33">
        <f>IF(Auto_Roster!L238="Y",G238,0)</f>
        <v>0</v>
      </c>
      <c r="L238" s="26" t="str">
        <f>Auto_Roster!K238</f>
        <v>N</v>
      </c>
      <c r="M238" s="34">
        <f>IF(L238="Y",Settings!$B$16,0)</f>
        <v>0</v>
      </c>
      <c r="N238" s="33">
        <f t="shared" si="13"/>
        <v>0</v>
      </c>
      <c r="O238" s="34">
        <f>N238*Settings!$B$17</f>
        <v>0</v>
      </c>
      <c r="P238" s="34">
        <f>IFERROR(VLOOKUP(C238,Employees!$A$4:$E$103,5,FALSE),Settings!$B$18)</f>
        <v>100</v>
      </c>
      <c r="Q238" s="34">
        <f t="shared" si="14"/>
        <v>0</v>
      </c>
      <c r="R238" s="34">
        <f>H238*P238*Settings!$B$13</f>
        <v>0</v>
      </c>
      <c r="S238" s="34">
        <f>J238*P238*(Settings!$B$14-1)</f>
        <v>0</v>
      </c>
      <c r="T238" s="34">
        <f>K238*P238*(Settings!$B$15-1)</f>
        <v>0</v>
      </c>
      <c r="U238" s="34">
        <f t="shared" si="15"/>
        <v>0</v>
      </c>
      <c r="V238" s="26" t="str">
        <f>Auto_Roster!O238</f>
        <v>Pending</v>
      </c>
      <c r="W238" s="26" t="e">
        <f ca="1">_xludf.TEXTJOIN("; ",TRUE,Auto_Roster!N238,IF(G238&gt;Settings!$B$19,"Approval required &gt; standard hours",""),IF(AND(F238&lt;&gt;"Off",G238=0),"Missing claimed hours",""))</f>
        <v>#NAME?</v>
      </c>
      <c r="X238" s="7"/>
    </row>
    <row r="239" spans="1:24" x14ac:dyDescent="0.35">
      <c r="A239" s="31">
        <f>Auto_Roster!A239</f>
        <v>46154</v>
      </c>
      <c r="B239" s="31">
        <f>Auto_Roster!B239</f>
        <v>46153</v>
      </c>
      <c r="C239" s="26" t="str">
        <f>Auto_Roster!C239</f>
        <v/>
      </c>
      <c r="D239" s="26" t="str">
        <f>Auto_Roster!D239</f>
        <v/>
      </c>
      <c r="E239" s="26" t="str">
        <f>Auto_Roster!E239</f>
        <v/>
      </c>
      <c r="F239" s="26" t="str">
        <f>Auto_Roster!G239</f>
        <v/>
      </c>
      <c r="G239" s="33">
        <f>Auto_Roster!J239</f>
        <v>0</v>
      </c>
      <c r="H239" s="33">
        <f>IF(G239&gt;Settings!$B$19,G239-Settings!$B$19,0)</f>
        <v>0</v>
      </c>
      <c r="I239" s="33">
        <f t="shared" si="12"/>
        <v>0</v>
      </c>
      <c r="J239" s="33">
        <f>IF(Auto_Roster!M239="Y",G239,0)</f>
        <v>0</v>
      </c>
      <c r="K239" s="33">
        <f>IF(Auto_Roster!L239="Y",G239,0)</f>
        <v>0</v>
      </c>
      <c r="L239" s="26" t="str">
        <f>Auto_Roster!K239</f>
        <v>N</v>
      </c>
      <c r="M239" s="34">
        <f>IF(L239="Y",Settings!$B$16,0)</f>
        <v>0</v>
      </c>
      <c r="N239" s="33">
        <f t="shared" si="13"/>
        <v>0</v>
      </c>
      <c r="O239" s="34">
        <f>N239*Settings!$B$17</f>
        <v>0</v>
      </c>
      <c r="P239" s="34">
        <f>IFERROR(VLOOKUP(C239,Employees!$A$4:$E$103,5,FALSE),Settings!$B$18)</f>
        <v>100</v>
      </c>
      <c r="Q239" s="34">
        <f t="shared" si="14"/>
        <v>0</v>
      </c>
      <c r="R239" s="34">
        <f>H239*P239*Settings!$B$13</f>
        <v>0</v>
      </c>
      <c r="S239" s="34">
        <f>J239*P239*(Settings!$B$14-1)</f>
        <v>0</v>
      </c>
      <c r="T239" s="34">
        <f>K239*P239*(Settings!$B$15-1)</f>
        <v>0</v>
      </c>
      <c r="U239" s="34">
        <f t="shared" si="15"/>
        <v>0</v>
      </c>
      <c r="V239" s="26" t="str">
        <f>Auto_Roster!O239</f>
        <v>Pending</v>
      </c>
      <c r="W239" s="26" t="e">
        <f ca="1">_xludf.TEXTJOIN("; ",TRUE,Auto_Roster!N239,IF(G239&gt;Settings!$B$19,"Approval required &gt; standard hours",""),IF(AND(F239&lt;&gt;"Off",G239=0),"Missing claimed hours",""))</f>
        <v>#NAME?</v>
      </c>
      <c r="X239" s="7"/>
    </row>
    <row r="240" spans="1:24" x14ac:dyDescent="0.35">
      <c r="A240" s="31">
        <f>Auto_Roster!A240</f>
        <v>46154</v>
      </c>
      <c r="B240" s="31">
        <f>Auto_Roster!B240</f>
        <v>46153</v>
      </c>
      <c r="C240" s="26" t="str">
        <f>Auto_Roster!C240</f>
        <v/>
      </c>
      <c r="D240" s="26" t="str">
        <f>Auto_Roster!D240</f>
        <v/>
      </c>
      <c r="E240" s="26" t="str">
        <f>Auto_Roster!E240</f>
        <v/>
      </c>
      <c r="F240" s="26" t="str">
        <f>Auto_Roster!G240</f>
        <v/>
      </c>
      <c r="G240" s="33">
        <f>Auto_Roster!J240</f>
        <v>0</v>
      </c>
      <c r="H240" s="33">
        <f>IF(G240&gt;Settings!$B$19,G240-Settings!$B$19,0)</f>
        <v>0</v>
      </c>
      <c r="I240" s="33">
        <f t="shared" si="12"/>
        <v>0</v>
      </c>
      <c r="J240" s="33">
        <f>IF(Auto_Roster!M240="Y",G240,0)</f>
        <v>0</v>
      </c>
      <c r="K240" s="33">
        <f>IF(Auto_Roster!L240="Y",G240,0)</f>
        <v>0</v>
      </c>
      <c r="L240" s="26" t="str">
        <f>Auto_Roster!K240</f>
        <v>N</v>
      </c>
      <c r="M240" s="34">
        <f>IF(L240="Y",Settings!$B$16,0)</f>
        <v>0</v>
      </c>
      <c r="N240" s="33">
        <f t="shared" si="13"/>
        <v>0</v>
      </c>
      <c r="O240" s="34">
        <f>N240*Settings!$B$17</f>
        <v>0</v>
      </c>
      <c r="P240" s="34">
        <f>IFERROR(VLOOKUP(C240,Employees!$A$4:$E$103,5,FALSE),Settings!$B$18)</f>
        <v>100</v>
      </c>
      <c r="Q240" s="34">
        <f t="shared" si="14"/>
        <v>0</v>
      </c>
      <c r="R240" s="34">
        <f>H240*P240*Settings!$B$13</f>
        <v>0</v>
      </c>
      <c r="S240" s="34">
        <f>J240*P240*(Settings!$B$14-1)</f>
        <v>0</v>
      </c>
      <c r="T240" s="34">
        <f>K240*P240*(Settings!$B$15-1)</f>
        <v>0</v>
      </c>
      <c r="U240" s="34">
        <f t="shared" si="15"/>
        <v>0</v>
      </c>
      <c r="V240" s="26" t="str">
        <f>Auto_Roster!O240</f>
        <v>Pending</v>
      </c>
      <c r="W240" s="26" t="e">
        <f ca="1">_xludf.TEXTJOIN("; ",TRUE,Auto_Roster!N240,IF(G240&gt;Settings!$B$19,"Approval required &gt; standard hours",""),IF(AND(F240&lt;&gt;"Off",G240=0),"Missing claimed hours",""))</f>
        <v>#NAME?</v>
      </c>
      <c r="X240" s="7"/>
    </row>
    <row r="241" spans="1:24" x14ac:dyDescent="0.35">
      <c r="A241" s="31">
        <f>Auto_Roster!A241</f>
        <v>46154</v>
      </c>
      <c r="B241" s="31">
        <f>Auto_Roster!B241</f>
        <v>46153</v>
      </c>
      <c r="C241" s="26" t="str">
        <f>Auto_Roster!C241</f>
        <v/>
      </c>
      <c r="D241" s="26" t="str">
        <f>Auto_Roster!D241</f>
        <v/>
      </c>
      <c r="E241" s="26" t="str">
        <f>Auto_Roster!E241</f>
        <v/>
      </c>
      <c r="F241" s="26" t="str">
        <f>Auto_Roster!G241</f>
        <v/>
      </c>
      <c r="G241" s="33">
        <f>Auto_Roster!J241</f>
        <v>0</v>
      </c>
      <c r="H241" s="33">
        <f>IF(G241&gt;Settings!$B$19,G241-Settings!$B$19,0)</f>
        <v>0</v>
      </c>
      <c r="I241" s="33">
        <f t="shared" si="12"/>
        <v>0</v>
      </c>
      <c r="J241" s="33">
        <f>IF(Auto_Roster!M241="Y",G241,0)</f>
        <v>0</v>
      </c>
      <c r="K241" s="33">
        <f>IF(Auto_Roster!L241="Y",G241,0)</f>
        <v>0</v>
      </c>
      <c r="L241" s="26" t="str">
        <f>Auto_Roster!K241</f>
        <v>N</v>
      </c>
      <c r="M241" s="34">
        <f>IF(L241="Y",Settings!$B$16,0)</f>
        <v>0</v>
      </c>
      <c r="N241" s="33">
        <f t="shared" si="13"/>
        <v>0</v>
      </c>
      <c r="O241" s="34">
        <f>N241*Settings!$B$17</f>
        <v>0</v>
      </c>
      <c r="P241" s="34">
        <f>IFERROR(VLOOKUP(C241,Employees!$A$4:$E$103,5,FALSE),Settings!$B$18)</f>
        <v>100</v>
      </c>
      <c r="Q241" s="34">
        <f t="shared" si="14"/>
        <v>0</v>
      </c>
      <c r="R241" s="34">
        <f>H241*P241*Settings!$B$13</f>
        <v>0</v>
      </c>
      <c r="S241" s="34">
        <f>J241*P241*(Settings!$B$14-1)</f>
        <v>0</v>
      </c>
      <c r="T241" s="34">
        <f>K241*P241*(Settings!$B$15-1)</f>
        <v>0</v>
      </c>
      <c r="U241" s="34">
        <f t="shared" si="15"/>
        <v>0</v>
      </c>
      <c r="V241" s="26" t="str">
        <f>Auto_Roster!O241</f>
        <v>Pending</v>
      </c>
      <c r="W241" s="26" t="e">
        <f ca="1">_xludf.TEXTJOIN("; ",TRUE,Auto_Roster!N241,IF(G241&gt;Settings!$B$19,"Approval required &gt; standard hours",""),IF(AND(F241&lt;&gt;"Off",G241=0),"Missing claimed hours",""))</f>
        <v>#NAME?</v>
      </c>
      <c r="X241" s="7"/>
    </row>
    <row r="242" spans="1:24" x14ac:dyDescent="0.35">
      <c r="A242" s="31">
        <f>Auto_Roster!A242</f>
        <v>46154</v>
      </c>
      <c r="B242" s="31">
        <f>Auto_Roster!B242</f>
        <v>46153</v>
      </c>
      <c r="C242" s="26" t="str">
        <f>Auto_Roster!C242</f>
        <v/>
      </c>
      <c r="D242" s="26" t="str">
        <f>Auto_Roster!D242</f>
        <v/>
      </c>
      <c r="E242" s="26" t="str">
        <f>Auto_Roster!E242</f>
        <v/>
      </c>
      <c r="F242" s="26" t="str">
        <f>Auto_Roster!G242</f>
        <v/>
      </c>
      <c r="G242" s="33">
        <f>Auto_Roster!J242</f>
        <v>0</v>
      </c>
      <c r="H242" s="33">
        <f>IF(G242&gt;Settings!$B$19,G242-Settings!$B$19,0)</f>
        <v>0</v>
      </c>
      <c r="I242" s="33">
        <f t="shared" si="12"/>
        <v>0</v>
      </c>
      <c r="J242" s="33">
        <f>IF(Auto_Roster!M242="Y",G242,0)</f>
        <v>0</v>
      </c>
      <c r="K242" s="33">
        <f>IF(Auto_Roster!L242="Y",G242,0)</f>
        <v>0</v>
      </c>
      <c r="L242" s="26" t="str">
        <f>Auto_Roster!K242</f>
        <v>N</v>
      </c>
      <c r="M242" s="34">
        <f>IF(L242="Y",Settings!$B$16,0)</f>
        <v>0</v>
      </c>
      <c r="N242" s="33">
        <f t="shared" si="13"/>
        <v>0</v>
      </c>
      <c r="O242" s="34">
        <f>N242*Settings!$B$17</f>
        <v>0</v>
      </c>
      <c r="P242" s="34">
        <f>IFERROR(VLOOKUP(C242,Employees!$A$4:$E$103,5,FALSE),Settings!$B$18)</f>
        <v>100</v>
      </c>
      <c r="Q242" s="34">
        <f t="shared" si="14"/>
        <v>0</v>
      </c>
      <c r="R242" s="34">
        <f>H242*P242*Settings!$B$13</f>
        <v>0</v>
      </c>
      <c r="S242" s="34">
        <f>J242*P242*(Settings!$B$14-1)</f>
        <v>0</v>
      </c>
      <c r="T242" s="34">
        <f>K242*P242*(Settings!$B$15-1)</f>
        <v>0</v>
      </c>
      <c r="U242" s="34">
        <f t="shared" si="15"/>
        <v>0</v>
      </c>
      <c r="V242" s="26" t="str">
        <f>Auto_Roster!O242</f>
        <v>Pending</v>
      </c>
      <c r="W242" s="26" t="e">
        <f ca="1">_xludf.TEXTJOIN("; ",TRUE,Auto_Roster!N242,IF(G242&gt;Settings!$B$19,"Approval required &gt; standard hours",""),IF(AND(F242&lt;&gt;"Off",G242=0),"Missing claimed hours",""))</f>
        <v>#NAME?</v>
      </c>
      <c r="X242" s="7"/>
    </row>
    <row r="243" spans="1:24" x14ac:dyDescent="0.35">
      <c r="A243" s="31">
        <f>Auto_Roster!A243</f>
        <v>46154</v>
      </c>
      <c r="B243" s="31">
        <f>Auto_Roster!B243</f>
        <v>46153</v>
      </c>
      <c r="C243" s="26" t="str">
        <f>Auto_Roster!C243</f>
        <v/>
      </c>
      <c r="D243" s="26" t="str">
        <f>Auto_Roster!D243</f>
        <v/>
      </c>
      <c r="E243" s="26" t="str">
        <f>Auto_Roster!E243</f>
        <v/>
      </c>
      <c r="F243" s="26" t="str">
        <f>Auto_Roster!G243</f>
        <v/>
      </c>
      <c r="G243" s="33">
        <f>Auto_Roster!J243</f>
        <v>0</v>
      </c>
      <c r="H243" s="33">
        <f>IF(G243&gt;Settings!$B$19,G243-Settings!$B$19,0)</f>
        <v>0</v>
      </c>
      <c r="I243" s="33">
        <f t="shared" si="12"/>
        <v>0</v>
      </c>
      <c r="J243" s="33">
        <f>IF(Auto_Roster!M243="Y",G243,0)</f>
        <v>0</v>
      </c>
      <c r="K243" s="33">
        <f>IF(Auto_Roster!L243="Y",G243,0)</f>
        <v>0</v>
      </c>
      <c r="L243" s="26" t="str">
        <f>Auto_Roster!K243</f>
        <v>N</v>
      </c>
      <c r="M243" s="34">
        <f>IF(L243="Y",Settings!$B$16,0)</f>
        <v>0</v>
      </c>
      <c r="N243" s="33">
        <f t="shared" si="13"/>
        <v>0</v>
      </c>
      <c r="O243" s="34">
        <f>N243*Settings!$B$17</f>
        <v>0</v>
      </c>
      <c r="P243" s="34">
        <f>IFERROR(VLOOKUP(C243,Employees!$A$4:$E$103,5,FALSE),Settings!$B$18)</f>
        <v>100</v>
      </c>
      <c r="Q243" s="34">
        <f t="shared" si="14"/>
        <v>0</v>
      </c>
      <c r="R243" s="34">
        <f>H243*P243*Settings!$B$13</f>
        <v>0</v>
      </c>
      <c r="S243" s="34">
        <f>J243*P243*(Settings!$B$14-1)</f>
        <v>0</v>
      </c>
      <c r="T243" s="34">
        <f>K243*P243*(Settings!$B$15-1)</f>
        <v>0</v>
      </c>
      <c r="U243" s="34">
        <f t="shared" si="15"/>
        <v>0</v>
      </c>
      <c r="V243" s="26" t="str">
        <f>Auto_Roster!O243</f>
        <v>Pending</v>
      </c>
      <c r="W243" s="26" t="e">
        <f ca="1">_xludf.TEXTJOIN("; ",TRUE,Auto_Roster!N243,IF(G243&gt;Settings!$B$19,"Approval required &gt; standard hours",""),IF(AND(F243&lt;&gt;"Off",G243=0),"Missing claimed hours",""))</f>
        <v>#NAME?</v>
      </c>
      <c r="X243" s="7"/>
    </row>
    <row r="244" spans="1:24" x14ac:dyDescent="0.35">
      <c r="A244" s="31">
        <f>Auto_Roster!A244</f>
        <v>46155</v>
      </c>
      <c r="B244" s="31">
        <f>Auto_Roster!B244</f>
        <v>46153</v>
      </c>
      <c r="C244" s="26" t="str">
        <f>Auto_Roster!C244</f>
        <v>E001</v>
      </c>
      <c r="D244" s="26" t="str">
        <f>Auto_Roster!D244</f>
        <v>Musiwa Khavalani</v>
      </c>
      <c r="E244" s="26">
        <f>Auto_Roster!E244</f>
        <v>0</v>
      </c>
      <c r="F244" s="26" t="e">
        <f>Auto_Roster!G244</f>
        <v>#N/A</v>
      </c>
      <c r="G244" s="33" t="e">
        <f>Auto_Roster!J244</f>
        <v>#N/A</v>
      </c>
      <c r="H244" s="33" t="e">
        <f>IF(G244&gt;Settings!$B$19,G244-Settings!$B$19,0)</f>
        <v>#N/A</v>
      </c>
      <c r="I244" s="33" t="e">
        <f t="shared" si="12"/>
        <v>#N/A</v>
      </c>
      <c r="J244" s="33">
        <f>IF(Auto_Roster!M244="Y",G244,0)</f>
        <v>0</v>
      </c>
      <c r="K244" s="33">
        <f>IF(Auto_Roster!L244="Y",G244,0)</f>
        <v>0</v>
      </c>
      <c r="L244" s="26" t="str">
        <f>Auto_Roster!K244</f>
        <v>N</v>
      </c>
      <c r="M244" s="34">
        <f>IF(L244="Y",Settings!$B$16,0)</f>
        <v>0</v>
      </c>
      <c r="N244" s="33" t="e">
        <f t="shared" si="13"/>
        <v>#N/A</v>
      </c>
      <c r="O244" s="34" t="e">
        <f>N244*Settings!$B$17</f>
        <v>#N/A</v>
      </c>
      <c r="P244" s="34">
        <f>IFERROR(VLOOKUP(C244,Employees!$A$4:$E$103,5,FALSE),Settings!$B$18)</f>
        <v>100</v>
      </c>
      <c r="Q244" s="34" t="e">
        <f t="shared" si="14"/>
        <v>#N/A</v>
      </c>
      <c r="R244" s="34" t="e">
        <f>H244*P244*Settings!$B$13</f>
        <v>#N/A</v>
      </c>
      <c r="S244" s="34">
        <f>J244*P244*(Settings!$B$14-1)</f>
        <v>0</v>
      </c>
      <c r="T244" s="34">
        <f>K244*P244*(Settings!$B$15-1)</f>
        <v>0</v>
      </c>
      <c r="U244" s="34" t="e">
        <f t="shared" si="15"/>
        <v>#N/A</v>
      </c>
      <c r="V244" s="26" t="str">
        <f>Auto_Roster!O244</f>
        <v>Pending</v>
      </c>
      <c r="W244" s="26" t="e">
        <f ca="1">_xludf.TEXTJOIN("; ",TRUE,Auto_Roster!N244,IF(G244&gt;Settings!$B$19,"Approval required &gt; standard hours",""),IF(AND(F244&lt;&gt;"Off",G244=0),"Missing claimed hours",""))</f>
        <v>#NAME?</v>
      </c>
      <c r="X244" s="7"/>
    </row>
    <row r="245" spans="1:24" x14ac:dyDescent="0.35">
      <c r="A245" s="31">
        <f>Auto_Roster!A245</f>
        <v>46155</v>
      </c>
      <c r="B245" s="31">
        <f>Auto_Roster!B245</f>
        <v>46153</v>
      </c>
      <c r="C245" s="26" t="str">
        <f>Auto_Roster!C245</f>
        <v>E002</v>
      </c>
      <c r="D245" s="26" t="str">
        <f>Auto_Roster!D245</f>
        <v>Mpho  Nembemhia</v>
      </c>
      <c r="E245" s="26" t="str">
        <f>Auto_Roster!E245</f>
        <v>B</v>
      </c>
      <c r="F245" s="26" t="str">
        <f>Auto_Roster!G245</f>
        <v>Off</v>
      </c>
      <c r="G245" s="33">
        <f>Auto_Roster!J245</f>
        <v>0</v>
      </c>
      <c r="H245" s="33">
        <f>IF(G245&gt;Settings!$B$19,G245-Settings!$B$19,0)</f>
        <v>0</v>
      </c>
      <c r="I245" s="33">
        <f t="shared" si="12"/>
        <v>0</v>
      </c>
      <c r="J245" s="33">
        <f>IF(Auto_Roster!M245="Y",G245,0)</f>
        <v>0</v>
      </c>
      <c r="K245" s="33">
        <f>IF(Auto_Roster!L245="Y",G245,0)</f>
        <v>0</v>
      </c>
      <c r="L245" s="26" t="str">
        <f>Auto_Roster!K245</f>
        <v>N</v>
      </c>
      <c r="M245" s="34">
        <f>IF(L245="Y",Settings!$B$16,0)</f>
        <v>0</v>
      </c>
      <c r="N245" s="33">
        <f t="shared" si="13"/>
        <v>0</v>
      </c>
      <c r="O245" s="34">
        <f>N245*Settings!$B$17</f>
        <v>0</v>
      </c>
      <c r="P245" s="34">
        <f>IFERROR(VLOOKUP(C245,Employees!$A$4:$E$103,5,FALSE),Settings!$B$18)</f>
        <v>100</v>
      </c>
      <c r="Q245" s="34">
        <f t="shared" si="14"/>
        <v>0</v>
      </c>
      <c r="R245" s="34">
        <f>H245*P245*Settings!$B$13</f>
        <v>0</v>
      </c>
      <c r="S245" s="34">
        <f>J245*P245*(Settings!$B$14-1)</f>
        <v>0</v>
      </c>
      <c r="T245" s="34">
        <f>K245*P245*(Settings!$B$15-1)</f>
        <v>0</v>
      </c>
      <c r="U245" s="34">
        <f t="shared" si="15"/>
        <v>0</v>
      </c>
      <c r="V245" s="26" t="str">
        <f>Auto_Roster!O245</f>
        <v>Pending</v>
      </c>
      <c r="W245" s="26" t="e">
        <f ca="1">_xludf.TEXTJOIN("; ",TRUE,Auto_Roster!N245,IF(G245&gt;Settings!$B$19,"Approval required &gt; standard hours",""),IF(AND(F245&lt;&gt;"Off",G245=0),"Missing claimed hours",""))</f>
        <v>#NAME?</v>
      </c>
      <c r="X245" s="7"/>
    </row>
    <row r="246" spans="1:24" x14ac:dyDescent="0.35">
      <c r="A246" s="31">
        <f>Auto_Roster!A246</f>
        <v>46155</v>
      </c>
      <c r="B246" s="31">
        <f>Auto_Roster!B246</f>
        <v>46153</v>
      </c>
      <c r="C246" s="26" t="str">
        <f>Auto_Roster!C246</f>
        <v>E003</v>
      </c>
      <c r="D246" s="26" t="str">
        <f>Auto_Roster!D246</f>
        <v>Dimpho Makhafola</v>
      </c>
      <c r="E246" s="26" t="str">
        <f>Auto_Roster!E246</f>
        <v>C</v>
      </c>
      <c r="F246" s="26" t="str">
        <f>Auto_Roster!G246</f>
        <v>Evening</v>
      </c>
      <c r="G246" s="33">
        <f>Auto_Roster!J246</f>
        <v>8</v>
      </c>
      <c r="H246" s="33">
        <f>IF(G246&gt;Settings!$B$19,G246-Settings!$B$19,0)</f>
        <v>0</v>
      </c>
      <c r="I246" s="33">
        <f t="shared" si="12"/>
        <v>8</v>
      </c>
      <c r="J246" s="33">
        <f>IF(Auto_Roster!M246="Y",G246,0)</f>
        <v>0</v>
      </c>
      <c r="K246" s="33">
        <f>IF(Auto_Roster!L246="Y",G246,0)</f>
        <v>0</v>
      </c>
      <c r="L246" s="26" t="str">
        <f>Auto_Roster!K246</f>
        <v>N</v>
      </c>
      <c r="M246" s="34">
        <f>IF(L246="Y",Settings!$B$16,0)</f>
        <v>0</v>
      </c>
      <c r="N246" s="33">
        <f t="shared" si="13"/>
        <v>0</v>
      </c>
      <c r="O246" s="34">
        <f>N246*Settings!$B$17</f>
        <v>0</v>
      </c>
      <c r="P246" s="34">
        <f>IFERROR(VLOOKUP(C246,Employees!$A$4:$E$103,5,FALSE),Settings!$B$18)</f>
        <v>100</v>
      </c>
      <c r="Q246" s="34">
        <f t="shared" si="14"/>
        <v>800</v>
      </c>
      <c r="R246" s="34">
        <f>H246*P246*Settings!$B$13</f>
        <v>0</v>
      </c>
      <c r="S246" s="34">
        <f>J246*P246*(Settings!$B$14-1)</f>
        <v>0</v>
      </c>
      <c r="T246" s="34">
        <f>K246*P246*(Settings!$B$15-1)</f>
        <v>0</v>
      </c>
      <c r="U246" s="34">
        <f t="shared" si="15"/>
        <v>800</v>
      </c>
      <c r="V246" s="26" t="str">
        <f>Auto_Roster!O246</f>
        <v>Pending</v>
      </c>
      <c r="W246" s="26" t="e">
        <f ca="1">_xludf.TEXTJOIN("; ",TRUE,Auto_Roster!N246,IF(G246&gt;Settings!$B$19,"Approval required &gt; standard hours",""),IF(AND(F246&lt;&gt;"Off",G246=0),"Missing claimed hours",""))</f>
        <v>#NAME?</v>
      </c>
      <c r="X246" s="7"/>
    </row>
    <row r="247" spans="1:24" x14ac:dyDescent="0.35">
      <c r="A247" s="31">
        <f>Auto_Roster!A247</f>
        <v>46155</v>
      </c>
      <c r="B247" s="31">
        <f>Auto_Roster!B247</f>
        <v>46153</v>
      </c>
      <c r="C247" s="26" t="str">
        <f>Auto_Roster!C247</f>
        <v>E004</v>
      </c>
      <c r="D247" s="26" t="str">
        <f>Auto_Roster!D247</f>
        <v>Bashii Fall</v>
      </c>
      <c r="E247" s="26" t="str">
        <f>Auto_Roster!E247</f>
        <v>D</v>
      </c>
      <c r="F247" s="26" t="str">
        <f>Auto_Roster!G247</f>
        <v>Night</v>
      </c>
      <c r="G247" s="33">
        <f>Auto_Roster!J247</f>
        <v>8</v>
      </c>
      <c r="H247" s="33">
        <f>IF(G247&gt;Settings!$B$19,G247-Settings!$B$19,0)</f>
        <v>0</v>
      </c>
      <c r="I247" s="33">
        <f t="shared" si="12"/>
        <v>8</v>
      </c>
      <c r="J247" s="33">
        <f>IF(Auto_Roster!M247="Y",G247,0)</f>
        <v>0</v>
      </c>
      <c r="K247" s="33">
        <f>IF(Auto_Roster!L247="Y",G247,0)</f>
        <v>0</v>
      </c>
      <c r="L247" s="26" t="str">
        <f>Auto_Roster!K247</f>
        <v>N</v>
      </c>
      <c r="M247" s="34">
        <f>IF(L247="Y",Settings!$B$16,0)</f>
        <v>0</v>
      </c>
      <c r="N247" s="33">
        <f t="shared" si="13"/>
        <v>8</v>
      </c>
      <c r="O247" s="34">
        <f>N247*Settings!$B$17</f>
        <v>0</v>
      </c>
      <c r="P247" s="34">
        <f>IFERROR(VLOOKUP(C247,Employees!$A$4:$E$103,5,FALSE),Settings!$B$18)</f>
        <v>100</v>
      </c>
      <c r="Q247" s="34">
        <f t="shared" si="14"/>
        <v>800</v>
      </c>
      <c r="R247" s="34">
        <f>H247*P247*Settings!$B$13</f>
        <v>0</v>
      </c>
      <c r="S247" s="34">
        <f>J247*P247*(Settings!$B$14-1)</f>
        <v>0</v>
      </c>
      <c r="T247" s="34">
        <f>K247*P247*(Settings!$B$15-1)</f>
        <v>0</v>
      </c>
      <c r="U247" s="34">
        <f t="shared" si="15"/>
        <v>800</v>
      </c>
      <c r="V247" s="26" t="str">
        <f>Auto_Roster!O247</f>
        <v>Pending</v>
      </c>
      <c r="W247" s="26" t="e">
        <f ca="1">_xludf.TEXTJOIN("; ",TRUE,Auto_Roster!N247,IF(G247&gt;Settings!$B$19,"Approval required &gt; standard hours",""),IF(AND(F247&lt;&gt;"Off",G247=0),"Missing claimed hours",""))</f>
        <v>#NAME?</v>
      </c>
      <c r="X247" s="7"/>
    </row>
    <row r="248" spans="1:24" x14ac:dyDescent="0.35">
      <c r="A248" s="31">
        <f>Auto_Roster!A248</f>
        <v>46155</v>
      </c>
      <c r="B248" s="31">
        <f>Auto_Roster!B248</f>
        <v>46153</v>
      </c>
      <c r="C248" s="26" t="str">
        <f>Auto_Roster!C248</f>
        <v>E005</v>
      </c>
      <c r="D248" s="26" t="str">
        <f>Auto_Roster!D248</f>
        <v>Lesego Aphane</v>
      </c>
      <c r="E248" s="26" t="str">
        <f>Auto_Roster!E248</f>
        <v>A</v>
      </c>
      <c r="F248" s="26" t="str">
        <f>Auto_Roster!G248</f>
        <v>Day</v>
      </c>
      <c r="G248" s="33">
        <f>Auto_Roster!J248</f>
        <v>8</v>
      </c>
      <c r="H248" s="33">
        <f>IF(G248&gt;Settings!$B$19,G248-Settings!$B$19,0)</f>
        <v>0</v>
      </c>
      <c r="I248" s="33">
        <f t="shared" si="12"/>
        <v>8</v>
      </c>
      <c r="J248" s="33">
        <f>IF(Auto_Roster!M248="Y",G248,0)</f>
        <v>0</v>
      </c>
      <c r="K248" s="33">
        <f>IF(Auto_Roster!L248="Y",G248,0)</f>
        <v>0</v>
      </c>
      <c r="L248" s="26" t="str">
        <f>Auto_Roster!K248</f>
        <v>N</v>
      </c>
      <c r="M248" s="34">
        <f>IF(L248="Y",Settings!$B$16,0)</f>
        <v>0</v>
      </c>
      <c r="N248" s="33">
        <f t="shared" si="13"/>
        <v>0</v>
      </c>
      <c r="O248" s="34">
        <f>N248*Settings!$B$17</f>
        <v>0</v>
      </c>
      <c r="P248" s="34">
        <f>IFERROR(VLOOKUP(C248,Employees!$A$4:$E$103,5,FALSE),Settings!$B$18)</f>
        <v>100</v>
      </c>
      <c r="Q248" s="34">
        <f t="shared" si="14"/>
        <v>800</v>
      </c>
      <c r="R248" s="34">
        <f>H248*P248*Settings!$B$13</f>
        <v>0</v>
      </c>
      <c r="S248" s="34">
        <f>J248*P248*(Settings!$B$14-1)</f>
        <v>0</v>
      </c>
      <c r="T248" s="34">
        <f>K248*P248*(Settings!$B$15-1)</f>
        <v>0</v>
      </c>
      <c r="U248" s="34">
        <f t="shared" si="15"/>
        <v>800</v>
      </c>
      <c r="V248" s="26" t="str">
        <f>Auto_Roster!O248</f>
        <v>Pending</v>
      </c>
      <c r="W248" s="26" t="e">
        <f ca="1">_xludf.TEXTJOIN("; ",TRUE,Auto_Roster!N248,IF(G248&gt;Settings!$B$19,"Approval required &gt; standard hours",""),IF(AND(F248&lt;&gt;"Off",G248=0),"Missing claimed hours",""))</f>
        <v>#NAME?</v>
      </c>
      <c r="X248" s="7"/>
    </row>
    <row r="249" spans="1:24" x14ac:dyDescent="0.35">
      <c r="A249" s="31">
        <f>Auto_Roster!A249</f>
        <v>46155</v>
      </c>
      <c r="B249" s="31">
        <f>Auto_Roster!B249</f>
        <v>46153</v>
      </c>
      <c r="C249" s="26" t="str">
        <f>Auto_Roster!C249</f>
        <v>E006</v>
      </c>
      <c r="D249" s="26" t="str">
        <f>Auto_Roster!D249</f>
        <v>Nhalnahla</v>
      </c>
      <c r="E249" s="26" t="str">
        <f>Auto_Roster!E249</f>
        <v>B</v>
      </c>
      <c r="F249" s="26" t="str">
        <f>Auto_Roster!G249</f>
        <v>Off</v>
      </c>
      <c r="G249" s="33">
        <f>Auto_Roster!J249</f>
        <v>0</v>
      </c>
      <c r="H249" s="33">
        <f>IF(G249&gt;Settings!$B$19,G249-Settings!$B$19,0)</f>
        <v>0</v>
      </c>
      <c r="I249" s="33">
        <f t="shared" si="12"/>
        <v>0</v>
      </c>
      <c r="J249" s="33">
        <f>IF(Auto_Roster!M249="Y",G249,0)</f>
        <v>0</v>
      </c>
      <c r="K249" s="33">
        <f>IF(Auto_Roster!L249="Y",G249,0)</f>
        <v>0</v>
      </c>
      <c r="L249" s="26" t="str">
        <f>Auto_Roster!K249</f>
        <v>N</v>
      </c>
      <c r="M249" s="34">
        <f>IF(L249="Y",Settings!$B$16,0)</f>
        <v>0</v>
      </c>
      <c r="N249" s="33">
        <f t="shared" si="13"/>
        <v>0</v>
      </c>
      <c r="O249" s="34">
        <f>N249*Settings!$B$17</f>
        <v>0</v>
      </c>
      <c r="P249" s="34">
        <f>IFERROR(VLOOKUP(C249,Employees!$A$4:$E$103,5,FALSE),Settings!$B$18)</f>
        <v>100</v>
      </c>
      <c r="Q249" s="34">
        <f t="shared" si="14"/>
        <v>0</v>
      </c>
      <c r="R249" s="34">
        <f>H249*P249*Settings!$B$13</f>
        <v>0</v>
      </c>
      <c r="S249" s="34">
        <f>J249*P249*(Settings!$B$14-1)</f>
        <v>0</v>
      </c>
      <c r="T249" s="34">
        <f>K249*P249*(Settings!$B$15-1)</f>
        <v>0</v>
      </c>
      <c r="U249" s="34">
        <f t="shared" si="15"/>
        <v>0</v>
      </c>
      <c r="V249" s="26" t="str">
        <f>Auto_Roster!O249</f>
        <v>Pending</v>
      </c>
      <c r="W249" s="26" t="e">
        <f ca="1">_xludf.TEXTJOIN("; ",TRUE,Auto_Roster!N249,IF(G249&gt;Settings!$B$19,"Approval required &gt; standard hours",""),IF(AND(F249&lt;&gt;"Off",G249=0),"Missing claimed hours",""))</f>
        <v>#NAME?</v>
      </c>
      <c r="X249" s="7"/>
    </row>
    <row r="250" spans="1:24" x14ac:dyDescent="0.35">
      <c r="A250" s="31">
        <f>Auto_Roster!A250</f>
        <v>46155</v>
      </c>
      <c r="B250" s="31">
        <f>Auto_Roster!B250</f>
        <v>46153</v>
      </c>
      <c r="C250" s="26" t="str">
        <f>Auto_Roster!C250</f>
        <v>E007</v>
      </c>
      <c r="D250" s="26" t="str">
        <f>Auto_Roster!D250</f>
        <v>Joe</v>
      </c>
      <c r="E250" s="26" t="str">
        <f>Auto_Roster!E250</f>
        <v>C</v>
      </c>
      <c r="F250" s="26" t="str">
        <f>Auto_Roster!G250</f>
        <v>Evening</v>
      </c>
      <c r="G250" s="33">
        <f>Auto_Roster!J250</f>
        <v>8</v>
      </c>
      <c r="H250" s="33">
        <f>IF(G250&gt;Settings!$B$19,G250-Settings!$B$19,0)</f>
        <v>0</v>
      </c>
      <c r="I250" s="33">
        <f t="shared" si="12"/>
        <v>8</v>
      </c>
      <c r="J250" s="33">
        <f>IF(Auto_Roster!M250="Y",G250,0)</f>
        <v>0</v>
      </c>
      <c r="K250" s="33">
        <f>IF(Auto_Roster!L250="Y",G250,0)</f>
        <v>0</v>
      </c>
      <c r="L250" s="26" t="str">
        <f>Auto_Roster!K250</f>
        <v>N</v>
      </c>
      <c r="M250" s="34">
        <f>IF(L250="Y",Settings!$B$16,0)</f>
        <v>0</v>
      </c>
      <c r="N250" s="33">
        <f t="shared" si="13"/>
        <v>0</v>
      </c>
      <c r="O250" s="34">
        <f>N250*Settings!$B$17</f>
        <v>0</v>
      </c>
      <c r="P250" s="34">
        <f>IFERROR(VLOOKUP(C250,Employees!$A$4:$E$103,5,FALSE),Settings!$B$18)</f>
        <v>100</v>
      </c>
      <c r="Q250" s="34">
        <f t="shared" si="14"/>
        <v>800</v>
      </c>
      <c r="R250" s="34">
        <f>H250*P250*Settings!$B$13</f>
        <v>0</v>
      </c>
      <c r="S250" s="34">
        <f>J250*P250*(Settings!$B$14-1)</f>
        <v>0</v>
      </c>
      <c r="T250" s="34">
        <f>K250*P250*(Settings!$B$15-1)</f>
        <v>0</v>
      </c>
      <c r="U250" s="34">
        <f t="shared" si="15"/>
        <v>800</v>
      </c>
      <c r="V250" s="26" t="str">
        <f>Auto_Roster!O250</f>
        <v>Pending</v>
      </c>
      <c r="W250" s="26" t="e">
        <f ca="1">_xludf.TEXTJOIN("; ",TRUE,Auto_Roster!N250,IF(G250&gt;Settings!$B$19,"Approval required &gt; standard hours",""),IF(AND(F250&lt;&gt;"Off",G250=0),"Missing claimed hours",""))</f>
        <v>#NAME?</v>
      </c>
      <c r="X250" s="7"/>
    </row>
    <row r="251" spans="1:24" x14ac:dyDescent="0.35">
      <c r="A251" s="31">
        <f>Auto_Roster!A251</f>
        <v>46155</v>
      </c>
      <c r="B251" s="31">
        <f>Auto_Roster!B251</f>
        <v>46153</v>
      </c>
      <c r="C251" s="26" t="str">
        <f>Auto_Roster!C251</f>
        <v>E008</v>
      </c>
      <c r="D251" s="26" t="str">
        <f>Auto_Roster!D251</f>
        <v>Tim</v>
      </c>
      <c r="E251" s="26" t="str">
        <f>Auto_Roster!E251</f>
        <v>D</v>
      </c>
      <c r="F251" s="26" t="str">
        <f>Auto_Roster!G251</f>
        <v>Night</v>
      </c>
      <c r="G251" s="33">
        <f>Auto_Roster!J251</f>
        <v>8</v>
      </c>
      <c r="H251" s="33">
        <f>IF(G251&gt;Settings!$B$19,G251-Settings!$B$19,0)</f>
        <v>0</v>
      </c>
      <c r="I251" s="33">
        <f t="shared" si="12"/>
        <v>8</v>
      </c>
      <c r="J251" s="33">
        <f>IF(Auto_Roster!M251="Y",G251,0)</f>
        <v>0</v>
      </c>
      <c r="K251" s="33">
        <f>IF(Auto_Roster!L251="Y",G251,0)</f>
        <v>0</v>
      </c>
      <c r="L251" s="26" t="str">
        <f>Auto_Roster!K251</f>
        <v>N</v>
      </c>
      <c r="M251" s="34">
        <f>IF(L251="Y",Settings!$B$16,0)</f>
        <v>0</v>
      </c>
      <c r="N251" s="33">
        <f t="shared" si="13"/>
        <v>8</v>
      </c>
      <c r="O251" s="34">
        <f>N251*Settings!$B$17</f>
        <v>0</v>
      </c>
      <c r="P251" s="34">
        <f>IFERROR(VLOOKUP(C251,Employees!$A$4:$E$103,5,FALSE),Settings!$B$18)</f>
        <v>100</v>
      </c>
      <c r="Q251" s="34">
        <f t="shared" si="14"/>
        <v>800</v>
      </c>
      <c r="R251" s="34">
        <f>H251*P251*Settings!$B$13</f>
        <v>0</v>
      </c>
      <c r="S251" s="34">
        <f>J251*P251*(Settings!$B$14-1)</f>
        <v>0</v>
      </c>
      <c r="T251" s="34">
        <f>K251*P251*(Settings!$B$15-1)</f>
        <v>0</v>
      </c>
      <c r="U251" s="34">
        <f t="shared" si="15"/>
        <v>800</v>
      </c>
      <c r="V251" s="26" t="str">
        <f>Auto_Roster!O251</f>
        <v>Pending</v>
      </c>
      <c r="W251" s="26" t="e">
        <f ca="1">_xludf.TEXTJOIN("; ",TRUE,Auto_Roster!N251,IF(G251&gt;Settings!$B$19,"Approval required &gt; standard hours",""),IF(AND(F251&lt;&gt;"Off",G251=0),"Missing claimed hours",""))</f>
        <v>#NAME?</v>
      </c>
      <c r="X251" s="7"/>
    </row>
    <row r="252" spans="1:24" x14ac:dyDescent="0.35">
      <c r="A252" s="31">
        <f>Auto_Roster!A252</f>
        <v>46155</v>
      </c>
      <c r="B252" s="31">
        <f>Auto_Roster!B252</f>
        <v>46153</v>
      </c>
      <c r="C252" s="26" t="str">
        <f>Auto_Roster!C252</f>
        <v>E009</v>
      </c>
      <c r="D252" s="26" t="str">
        <f>Auto_Roster!D252</f>
        <v>Frank</v>
      </c>
      <c r="E252" s="26" t="str">
        <f>Auto_Roster!E252</f>
        <v>A</v>
      </c>
      <c r="F252" s="26" t="str">
        <f>Auto_Roster!G252</f>
        <v>Day</v>
      </c>
      <c r="G252" s="33">
        <f>Auto_Roster!J252</f>
        <v>8</v>
      </c>
      <c r="H252" s="33">
        <f>IF(G252&gt;Settings!$B$19,G252-Settings!$B$19,0)</f>
        <v>0</v>
      </c>
      <c r="I252" s="33">
        <f t="shared" si="12"/>
        <v>8</v>
      </c>
      <c r="J252" s="33">
        <f>IF(Auto_Roster!M252="Y",G252,0)</f>
        <v>0</v>
      </c>
      <c r="K252" s="33">
        <f>IF(Auto_Roster!L252="Y",G252,0)</f>
        <v>0</v>
      </c>
      <c r="L252" s="26" t="str">
        <f>Auto_Roster!K252</f>
        <v>N</v>
      </c>
      <c r="M252" s="34">
        <f>IF(L252="Y",Settings!$B$16,0)</f>
        <v>0</v>
      </c>
      <c r="N252" s="33">
        <f t="shared" si="13"/>
        <v>0</v>
      </c>
      <c r="O252" s="34">
        <f>N252*Settings!$B$17</f>
        <v>0</v>
      </c>
      <c r="P252" s="34">
        <f>IFERROR(VLOOKUP(C252,Employees!$A$4:$E$103,5,FALSE),Settings!$B$18)</f>
        <v>100</v>
      </c>
      <c r="Q252" s="34">
        <f t="shared" si="14"/>
        <v>800</v>
      </c>
      <c r="R252" s="34">
        <f>H252*P252*Settings!$B$13</f>
        <v>0</v>
      </c>
      <c r="S252" s="34">
        <f>J252*P252*(Settings!$B$14-1)</f>
        <v>0</v>
      </c>
      <c r="T252" s="34">
        <f>K252*P252*(Settings!$B$15-1)</f>
        <v>0</v>
      </c>
      <c r="U252" s="34">
        <f t="shared" si="15"/>
        <v>800</v>
      </c>
      <c r="V252" s="26" t="str">
        <f>Auto_Roster!O252</f>
        <v>Pending</v>
      </c>
      <c r="W252" s="26" t="e">
        <f ca="1">_xludf.TEXTJOIN("; ",TRUE,Auto_Roster!N252,IF(G252&gt;Settings!$B$19,"Approval required &gt; standard hours",""),IF(AND(F252&lt;&gt;"Off",G252=0),"Missing claimed hours",""))</f>
        <v>#NAME?</v>
      </c>
      <c r="X252" s="7"/>
    </row>
    <row r="253" spans="1:24" x14ac:dyDescent="0.35">
      <c r="A253" s="31">
        <f>Auto_Roster!A253</f>
        <v>46155</v>
      </c>
      <c r="B253" s="31">
        <f>Auto_Roster!B253</f>
        <v>46153</v>
      </c>
      <c r="C253" s="26" t="str">
        <f>Auto_Roster!C253</f>
        <v/>
      </c>
      <c r="D253" s="26" t="str">
        <f>Auto_Roster!D253</f>
        <v/>
      </c>
      <c r="E253" s="26" t="str">
        <f>Auto_Roster!E253</f>
        <v/>
      </c>
      <c r="F253" s="26" t="str">
        <f>Auto_Roster!G253</f>
        <v/>
      </c>
      <c r="G253" s="33">
        <f>Auto_Roster!J253</f>
        <v>0</v>
      </c>
      <c r="H253" s="33">
        <f>IF(G253&gt;Settings!$B$19,G253-Settings!$B$19,0)</f>
        <v>0</v>
      </c>
      <c r="I253" s="33">
        <f t="shared" si="12"/>
        <v>0</v>
      </c>
      <c r="J253" s="33">
        <f>IF(Auto_Roster!M253="Y",G253,0)</f>
        <v>0</v>
      </c>
      <c r="K253" s="33">
        <f>IF(Auto_Roster!L253="Y",G253,0)</f>
        <v>0</v>
      </c>
      <c r="L253" s="26" t="str">
        <f>Auto_Roster!K253</f>
        <v>N</v>
      </c>
      <c r="M253" s="34">
        <f>IF(L253="Y",Settings!$B$16,0)</f>
        <v>0</v>
      </c>
      <c r="N253" s="33">
        <f t="shared" si="13"/>
        <v>0</v>
      </c>
      <c r="O253" s="34">
        <f>N253*Settings!$B$17</f>
        <v>0</v>
      </c>
      <c r="P253" s="34">
        <f>IFERROR(VLOOKUP(C253,Employees!$A$4:$E$103,5,FALSE),Settings!$B$18)</f>
        <v>100</v>
      </c>
      <c r="Q253" s="34">
        <f t="shared" si="14"/>
        <v>0</v>
      </c>
      <c r="R253" s="34">
        <f>H253*P253*Settings!$B$13</f>
        <v>0</v>
      </c>
      <c r="S253" s="34">
        <f>J253*P253*(Settings!$B$14-1)</f>
        <v>0</v>
      </c>
      <c r="T253" s="34">
        <f>K253*P253*(Settings!$B$15-1)</f>
        <v>0</v>
      </c>
      <c r="U253" s="34">
        <f t="shared" si="15"/>
        <v>0</v>
      </c>
      <c r="V253" s="26" t="str">
        <f>Auto_Roster!O253</f>
        <v>Pending</v>
      </c>
      <c r="W253" s="26" t="e">
        <f ca="1">_xludf.TEXTJOIN("; ",TRUE,Auto_Roster!N253,IF(G253&gt;Settings!$B$19,"Approval required &gt; standard hours",""),IF(AND(F253&lt;&gt;"Off",G253=0),"Missing claimed hours",""))</f>
        <v>#NAME?</v>
      </c>
      <c r="X253" s="7"/>
    </row>
    <row r="254" spans="1:24" x14ac:dyDescent="0.35">
      <c r="A254" s="31">
        <f>Auto_Roster!A254</f>
        <v>46155</v>
      </c>
      <c r="B254" s="31">
        <f>Auto_Roster!B254</f>
        <v>46153</v>
      </c>
      <c r="C254" s="26" t="str">
        <f>Auto_Roster!C254</f>
        <v/>
      </c>
      <c r="D254" s="26" t="str">
        <f>Auto_Roster!D254</f>
        <v/>
      </c>
      <c r="E254" s="26" t="str">
        <f>Auto_Roster!E254</f>
        <v/>
      </c>
      <c r="F254" s="26" t="str">
        <f>Auto_Roster!G254</f>
        <v/>
      </c>
      <c r="G254" s="33">
        <f>Auto_Roster!J254</f>
        <v>0</v>
      </c>
      <c r="H254" s="33">
        <f>IF(G254&gt;Settings!$B$19,G254-Settings!$B$19,0)</f>
        <v>0</v>
      </c>
      <c r="I254" s="33">
        <f t="shared" si="12"/>
        <v>0</v>
      </c>
      <c r="J254" s="33">
        <f>IF(Auto_Roster!M254="Y",G254,0)</f>
        <v>0</v>
      </c>
      <c r="K254" s="33">
        <f>IF(Auto_Roster!L254="Y",G254,0)</f>
        <v>0</v>
      </c>
      <c r="L254" s="26" t="str">
        <f>Auto_Roster!K254</f>
        <v>N</v>
      </c>
      <c r="M254" s="34">
        <f>IF(L254="Y",Settings!$B$16,0)</f>
        <v>0</v>
      </c>
      <c r="N254" s="33">
        <f t="shared" si="13"/>
        <v>0</v>
      </c>
      <c r="O254" s="34">
        <f>N254*Settings!$B$17</f>
        <v>0</v>
      </c>
      <c r="P254" s="34">
        <f>IFERROR(VLOOKUP(C254,Employees!$A$4:$E$103,5,FALSE),Settings!$B$18)</f>
        <v>100</v>
      </c>
      <c r="Q254" s="34">
        <f t="shared" si="14"/>
        <v>0</v>
      </c>
      <c r="R254" s="34">
        <f>H254*P254*Settings!$B$13</f>
        <v>0</v>
      </c>
      <c r="S254" s="34">
        <f>J254*P254*(Settings!$B$14-1)</f>
        <v>0</v>
      </c>
      <c r="T254" s="34">
        <f>K254*P254*(Settings!$B$15-1)</f>
        <v>0</v>
      </c>
      <c r="U254" s="34">
        <f t="shared" si="15"/>
        <v>0</v>
      </c>
      <c r="V254" s="26" t="str">
        <f>Auto_Roster!O254</f>
        <v>Pending</v>
      </c>
      <c r="W254" s="26" t="e">
        <f ca="1">_xludf.TEXTJOIN("; ",TRUE,Auto_Roster!N254,IF(G254&gt;Settings!$B$19,"Approval required &gt; standard hours",""),IF(AND(F254&lt;&gt;"Off",G254=0),"Missing claimed hours",""))</f>
        <v>#NAME?</v>
      </c>
      <c r="X254" s="7"/>
    </row>
    <row r="255" spans="1:24" x14ac:dyDescent="0.35">
      <c r="A255" s="31">
        <f>Auto_Roster!A255</f>
        <v>46155</v>
      </c>
      <c r="B255" s="31">
        <f>Auto_Roster!B255</f>
        <v>46153</v>
      </c>
      <c r="C255" s="26" t="str">
        <f>Auto_Roster!C255</f>
        <v/>
      </c>
      <c r="D255" s="26" t="str">
        <f>Auto_Roster!D255</f>
        <v/>
      </c>
      <c r="E255" s="26" t="str">
        <f>Auto_Roster!E255</f>
        <v/>
      </c>
      <c r="F255" s="26" t="str">
        <f>Auto_Roster!G255</f>
        <v/>
      </c>
      <c r="G255" s="33">
        <f>Auto_Roster!J255</f>
        <v>0</v>
      </c>
      <c r="H255" s="33">
        <f>IF(G255&gt;Settings!$B$19,G255-Settings!$B$19,0)</f>
        <v>0</v>
      </c>
      <c r="I255" s="33">
        <f t="shared" si="12"/>
        <v>0</v>
      </c>
      <c r="J255" s="33">
        <f>IF(Auto_Roster!M255="Y",G255,0)</f>
        <v>0</v>
      </c>
      <c r="K255" s="33">
        <f>IF(Auto_Roster!L255="Y",G255,0)</f>
        <v>0</v>
      </c>
      <c r="L255" s="26" t="str">
        <f>Auto_Roster!K255</f>
        <v>N</v>
      </c>
      <c r="M255" s="34">
        <f>IF(L255="Y",Settings!$B$16,0)</f>
        <v>0</v>
      </c>
      <c r="N255" s="33">
        <f t="shared" si="13"/>
        <v>0</v>
      </c>
      <c r="O255" s="34">
        <f>N255*Settings!$B$17</f>
        <v>0</v>
      </c>
      <c r="P255" s="34">
        <f>IFERROR(VLOOKUP(C255,Employees!$A$4:$E$103,5,FALSE),Settings!$B$18)</f>
        <v>100</v>
      </c>
      <c r="Q255" s="34">
        <f t="shared" si="14"/>
        <v>0</v>
      </c>
      <c r="R255" s="34">
        <f>H255*P255*Settings!$B$13</f>
        <v>0</v>
      </c>
      <c r="S255" s="34">
        <f>J255*P255*(Settings!$B$14-1)</f>
        <v>0</v>
      </c>
      <c r="T255" s="34">
        <f>K255*P255*(Settings!$B$15-1)</f>
        <v>0</v>
      </c>
      <c r="U255" s="34">
        <f t="shared" si="15"/>
        <v>0</v>
      </c>
      <c r="V255" s="26" t="str">
        <f>Auto_Roster!O255</f>
        <v>Pending</v>
      </c>
      <c r="W255" s="26" t="e">
        <f ca="1">_xludf.TEXTJOIN("; ",TRUE,Auto_Roster!N255,IF(G255&gt;Settings!$B$19,"Approval required &gt; standard hours",""),IF(AND(F255&lt;&gt;"Off",G255=0),"Missing claimed hours",""))</f>
        <v>#NAME?</v>
      </c>
      <c r="X255" s="7"/>
    </row>
    <row r="256" spans="1:24" x14ac:dyDescent="0.35">
      <c r="A256" s="31">
        <f>Auto_Roster!A256</f>
        <v>46155</v>
      </c>
      <c r="B256" s="31">
        <f>Auto_Roster!B256</f>
        <v>46153</v>
      </c>
      <c r="C256" s="26" t="str">
        <f>Auto_Roster!C256</f>
        <v/>
      </c>
      <c r="D256" s="26" t="str">
        <f>Auto_Roster!D256</f>
        <v/>
      </c>
      <c r="E256" s="26" t="str">
        <f>Auto_Roster!E256</f>
        <v/>
      </c>
      <c r="F256" s="26" t="str">
        <f>Auto_Roster!G256</f>
        <v/>
      </c>
      <c r="G256" s="33">
        <f>Auto_Roster!J256</f>
        <v>0</v>
      </c>
      <c r="H256" s="33">
        <f>IF(G256&gt;Settings!$B$19,G256-Settings!$B$19,0)</f>
        <v>0</v>
      </c>
      <c r="I256" s="33">
        <f t="shared" si="12"/>
        <v>0</v>
      </c>
      <c r="J256" s="33">
        <f>IF(Auto_Roster!M256="Y",G256,0)</f>
        <v>0</v>
      </c>
      <c r="K256" s="33">
        <f>IF(Auto_Roster!L256="Y",G256,0)</f>
        <v>0</v>
      </c>
      <c r="L256" s="26" t="str">
        <f>Auto_Roster!K256</f>
        <v>N</v>
      </c>
      <c r="M256" s="34">
        <f>IF(L256="Y",Settings!$B$16,0)</f>
        <v>0</v>
      </c>
      <c r="N256" s="33">
        <f t="shared" si="13"/>
        <v>0</v>
      </c>
      <c r="O256" s="34">
        <f>N256*Settings!$B$17</f>
        <v>0</v>
      </c>
      <c r="P256" s="34">
        <f>IFERROR(VLOOKUP(C256,Employees!$A$4:$E$103,5,FALSE),Settings!$B$18)</f>
        <v>100</v>
      </c>
      <c r="Q256" s="34">
        <f t="shared" si="14"/>
        <v>0</v>
      </c>
      <c r="R256" s="34">
        <f>H256*P256*Settings!$B$13</f>
        <v>0</v>
      </c>
      <c r="S256" s="34">
        <f>J256*P256*(Settings!$B$14-1)</f>
        <v>0</v>
      </c>
      <c r="T256" s="34">
        <f>K256*P256*(Settings!$B$15-1)</f>
        <v>0</v>
      </c>
      <c r="U256" s="34">
        <f t="shared" si="15"/>
        <v>0</v>
      </c>
      <c r="V256" s="26" t="str">
        <f>Auto_Roster!O256</f>
        <v>Pending</v>
      </c>
      <c r="W256" s="26" t="e">
        <f ca="1">_xludf.TEXTJOIN("; ",TRUE,Auto_Roster!N256,IF(G256&gt;Settings!$B$19,"Approval required &gt; standard hours",""),IF(AND(F256&lt;&gt;"Off",G256=0),"Missing claimed hours",""))</f>
        <v>#NAME?</v>
      </c>
      <c r="X256" s="7"/>
    </row>
    <row r="257" spans="1:24" x14ac:dyDescent="0.35">
      <c r="A257" s="31">
        <f>Auto_Roster!A257</f>
        <v>46155</v>
      </c>
      <c r="B257" s="31">
        <f>Auto_Roster!B257</f>
        <v>46153</v>
      </c>
      <c r="C257" s="26" t="str">
        <f>Auto_Roster!C257</f>
        <v/>
      </c>
      <c r="D257" s="26" t="str">
        <f>Auto_Roster!D257</f>
        <v/>
      </c>
      <c r="E257" s="26" t="str">
        <f>Auto_Roster!E257</f>
        <v/>
      </c>
      <c r="F257" s="26" t="str">
        <f>Auto_Roster!G257</f>
        <v/>
      </c>
      <c r="G257" s="33">
        <f>Auto_Roster!J257</f>
        <v>0</v>
      </c>
      <c r="H257" s="33">
        <f>IF(G257&gt;Settings!$B$19,G257-Settings!$B$19,0)</f>
        <v>0</v>
      </c>
      <c r="I257" s="33">
        <f t="shared" si="12"/>
        <v>0</v>
      </c>
      <c r="J257" s="33">
        <f>IF(Auto_Roster!M257="Y",G257,0)</f>
        <v>0</v>
      </c>
      <c r="K257" s="33">
        <f>IF(Auto_Roster!L257="Y",G257,0)</f>
        <v>0</v>
      </c>
      <c r="L257" s="26" t="str">
        <f>Auto_Roster!K257</f>
        <v>N</v>
      </c>
      <c r="M257" s="34">
        <f>IF(L257="Y",Settings!$B$16,0)</f>
        <v>0</v>
      </c>
      <c r="N257" s="33">
        <f t="shared" si="13"/>
        <v>0</v>
      </c>
      <c r="O257" s="34">
        <f>N257*Settings!$B$17</f>
        <v>0</v>
      </c>
      <c r="P257" s="34">
        <f>IFERROR(VLOOKUP(C257,Employees!$A$4:$E$103,5,FALSE),Settings!$B$18)</f>
        <v>100</v>
      </c>
      <c r="Q257" s="34">
        <f t="shared" si="14"/>
        <v>0</v>
      </c>
      <c r="R257" s="34">
        <f>H257*P257*Settings!$B$13</f>
        <v>0</v>
      </c>
      <c r="S257" s="34">
        <f>J257*P257*(Settings!$B$14-1)</f>
        <v>0</v>
      </c>
      <c r="T257" s="34">
        <f>K257*P257*(Settings!$B$15-1)</f>
        <v>0</v>
      </c>
      <c r="U257" s="34">
        <f t="shared" si="15"/>
        <v>0</v>
      </c>
      <c r="V257" s="26" t="str">
        <f>Auto_Roster!O257</f>
        <v>Pending</v>
      </c>
      <c r="W257" s="26" t="e">
        <f ca="1">_xludf.TEXTJOIN("; ",TRUE,Auto_Roster!N257,IF(G257&gt;Settings!$B$19,"Approval required &gt; standard hours",""),IF(AND(F257&lt;&gt;"Off",G257=0),"Missing claimed hours",""))</f>
        <v>#NAME?</v>
      </c>
      <c r="X257" s="7"/>
    </row>
    <row r="258" spans="1:24" x14ac:dyDescent="0.35">
      <c r="A258" s="31">
        <f>Auto_Roster!A258</f>
        <v>46155</v>
      </c>
      <c r="B258" s="31">
        <f>Auto_Roster!B258</f>
        <v>46153</v>
      </c>
      <c r="C258" s="26" t="str">
        <f>Auto_Roster!C258</f>
        <v/>
      </c>
      <c r="D258" s="26" t="str">
        <f>Auto_Roster!D258</f>
        <v/>
      </c>
      <c r="E258" s="26" t="str">
        <f>Auto_Roster!E258</f>
        <v/>
      </c>
      <c r="F258" s="26" t="str">
        <f>Auto_Roster!G258</f>
        <v/>
      </c>
      <c r="G258" s="33">
        <f>Auto_Roster!J258</f>
        <v>0</v>
      </c>
      <c r="H258" s="33">
        <f>IF(G258&gt;Settings!$B$19,G258-Settings!$B$19,0)</f>
        <v>0</v>
      </c>
      <c r="I258" s="33">
        <f t="shared" si="12"/>
        <v>0</v>
      </c>
      <c r="J258" s="33">
        <f>IF(Auto_Roster!M258="Y",G258,0)</f>
        <v>0</v>
      </c>
      <c r="K258" s="33">
        <f>IF(Auto_Roster!L258="Y",G258,0)</f>
        <v>0</v>
      </c>
      <c r="L258" s="26" t="str">
        <f>Auto_Roster!K258</f>
        <v>N</v>
      </c>
      <c r="M258" s="34">
        <f>IF(L258="Y",Settings!$B$16,0)</f>
        <v>0</v>
      </c>
      <c r="N258" s="33">
        <f t="shared" si="13"/>
        <v>0</v>
      </c>
      <c r="O258" s="34">
        <f>N258*Settings!$B$17</f>
        <v>0</v>
      </c>
      <c r="P258" s="34">
        <f>IFERROR(VLOOKUP(C258,Employees!$A$4:$E$103,5,FALSE),Settings!$B$18)</f>
        <v>100</v>
      </c>
      <c r="Q258" s="34">
        <f t="shared" si="14"/>
        <v>0</v>
      </c>
      <c r="R258" s="34">
        <f>H258*P258*Settings!$B$13</f>
        <v>0</v>
      </c>
      <c r="S258" s="34">
        <f>J258*P258*(Settings!$B$14-1)</f>
        <v>0</v>
      </c>
      <c r="T258" s="34">
        <f>K258*P258*(Settings!$B$15-1)</f>
        <v>0</v>
      </c>
      <c r="U258" s="34">
        <f t="shared" si="15"/>
        <v>0</v>
      </c>
      <c r="V258" s="26" t="str">
        <f>Auto_Roster!O258</f>
        <v>Pending</v>
      </c>
      <c r="W258" s="26" t="e">
        <f ca="1">_xludf.TEXTJOIN("; ",TRUE,Auto_Roster!N258,IF(G258&gt;Settings!$B$19,"Approval required &gt; standard hours",""),IF(AND(F258&lt;&gt;"Off",G258=0),"Missing claimed hours",""))</f>
        <v>#NAME?</v>
      </c>
      <c r="X258" s="7"/>
    </row>
    <row r="259" spans="1:24" x14ac:dyDescent="0.35">
      <c r="A259" s="31">
        <f>Auto_Roster!A259</f>
        <v>46155</v>
      </c>
      <c r="B259" s="31">
        <f>Auto_Roster!B259</f>
        <v>46153</v>
      </c>
      <c r="C259" s="26" t="str">
        <f>Auto_Roster!C259</f>
        <v/>
      </c>
      <c r="D259" s="26" t="str">
        <f>Auto_Roster!D259</f>
        <v/>
      </c>
      <c r="E259" s="26" t="str">
        <f>Auto_Roster!E259</f>
        <v/>
      </c>
      <c r="F259" s="26" t="str">
        <f>Auto_Roster!G259</f>
        <v/>
      </c>
      <c r="G259" s="33">
        <f>Auto_Roster!J259</f>
        <v>0</v>
      </c>
      <c r="H259" s="33">
        <f>IF(G259&gt;Settings!$B$19,G259-Settings!$B$19,0)</f>
        <v>0</v>
      </c>
      <c r="I259" s="33">
        <f t="shared" si="12"/>
        <v>0</v>
      </c>
      <c r="J259" s="33">
        <f>IF(Auto_Roster!M259="Y",G259,0)</f>
        <v>0</v>
      </c>
      <c r="K259" s="33">
        <f>IF(Auto_Roster!L259="Y",G259,0)</f>
        <v>0</v>
      </c>
      <c r="L259" s="26" t="str">
        <f>Auto_Roster!K259</f>
        <v>N</v>
      </c>
      <c r="M259" s="34">
        <f>IF(L259="Y",Settings!$B$16,0)</f>
        <v>0</v>
      </c>
      <c r="N259" s="33">
        <f t="shared" si="13"/>
        <v>0</v>
      </c>
      <c r="O259" s="34">
        <f>N259*Settings!$B$17</f>
        <v>0</v>
      </c>
      <c r="P259" s="34">
        <f>IFERROR(VLOOKUP(C259,Employees!$A$4:$E$103,5,FALSE),Settings!$B$18)</f>
        <v>100</v>
      </c>
      <c r="Q259" s="34">
        <f t="shared" si="14"/>
        <v>0</v>
      </c>
      <c r="R259" s="34">
        <f>H259*P259*Settings!$B$13</f>
        <v>0</v>
      </c>
      <c r="S259" s="34">
        <f>J259*P259*(Settings!$B$14-1)</f>
        <v>0</v>
      </c>
      <c r="T259" s="34">
        <f>K259*P259*(Settings!$B$15-1)</f>
        <v>0</v>
      </c>
      <c r="U259" s="34">
        <f t="shared" si="15"/>
        <v>0</v>
      </c>
      <c r="V259" s="26" t="str">
        <f>Auto_Roster!O259</f>
        <v>Pending</v>
      </c>
      <c r="W259" s="26" t="e">
        <f ca="1">_xludf.TEXTJOIN("; ",TRUE,Auto_Roster!N259,IF(G259&gt;Settings!$B$19,"Approval required &gt; standard hours",""),IF(AND(F259&lt;&gt;"Off",G259=0),"Missing claimed hours",""))</f>
        <v>#NAME?</v>
      </c>
      <c r="X259" s="7"/>
    </row>
    <row r="260" spans="1:24" x14ac:dyDescent="0.35">
      <c r="A260" s="31">
        <f>Auto_Roster!A260</f>
        <v>46155</v>
      </c>
      <c r="B260" s="31">
        <f>Auto_Roster!B260</f>
        <v>46153</v>
      </c>
      <c r="C260" s="26" t="str">
        <f>Auto_Roster!C260</f>
        <v/>
      </c>
      <c r="D260" s="26" t="str">
        <f>Auto_Roster!D260</f>
        <v/>
      </c>
      <c r="E260" s="26" t="str">
        <f>Auto_Roster!E260</f>
        <v/>
      </c>
      <c r="F260" s="26" t="str">
        <f>Auto_Roster!G260</f>
        <v/>
      </c>
      <c r="G260" s="33">
        <f>Auto_Roster!J260</f>
        <v>0</v>
      </c>
      <c r="H260" s="33">
        <f>IF(G260&gt;Settings!$B$19,G260-Settings!$B$19,0)</f>
        <v>0</v>
      </c>
      <c r="I260" s="33">
        <f t="shared" ref="I260:I323" si="16">MAX(0,G260-H260)</f>
        <v>0</v>
      </c>
      <c r="J260" s="33">
        <f>IF(Auto_Roster!M260="Y",G260,0)</f>
        <v>0</v>
      </c>
      <c r="K260" s="33">
        <f>IF(Auto_Roster!L260="Y",G260,0)</f>
        <v>0</v>
      </c>
      <c r="L260" s="26" t="str">
        <f>Auto_Roster!K260</f>
        <v>N</v>
      </c>
      <c r="M260" s="34">
        <f>IF(L260="Y",Settings!$B$16,0)</f>
        <v>0</v>
      </c>
      <c r="N260" s="33">
        <f t="shared" ref="N260:N323" si="17">IF(F260="Night",G260,0)</f>
        <v>0</v>
      </c>
      <c r="O260" s="34">
        <f>N260*Settings!$B$17</f>
        <v>0</v>
      </c>
      <c r="P260" s="34">
        <f>IFERROR(VLOOKUP(C260,Employees!$A$4:$E$103,5,FALSE),Settings!$B$18)</f>
        <v>100</v>
      </c>
      <c r="Q260" s="34">
        <f t="shared" ref="Q260:Q323" si="18">I260*P260</f>
        <v>0</v>
      </c>
      <c r="R260" s="34">
        <f>H260*P260*Settings!$B$13</f>
        <v>0</v>
      </c>
      <c r="S260" s="34">
        <f>J260*P260*(Settings!$B$14-1)</f>
        <v>0</v>
      </c>
      <c r="T260" s="34">
        <f>K260*P260*(Settings!$B$15-1)</f>
        <v>0</v>
      </c>
      <c r="U260" s="34">
        <f t="shared" ref="U260:U323" si="19">SUM(Q260:T260)+M260+O260</f>
        <v>0</v>
      </c>
      <c r="V260" s="26" t="str">
        <f>Auto_Roster!O260</f>
        <v>Pending</v>
      </c>
      <c r="W260" s="26" t="e">
        <f ca="1">_xludf.TEXTJOIN("; ",TRUE,Auto_Roster!N260,IF(G260&gt;Settings!$B$19,"Approval required &gt; standard hours",""),IF(AND(F260&lt;&gt;"Off",G260=0),"Missing claimed hours",""))</f>
        <v>#NAME?</v>
      </c>
      <c r="X260" s="7"/>
    </row>
    <row r="261" spans="1:24" x14ac:dyDescent="0.35">
      <c r="A261" s="31">
        <f>Auto_Roster!A261</f>
        <v>46155</v>
      </c>
      <c r="B261" s="31">
        <f>Auto_Roster!B261</f>
        <v>46153</v>
      </c>
      <c r="C261" s="26" t="str">
        <f>Auto_Roster!C261</f>
        <v/>
      </c>
      <c r="D261" s="26" t="str">
        <f>Auto_Roster!D261</f>
        <v/>
      </c>
      <c r="E261" s="26" t="str">
        <f>Auto_Roster!E261</f>
        <v/>
      </c>
      <c r="F261" s="26" t="str">
        <f>Auto_Roster!G261</f>
        <v/>
      </c>
      <c r="G261" s="33">
        <f>Auto_Roster!J261</f>
        <v>0</v>
      </c>
      <c r="H261" s="33">
        <f>IF(G261&gt;Settings!$B$19,G261-Settings!$B$19,0)</f>
        <v>0</v>
      </c>
      <c r="I261" s="33">
        <f t="shared" si="16"/>
        <v>0</v>
      </c>
      <c r="J261" s="33">
        <f>IF(Auto_Roster!M261="Y",G261,0)</f>
        <v>0</v>
      </c>
      <c r="K261" s="33">
        <f>IF(Auto_Roster!L261="Y",G261,0)</f>
        <v>0</v>
      </c>
      <c r="L261" s="26" t="str">
        <f>Auto_Roster!K261</f>
        <v>N</v>
      </c>
      <c r="M261" s="34">
        <f>IF(L261="Y",Settings!$B$16,0)</f>
        <v>0</v>
      </c>
      <c r="N261" s="33">
        <f t="shared" si="17"/>
        <v>0</v>
      </c>
      <c r="O261" s="34">
        <f>N261*Settings!$B$17</f>
        <v>0</v>
      </c>
      <c r="P261" s="34">
        <f>IFERROR(VLOOKUP(C261,Employees!$A$4:$E$103,5,FALSE),Settings!$B$18)</f>
        <v>100</v>
      </c>
      <c r="Q261" s="34">
        <f t="shared" si="18"/>
        <v>0</v>
      </c>
      <c r="R261" s="34">
        <f>H261*P261*Settings!$B$13</f>
        <v>0</v>
      </c>
      <c r="S261" s="34">
        <f>J261*P261*(Settings!$B$14-1)</f>
        <v>0</v>
      </c>
      <c r="T261" s="34">
        <f>K261*P261*(Settings!$B$15-1)</f>
        <v>0</v>
      </c>
      <c r="U261" s="34">
        <f t="shared" si="19"/>
        <v>0</v>
      </c>
      <c r="V261" s="26" t="str">
        <f>Auto_Roster!O261</f>
        <v>Pending</v>
      </c>
      <c r="W261" s="26" t="e">
        <f ca="1">_xludf.TEXTJOIN("; ",TRUE,Auto_Roster!N261,IF(G261&gt;Settings!$B$19,"Approval required &gt; standard hours",""),IF(AND(F261&lt;&gt;"Off",G261=0),"Missing claimed hours",""))</f>
        <v>#NAME?</v>
      </c>
      <c r="X261" s="7"/>
    </row>
    <row r="262" spans="1:24" x14ac:dyDescent="0.35">
      <c r="A262" s="31">
        <f>Auto_Roster!A262</f>
        <v>46155</v>
      </c>
      <c r="B262" s="31">
        <f>Auto_Roster!B262</f>
        <v>46153</v>
      </c>
      <c r="C262" s="26" t="str">
        <f>Auto_Roster!C262</f>
        <v/>
      </c>
      <c r="D262" s="26" t="str">
        <f>Auto_Roster!D262</f>
        <v/>
      </c>
      <c r="E262" s="26" t="str">
        <f>Auto_Roster!E262</f>
        <v/>
      </c>
      <c r="F262" s="26" t="str">
        <f>Auto_Roster!G262</f>
        <v/>
      </c>
      <c r="G262" s="33">
        <f>Auto_Roster!J262</f>
        <v>0</v>
      </c>
      <c r="H262" s="33">
        <f>IF(G262&gt;Settings!$B$19,G262-Settings!$B$19,0)</f>
        <v>0</v>
      </c>
      <c r="I262" s="33">
        <f t="shared" si="16"/>
        <v>0</v>
      </c>
      <c r="J262" s="33">
        <f>IF(Auto_Roster!M262="Y",G262,0)</f>
        <v>0</v>
      </c>
      <c r="K262" s="33">
        <f>IF(Auto_Roster!L262="Y",G262,0)</f>
        <v>0</v>
      </c>
      <c r="L262" s="26" t="str">
        <f>Auto_Roster!K262</f>
        <v>N</v>
      </c>
      <c r="M262" s="34">
        <f>IF(L262="Y",Settings!$B$16,0)</f>
        <v>0</v>
      </c>
      <c r="N262" s="33">
        <f t="shared" si="17"/>
        <v>0</v>
      </c>
      <c r="O262" s="34">
        <f>N262*Settings!$B$17</f>
        <v>0</v>
      </c>
      <c r="P262" s="34">
        <f>IFERROR(VLOOKUP(C262,Employees!$A$4:$E$103,5,FALSE),Settings!$B$18)</f>
        <v>100</v>
      </c>
      <c r="Q262" s="34">
        <f t="shared" si="18"/>
        <v>0</v>
      </c>
      <c r="R262" s="34">
        <f>H262*P262*Settings!$B$13</f>
        <v>0</v>
      </c>
      <c r="S262" s="34">
        <f>J262*P262*(Settings!$B$14-1)</f>
        <v>0</v>
      </c>
      <c r="T262" s="34">
        <f>K262*P262*(Settings!$B$15-1)</f>
        <v>0</v>
      </c>
      <c r="U262" s="34">
        <f t="shared" si="19"/>
        <v>0</v>
      </c>
      <c r="V262" s="26" t="str">
        <f>Auto_Roster!O262</f>
        <v>Pending</v>
      </c>
      <c r="W262" s="26" t="e">
        <f ca="1">_xludf.TEXTJOIN("; ",TRUE,Auto_Roster!N262,IF(G262&gt;Settings!$B$19,"Approval required &gt; standard hours",""),IF(AND(F262&lt;&gt;"Off",G262=0),"Missing claimed hours",""))</f>
        <v>#NAME?</v>
      </c>
      <c r="X262" s="7"/>
    </row>
    <row r="263" spans="1:24" x14ac:dyDescent="0.35">
      <c r="A263" s="31">
        <f>Auto_Roster!A263</f>
        <v>46155</v>
      </c>
      <c r="B263" s="31">
        <f>Auto_Roster!B263</f>
        <v>46153</v>
      </c>
      <c r="C263" s="26" t="str">
        <f>Auto_Roster!C263</f>
        <v/>
      </c>
      <c r="D263" s="26" t="str">
        <f>Auto_Roster!D263</f>
        <v/>
      </c>
      <c r="E263" s="26" t="str">
        <f>Auto_Roster!E263</f>
        <v/>
      </c>
      <c r="F263" s="26" t="str">
        <f>Auto_Roster!G263</f>
        <v/>
      </c>
      <c r="G263" s="33">
        <f>Auto_Roster!J263</f>
        <v>0</v>
      </c>
      <c r="H263" s="33">
        <f>IF(G263&gt;Settings!$B$19,G263-Settings!$B$19,0)</f>
        <v>0</v>
      </c>
      <c r="I263" s="33">
        <f t="shared" si="16"/>
        <v>0</v>
      </c>
      <c r="J263" s="33">
        <f>IF(Auto_Roster!M263="Y",G263,0)</f>
        <v>0</v>
      </c>
      <c r="K263" s="33">
        <f>IF(Auto_Roster!L263="Y",G263,0)</f>
        <v>0</v>
      </c>
      <c r="L263" s="26" t="str">
        <f>Auto_Roster!K263</f>
        <v>N</v>
      </c>
      <c r="M263" s="34">
        <f>IF(L263="Y",Settings!$B$16,0)</f>
        <v>0</v>
      </c>
      <c r="N263" s="33">
        <f t="shared" si="17"/>
        <v>0</v>
      </c>
      <c r="O263" s="34">
        <f>N263*Settings!$B$17</f>
        <v>0</v>
      </c>
      <c r="P263" s="34">
        <f>IFERROR(VLOOKUP(C263,Employees!$A$4:$E$103,5,FALSE),Settings!$B$18)</f>
        <v>100</v>
      </c>
      <c r="Q263" s="34">
        <f t="shared" si="18"/>
        <v>0</v>
      </c>
      <c r="R263" s="34">
        <f>H263*P263*Settings!$B$13</f>
        <v>0</v>
      </c>
      <c r="S263" s="34">
        <f>J263*P263*(Settings!$B$14-1)</f>
        <v>0</v>
      </c>
      <c r="T263" s="34">
        <f>K263*P263*(Settings!$B$15-1)</f>
        <v>0</v>
      </c>
      <c r="U263" s="34">
        <f t="shared" si="19"/>
        <v>0</v>
      </c>
      <c r="V263" s="26" t="str">
        <f>Auto_Roster!O263</f>
        <v>Pending</v>
      </c>
      <c r="W263" s="26" t="e">
        <f ca="1">_xludf.TEXTJOIN("; ",TRUE,Auto_Roster!N263,IF(G263&gt;Settings!$B$19,"Approval required &gt; standard hours",""),IF(AND(F263&lt;&gt;"Off",G263=0),"Missing claimed hours",""))</f>
        <v>#NAME?</v>
      </c>
      <c r="X263" s="7"/>
    </row>
    <row r="264" spans="1:24" x14ac:dyDescent="0.35">
      <c r="A264" s="31">
        <f>Auto_Roster!A264</f>
        <v>46156</v>
      </c>
      <c r="B264" s="31">
        <f>Auto_Roster!B264</f>
        <v>46153</v>
      </c>
      <c r="C264" s="26" t="str">
        <f>Auto_Roster!C264</f>
        <v>E001</v>
      </c>
      <c r="D264" s="26" t="str">
        <f>Auto_Roster!D264</f>
        <v>Musiwa Khavalani</v>
      </c>
      <c r="E264" s="26">
        <f>Auto_Roster!E264</f>
        <v>0</v>
      </c>
      <c r="F264" s="26" t="e">
        <f>Auto_Roster!G264</f>
        <v>#N/A</v>
      </c>
      <c r="G264" s="33" t="e">
        <f>Auto_Roster!J264</f>
        <v>#N/A</v>
      </c>
      <c r="H264" s="33" t="e">
        <f>IF(G264&gt;Settings!$B$19,G264-Settings!$B$19,0)</f>
        <v>#N/A</v>
      </c>
      <c r="I264" s="33" t="e">
        <f t="shared" si="16"/>
        <v>#N/A</v>
      </c>
      <c r="J264" s="33">
        <f>IF(Auto_Roster!M264="Y",G264,0)</f>
        <v>0</v>
      </c>
      <c r="K264" s="33">
        <f>IF(Auto_Roster!L264="Y",G264,0)</f>
        <v>0</v>
      </c>
      <c r="L264" s="26" t="str">
        <f>Auto_Roster!K264</f>
        <v>N</v>
      </c>
      <c r="M264" s="34">
        <f>IF(L264="Y",Settings!$B$16,0)</f>
        <v>0</v>
      </c>
      <c r="N264" s="33" t="e">
        <f t="shared" si="17"/>
        <v>#N/A</v>
      </c>
      <c r="O264" s="34" t="e">
        <f>N264*Settings!$B$17</f>
        <v>#N/A</v>
      </c>
      <c r="P264" s="34">
        <f>IFERROR(VLOOKUP(C264,Employees!$A$4:$E$103,5,FALSE),Settings!$B$18)</f>
        <v>100</v>
      </c>
      <c r="Q264" s="34" t="e">
        <f t="shared" si="18"/>
        <v>#N/A</v>
      </c>
      <c r="R264" s="34" t="e">
        <f>H264*P264*Settings!$B$13</f>
        <v>#N/A</v>
      </c>
      <c r="S264" s="34">
        <f>J264*P264*(Settings!$B$14-1)</f>
        <v>0</v>
      </c>
      <c r="T264" s="34">
        <f>K264*P264*(Settings!$B$15-1)</f>
        <v>0</v>
      </c>
      <c r="U264" s="34" t="e">
        <f t="shared" si="19"/>
        <v>#N/A</v>
      </c>
      <c r="V264" s="26" t="str">
        <f>Auto_Roster!O264</f>
        <v>Pending</v>
      </c>
      <c r="W264" s="26" t="e">
        <f ca="1">_xludf.TEXTJOIN("; ",TRUE,Auto_Roster!N264,IF(G264&gt;Settings!$B$19,"Approval required &gt; standard hours",""),IF(AND(F264&lt;&gt;"Off",G264=0),"Missing claimed hours",""))</f>
        <v>#NAME?</v>
      </c>
      <c r="X264" s="7"/>
    </row>
    <row r="265" spans="1:24" x14ac:dyDescent="0.35">
      <c r="A265" s="31">
        <f>Auto_Roster!A265</f>
        <v>46156</v>
      </c>
      <c r="B265" s="31">
        <f>Auto_Roster!B265</f>
        <v>46153</v>
      </c>
      <c r="C265" s="26" t="str">
        <f>Auto_Roster!C265</f>
        <v>E002</v>
      </c>
      <c r="D265" s="26" t="str">
        <f>Auto_Roster!D265</f>
        <v>Mpho  Nembemhia</v>
      </c>
      <c r="E265" s="26" t="str">
        <f>Auto_Roster!E265</f>
        <v>B</v>
      </c>
      <c r="F265" s="26" t="str">
        <f>Auto_Roster!G265</f>
        <v>Day</v>
      </c>
      <c r="G265" s="33">
        <f>Auto_Roster!J265</f>
        <v>8</v>
      </c>
      <c r="H265" s="33">
        <f>IF(G265&gt;Settings!$B$19,G265-Settings!$B$19,0)</f>
        <v>0</v>
      </c>
      <c r="I265" s="33">
        <f t="shared" si="16"/>
        <v>8</v>
      </c>
      <c r="J265" s="33">
        <f>IF(Auto_Roster!M265="Y",G265,0)</f>
        <v>0</v>
      </c>
      <c r="K265" s="33">
        <f>IF(Auto_Roster!L265="Y",G265,0)</f>
        <v>0</v>
      </c>
      <c r="L265" s="26" t="str">
        <f>Auto_Roster!K265</f>
        <v>N</v>
      </c>
      <c r="M265" s="34">
        <f>IF(L265="Y",Settings!$B$16,0)</f>
        <v>0</v>
      </c>
      <c r="N265" s="33">
        <f t="shared" si="17"/>
        <v>0</v>
      </c>
      <c r="O265" s="34">
        <f>N265*Settings!$B$17</f>
        <v>0</v>
      </c>
      <c r="P265" s="34">
        <f>IFERROR(VLOOKUP(C265,Employees!$A$4:$E$103,5,FALSE),Settings!$B$18)</f>
        <v>100</v>
      </c>
      <c r="Q265" s="34">
        <f t="shared" si="18"/>
        <v>800</v>
      </c>
      <c r="R265" s="34">
        <f>H265*P265*Settings!$B$13</f>
        <v>0</v>
      </c>
      <c r="S265" s="34">
        <f>J265*P265*(Settings!$B$14-1)</f>
        <v>0</v>
      </c>
      <c r="T265" s="34">
        <f>K265*P265*(Settings!$B$15-1)</f>
        <v>0</v>
      </c>
      <c r="U265" s="34">
        <f t="shared" si="19"/>
        <v>800</v>
      </c>
      <c r="V265" s="26" t="str">
        <f>Auto_Roster!O265</f>
        <v>Pending</v>
      </c>
      <c r="W265" s="26" t="e">
        <f ca="1">_xludf.TEXTJOIN("; ",TRUE,Auto_Roster!N265,IF(G265&gt;Settings!$B$19,"Approval required &gt; standard hours",""),IF(AND(F265&lt;&gt;"Off",G265=0),"Missing claimed hours",""))</f>
        <v>#NAME?</v>
      </c>
      <c r="X265" s="7"/>
    </row>
    <row r="266" spans="1:24" x14ac:dyDescent="0.35">
      <c r="A266" s="31">
        <f>Auto_Roster!A266</f>
        <v>46156</v>
      </c>
      <c r="B266" s="31">
        <f>Auto_Roster!B266</f>
        <v>46153</v>
      </c>
      <c r="C266" s="26" t="str">
        <f>Auto_Roster!C266</f>
        <v>E003</v>
      </c>
      <c r="D266" s="26" t="str">
        <f>Auto_Roster!D266</f>
        <v>Dimpho Makhafola</v>
      </c>
      <c r="E266" s="26" t="str">
        <f>Auto_Roster!E266</f>
        <v>C</v>
      </c>
      <c r="F266" s="26" t="str">
        <f>Auto_Roster!G266</f>
        <v>Off</v>
      </c>
      <c r="G266" s="33">
        <f>Auto_Roster!J266</f>
        <v>0</v>
      </c>
      <c r="H266" s="33">
        <f>IF(G266&gt;Settings!$B$19,G266-Settings!$B$19,0)</f>
        <v>0</v>
      </c>
      <c r="I266" s="33">
        <f t="shared" si="16"/>
        <v>0</v>
      </c>
      <c r="J266" s="33">
        <f>IF(Auto_Roster!M266="Y",G266,0)</f>
        <v>0</v>
      </c>
      <c r="K266" s="33">
        <f>IF(Auto_Roster!L266="Y",G266,0)</f>
        <v>0</v>
      </c>
      <c r="L266" s="26" t="str">
        <f>Auto_Roster!K266</f>
        <v>N</v>
      </c>
      <c r="M266" s="34">
        <f>IF(L266="Y",Settings!$B$16,0)</f>
        <v>0</v>
      </c>
      <c r="N266" s="33">
        <f t="shared" si="17"/>
        <v>0</v>
      </c>
      <c r="O266" s="34">
        <f>N266*Settings!$B$17</f>
        <v>0</v>
      </c>
      <c r="P266" s="34">
        <f>IFERROR(VLOOKUP(C266,Employees!$A$4:$E$103,5,FALSE),Settings!$B$18)</f>
        <v>100</v>
      </c>
      <c r="Q266" s="34">
        <f t="shared" si="18"/>
        <v>0</v>
      </c>
      <c r="R266" s="34">
        <f>H266*P266*Settings!$B$13</f>
        <v>0</v>
      </c>
      <c r="S266" s="34">
        <f>J266*P266*(Settings!$B$14-1)</f>
        <v>0</v>
      </c>
      <c r="T266" s="34">
        <f>K266*P266*(Settings!$B$15-1)</f>
        <v>0</v>
      </c>
      <c r="U266" s="34">
        <f t="shared" si="19"/>
        <v>0</v>
      </c>
      <c r="V266" s="26" t="str">
        <f>Auto_Roster!O266</f>
        <v>Pending</v>
      </c>
      <c r="W266" s="26" t="e">
        <f ca="1">_xludf.TEXTJOIN("; ",TRUE,Auto_Roster!N266,IF(G266&gt;Settings!$B$19,"Approval required &gt; standard hours",""),IF(AND(F266&lt;&gt;"Off",G266=0),"Missing claimed hours",""))</f>
        <v>#NAME?</v>
      </c>
      <c r="X266" s="7"/>
    </row>
    <row r="267" spans="1:24" x14ac:dyDescent="0.35">
      <c r="A267" s="31">
        <f>Auto_Roster!A267</f>
        <v>46156</v>
      </c>
      <c r="B267" s="31">
        <f>Auto_Roster!B267</f>
        <v>46153</v>
      </c>
      <c r="C267" s="26" t="str">
        <f>Auto_Roster!C267</f>
        <v>E004</v>
      </c>
      <c r="D267" s="26" t="str">
        <f>Auto_Roster!D267</f>
        <v>Bashii Fall</v>
      </c>
      <c r="E267" s="26" t="str">
        <f>Auto_Roster!E267</f>
        <v>D</v>
      </c>
      <c r="F267" s="26" t="str">
        <f>Auto_Roster!G267</f>
        <v>Night</v>
      </c>
      <c r="G267" s="33">
        <f>Auto_Roster!J267</f>
        <v>8</v>
      </c>
      <c r="H267" s="33">
        <f>IF(G267&gt;Settings!$B$19,G267-Settings!$B$19,0)</f>
        <v>0</v>
      </c>
      <c r="I267" s="33">
        <f t="shared" si="16"/>
        <v>8</v>
      </c>
      <c r="J267" s="33">
        <f>IF(Auto_Roster!M267="Y",G267,0)</f>
        <v>0</v>
      </c>
      <c r="K267" s="33">
        <f>IF(Auto_Roster!L267="Y",G267,0)</f>
        <v>0</v>
      </c>
      <c r="L267" s="26" t="str">
        <f>Auto_Roster!K267</f>
        <v>N</v>
      </c>
      <c r="M267" s="34">
        <f>IF(L267="Y",Settings!$B$16,0)</f>
        <v>0</v>
      </c>
      <c r="N267" s="33">
        <f t="shared" si="17"/>
        <v>8</v>
      </c>
      <c r="O267" s="34">
        <f>N267*Settings!$B$17</f>
        <v>0</v>
      </c>
      <c r="P267" s="34">
        <f>IFERROR(VLOOKUP(C267,Employees!$A$4:$E$103,5,FALSE),Settings!$B$18)</f>
        <v>100</v>
      </c>
      <c r="Q267" s="34">
        <f t="shared" si="18"/>
        <v>800</v>
      </c>
      <c r="R267" s="34">
        <f>H267*P267*Settings!$B$13</f>
        <v>0</v>
      </c>
      <c r="S267" s="34">
        <f>J267*P267*(Settings!$B$14-1)</f>
        <v>0</v>
      </c>
      <c r="T267" s="34">
        <f>K267*P267*(Settings!$B$15-1)</f>
        <v>0</v>
      </c>
      <c r="U267" s="34">
        <f t="shared" si="19"/>
        <v>800</v>
      </c>
      <c r="V267" s="26" t="str">
        <f>Auto_Roster!O267</f>
        <v>Pending</v>
      </c>
      <c r="W267" s="26" t="e">
        <f ca="1">_xludf.TEXTJOIN("; ",TRUE,Auto_Roster!N267,IF(G267&gt;Settings!$B$19,"Approval required &gt; standard hours",""),IF(AND(F267&lt;&gt;"Off",G267=0),"Missing claimed hours",""))</f>
        <v>#NAME?</v>
      </c>
      <c r="X267" s="7"/>
    </row>
    <row r="268" spans="1:24" x14ac:dyDescent="0.35">
      <c r="A268" s="31">
        <f>Auto_Roster!A268</f>
        <v>46156</v>
      </c>
      <c r="B268" s="31">
        <f>Auto_Roster!B268</f>
        <v>46153</v>
      </c>
      <c r="C268" s="26" t="str">
        <f>Auto_Roster!C268</f>
        <v>E005</v>
      </c>
      <c r="D268" s="26" t="str">
        <f>Auto_Roster!D268</f>
        <v>Lesego Aphane</v>
      </c>
      <c r="E268" s="26" t="str">
        <f>Auto_Roster!E268</f>
        <v>A</v>
      </c>
      <c r="F268" s="26" t="str">
        <f>Auto_Roster!G268</f>
        <v>Evening</v>
      </c>
      <c r="G268" s="33">
        <f>Auto_Roster!J268</f>
        <v>8</v>
      </c>
      <c r="H268" s="33">
        <f>IF(G268&gt;Settings!$B$19,G268-Settings!$B$19,0)</f>
        <v>0</v>
      </c>
      <c r="I268" s="33">
        <f t="shared" si="16"/>
        <v>8</v>
      </c>
      <c r="J268" s="33">
        <f>IF(Auto_Roster!M268="Y",G268,0)</f>
        <v>0</v>
      </c>
      <c r="K268" s="33">
        <f>IF(Auto_Roster!L268="Y",G268,0)</f>
        <v>0</v>
      </c>
      <c r="L268" s="26" t="str">
        <f>Auto_Roster!K268</f>
        <v>N</v>
      </c>
      <c r="M268" s="34">
        <f>IF(L268="Y",Settings!$B$16,0)</f>
        <v>0</v>
      </c>
      <c r="N268" s="33">
        <f t="shared" si="17"/>
        <v>0</v>
      </c>
      <c r="O268" s="34">
        <f>N268*Settings!$B$17</f>
        <v>0</v>
      </c>
      <c r="P268" s="34">
        <f>IFERROR(VLOOKUP(C268,Employees!$A$4:$E$103,5,FALSE),Settings!$B$18)</f>
        <v>100</v>
      </c>
      <c r="Q268" s="34">
        <f t="shared" si="18"/>
        <v>800</v>
      </c>
      <c r="R268" s="34">
        <f>H268*P268*Settings!$B$13</f>
        <v>0</v>
      </c>
      <c r="S268" s="34">
        <f>J268*P268*(Settings!$B$14-1)</f>
        <v>0</v>
      </c>
      <c r="T268" s="34">
        <f>K268*P268*(Settings!$B$15-1)</f>
        <v>0</v>
      </c>
      <c r="U268" s="34">
        <f t="shared" si="19"/>
        <v>800</v>
      </c>
      <c r="V268" s="26" t="str">
        <f>Auto_Roster!O268</f>
        <v>Pending</v>
      </c>
      <c r="W268" s="26" t="e">
        <f ca="1">_xludf.TEXTJOIN("; ",TRUE,Auto_Roster!N268,IF(G268&gt;Settings!$B$19,"Approval required &gt; standard hours",""),IF(AND(F268&lt;&gt;"Off",G268=0),"Missing claimed hours",""))</f>
        <v>#NAME?</v>
      </c>
      <c r="X268" s="7"/>
    </row>
    <row r="269" spans="1:24" x14ac:dyDescent="0.35">
      <c r="A269" s="31">
        <f>Auto_Roster!A269</f>
        <v>46156</v>
      </c>
      <c r="B269" s="31">
        <f>Auto_Roster!B269</f>
        <v>46153</v>
      </c>
      <c r="C269" s="26" t="str">
        <f>Auto_Roster!C269</f>
        <v>E006</v>
      </c>
      <c r="D269" s="26" t="str">
        <f>Auto_Roster!D269</f>
        <v>Nhalnahla</v>
      </c>
      <c r="E269" s="26" t="str">
        <f>Auto_Roster!E269</f>
        <v>B</v>
      </c>
      <c r="F269" s="26" t="str">
        <f>Auto_Roster!G269</f>
        <v>Day</v>
      </c>
      <c r="G269" s="33">
        <f>Auto_Roster!J269</f>
        <v>8</v>
      </c>
      <c r="H269" s="33">
        <f>IF(G269&gt;Settings!$B$19,G269-Settings!$B$19,0)</f>
        <v>0</v>
      </c>
      <c r="I269" s="33">
        <f t="shared" si="16"/>
        <v>8</v>
      </c>
      <c r="J269" s="33">
        <f>IF(Auto_Roster!M269="Y",G269,0)</f>
        <v>0</v>
      </c>
      <c r="K269" s="33">
        <f>IF(Auto_Roster!L269="Y",G269,0)</f>
        <v>0</v>
      </c>
      <c r="L269" s="26" t="str">
        <f>Auto_Roster!K269</f>
        <v>N</v>
      </c>
      <c r="M269" s="34">
        <f>IF(L269="Y",Settings!$B$16,0)</f>
        <v>0</v>
      </c>
      <c r="N269" s="33">
        <f t="shared" si="17"/>
        <v>0</v>
      </c>
      <c r="O269" s="34">
        <f>N269*Settings!$B$17</f>
        <v>0</v>
      </c>
      <c r="P269" s="34">
        <f>IFERROR(VLOOKUP(C269,Employees!$A$4:$E$103,5,FALSE),Settings!$B$18)</f>
        <v>100</v>
      </c>
      <c r="Q269" s="34">
        <f t="shared" si="18"/>
        <v>800</v>
      </c>
      <c r="R269" s="34">
        <f>H269*P269*Settings!$B$13</f>
        <v>0</v>
      </c>
      <c r="S269" s="34">
        <f>J269*P269*(Settings!$B$14-1)</f>
        <v>0</v>
      </c>
      <c r="T269" s="34">
        <f>K269*P269*(Settings!$B$15-1)</f>
        <v>0</v>
      </c>
      <c r="U269" s="34">
        <f t="shared" si="19"/>
        <v>800</v>
      </c>
      <c r="V269" s="26" t="str">
        <f>Auto_Roster!O269</f>
        <v>Pending</v>
      </c>
      <c r="W269" s="26" t="e">
        <f ca="1">_xludf.TEXTJOIN("; ",TRUE,Auto_Roster!N269,IF(G269&gt;Settings!$B$19,"Approval required &gt; standard hours",""),IF(AND(F269&lt;&gt;"Off",G269=0),"Missing claimed hours",""))</f>
        <v>#NAME?</v>
      </c>
      <c r="X269" s="7"/>
    </row>
    <row r="270" spans="1:24" x14ac:dyDescent="0.35">
      <c r="A270" s="31">
        <f>Auto_Roster!A270</f>
        <v>46156</v>
      </c>
      <c r="B270" s="31">
        <f>Auto_Roster!B270</f>
        <v>46153</v>
      </c>
      <c r="C270" s="26" t="str">
        <f>Auto_Roster!C270</f>
        <v>E007</v>
      </c>
      <c r="D270" s="26" t="str">
        <f>Auto_Roster!D270</f>
        <v>Joe</v>
      </c>
      <c r="E270" s="26" t="str">
        <f>Auto_Roster!E270</f>
        <v>C</v>
      </c>
      <c r="F270" s="26" t="str">
        <f>Auto_Roster!G270</f>
        <v>Off</v>
      </c>
      <c r="G270" s="33">
        <f>Auto_Roster!J270</f>
        <v>0</v>
      </c>
      <c r="H270" s="33">
        <f>IF(G270&gt;Settings!$B$19,G270-Settings!$B$19,0)</f>
        <v>0</v>
      </c>
      <c r="I270" s="33">
        <f t="shared" si="16"/>
        <v>0</v>
      </c>
      <c r="J270" s="33">
        <f>IF(Auto_Roster!M270="Y",G270,0)</f>
        <v>0</v>
      </c>
      <c r="K270" s="33">
        <f>IF(Auto_Roster!L270="Y",G270,0)</f>
        <v>0</v>
      </c>
      <c r="L270" s="26" t="str">
        <f>Auto_Roster!K270</f>
        <v>N</v>
      </c>
      <c r="M270" s="34">
        <f>IF(L270="Y",Settings!$B$16,0)</f>
        <v>0</v>
      </c>
      <c r="N270" s="33">
        <f t="shared" si="17"/>
        <v>0</v>
      </c>
      <c r="O270" s="34">
        <f>N270*Settings!$B$17</f>
        <v>0</v>
      </c>
      <c r="P270" s="34">
        <f>IFERROR(VLOOKUP(C270,Employees!$A$4:$E$103,5,FALSE),Settings!$B$18)</f>
        <v>100</v>
      </c>
      <c r="Q270" s="34">
        <f t="shared" si="18"/>
        <v>0</v>
      </c>
      <c r="R270" s="34">
        <f>H270*P270*Settings!$B$13</f>
        <v>0</v>
      </c>
      <c r="S270" s="34">
        <f>J270*P270*(Settings!$B$14-1)</f>
        <v>0</v>
      </c>
      <c r="T270" s="34">
        <f>K270*P270*(Settings!$B$15-1)</f>
        <v>0</v>
      </c>
      <c r="U270" s="34">
        <f t="shared" si="19"/>
        <v>0</v>
      </c>
      <c r="V270" s="26" t="str">
        <f>Auto_Roster!O270</f>
        <v>Pending</v>
      </c>
      <c r="W270" s="26" t="e">
        <f ca="1">_xludf.TEXTJOIN("; ",TRUE,Auto_Roster!N270,IF(G270&gt;Settings!$B$19,"Approval required &gt; standard hours",""),IF(AND(F270&lt;&gt;"Off",G270=0),"Missing claimed hours",""))</f>
        <v>#NAME?</v>
      </c>
      <c r="X270" s="7"/>
    </row>
    <row r="271" spans="1:24" x14ac:dyDescent="0.35">
      <c r="A271" s="31">
        <f>Auto_Roster!A271</f>
        <v>46156</v>
      </c>
      <c r="B271" s="31">
        <f>Auto_Roster!B271</f>
        <v>46153</v>
      </c>
      <c r="C271" s="26" t="str">
        <f>Auto_Roster!C271</f>
        <v>E008</v>
      </c>
      <c r="D271" s="26" t="str">
        <f>Auto_Roster!D271</f>
        <v>Tim</v>
      </c>
      <c r="E271" s="26" t="str">
        <f>Auto_Roster!E271</f>
        <v>D</v>
      </c>
      <c r="F271" s="26" t="str">
        <f>Auto_Roster!G271</f>
        <v>Night</v>
      </c>
      <c r="G271" s="33">
        <f>Auto_Roster!J271</f>
        <v>8</v>
      </c>
      <c r="H271" s="33">
        <f>IF(G271&gt;Settings!$B$19,G271-Settings!$B$19,0)</f>
        <v>0</v>
      </c>
      <c r="I271" s="33">
        <f t="shared" si="16"/>
        <v>8</v>
      </c>
      <c r="J271" s="33">
        <f>IF(Auto_Roster!M271="Y",G271,0)</f>
        <v>0</v>
      </c>
      <c r="K271" s="33">
        <f>IF(Auto_Roster!L271="Y",G271,0)</f>
        <v>0</v>
      </c>
      <c r="L271" s="26" t="str">
        <f>Auto_Roster!K271</f>
        <v>N</v>
      </c>
      <c r="M271" s="34">
        <f>IF(L271="Y",Settings!$B$16,0)</f>
        <v>0</v>
      </c>
      <c r="N271" s="33">
        <f t="shared" si="17"/>
        <v>8</v>
      </c>
      <c r="O271" s="34">
        <f>N271*Settings!$B$17</f>
        <v>0</v>
      </c>
      <c r="P271" s="34">
        <f>IFERROR(VLOOKUP(C271,Employees!$A$4:$E$103,5,FALSE),Settings!$B$18)</f>
        <v>100</v>
      </c>
      <c r="Q271" s="34">
        <f t="shared" si="18"/>
        <v>800</v>
      </c>
      <c r="R271" s="34">
        <f>H271*P271*Settings!$B$13</f>
        <v>0</v>
      </c>
      <c r="S271" s="34">
        <f>J271*P271*(Settings!$B$14-1)</f>
        <v>0</v>
      </c>
      <c r="T271" s="34">
        <f>K271*P271*(Settings!$B$15-1)</f>
        <v>0</v>
      </c>
      <c r="U271" s="34">
        <f t="shared" si="19"/>
        <v>800</v>
      </c>
      <c r="V271" s="26" t="str">
        <f>Auto_Roster!O271</f>
        <v>Pending</v>
      </c>
      <c r="W271" s="26" t="e">
        <f ca="1">_xludf.TEXTJOIN("; ",TRUE,Auto_Roster!N271,IF(G271&gt;Settings!$B$19,"Approval required &gt; standard hours",""),IF(AND(F271&lt;&gt;"Off",G271=0),"Missing claimed hours",""))</f>
        <v>#NAME?</v>
      </c>
      <c r="X271" s="7"/>
    </row>
    <row r="272" spans="1:24" x14ac:dyDescent="0.35">
      <c r="A272" s="31">
        <f>Auto_Roster!A272</f>
        <v>46156</v>
      </c>
      <c r="B272" s="31">
        <f>Auto_Roster!B272</f>
        <v>46153</v>
      </c>
      <c r="C272" s="26" t="str">
        <f>Auto_Roster!C272</f>
        <v>E009</v>
      </c>
      <c r="D272" s="26" t="str">
        <f>Auto_Roster!D272</f>
        <v>Frank</v>
      </c>
      <c r="E272" s="26" t="str">
        <f>Auto_Roster!E272</f>
        <v>A</v>
      </c>
      <c r="F272" s="26" t="str">
        <f>Auto_Roster!G272</f>
        <v>Evening</v>
      </c>
      <c r="G272" s="33">
        <f>Auto_Roster!J272</f>
        <v>8</v>
      </c>
      <c r="H272" s="33">
        <f>IF(G272&gt;Settings!$B$19,G272-Settings!$B$19,0)</f>
        <v>0</v>
      </c>
      <c r="I272" s="33">
        <f t="shared" si="16"/>
        <v>8</v>
      </c>
      <c r="J272" s="33">
        <f>IF(Auto_Roster!M272="Y",G272,0)</f>
        <v>0</v>
      </c>
      <c r="K272" s="33">
        <f>IF(Auto_Roster!L272="Y",G272,0)</f>
        <v>0</v>
      </c>
      <c r="L272" s="26" t="str">
        <f>Auto_Roster!K272</f>
        <v>N</v>
      </c>
      <c r="M272" s="34">
        <f>IF(L272="Y",Settings!$B$16,0)</f>
        <v>0</v>
      </c>
      <c r="N272" s="33">
        <f t="shared" si="17"/>
        <v>0</v>
      </c>
      <c r="O272" s="34">
        <f>N272*Settings!$B$17</f>
        <v>0</v>
      </c>
      <c r="P272" s="34">
        <f>IFERROR(VLOOKUP(C272,Employees!$A$4:$E$103,5,FALSE),Settings!$B$18)</f>
        <v>100</v>
      </c>
      <c r="Q272" s="34">
        <f t="shared" si="18"/>
        <v>800</v>
      </c>
      <c r="R272" s="34">
        <f>H272*P272*Settings!$B$13</f>
        <v>0</v>
      </c>
      <c r="S272" s="34">
        <f>J272*P272*(Settings!$B$14-1)</f>
        <v>0</v>
      </c>
      <c r="T272" s="34">
        <f>K272*P272*(Settings!$B$15-1)</f>
        <v>0</v>
      </c>
      <c r="U272" s="34">
        <f t="shared" si="19"/>
        <v>800</v>
      </c>
      <c r="V272" s="26" t="str">
        <f>Auto_Roster!O272</f>
        <v>Pending</v>
      </c>
      <c r="W272" s="26" t="e">
        <f ca="1">_xludf.TEXTJOIN("; ",TRUE,Auto_Roster!N272,IF(G272&gt;Settings!$B$19,"Approval required &gt; standard hours",""),IF(AND(F272&lt;&gt;"Off",G272=0),"Missing claimed hours",""))</f>
        <v>#NAME?</v>
      </c>
      <c r="X272" s="7"/>
    </row>
    <row r="273" spans="1:24" x14ac:dyDescent="0.35">
      <c r="A273" s="31">
        <f>Auto_Roster!A273</f>
        <v>46156</v>
      </c>
      <c r="B273" s="31">
        <f>Auto_Roster!B273</f>
        <v>46153</v>
      </c>
      <c r="C273" s="26" t="str">
        <f>Auto_Roster!C273</f>
        <v/>
      </c>
      <c r="D273" s="26" t="str">
        <f>Auto_Roster!D273</f>
        <v/>
      </c>
      <c r="E273" s="26" t="str">
        <f>Auto_Roster!E273</f>
        <v/>
      </c>
      <c r="F273" s="26" t="str">
        <f>Auto_Roster!G273</f>
        <v/>
      </c>
      <c r="G273" s="33">
        <f>Auto_Roster!J273</f>
        <v>0</v>
      </c>
      <c r="H273" s="33">
        <f>IF(G273&gt;Settings!$B$19,G273-Settings!$B$19,0)</f>
        <v>0</v>
      </c>
      <c r="I273" s="33">
        <f t="shared" si="16"/>
        <v>0</v>
      </c>
      <c r="J273" s="33">
        <f>IF(Auto_Roster!M273="Y",G273,0)</f>
        <v>0</v>
      </c>
      <c r="K273" s="33">
        <f>IF(Auto_Roster!L273="Y",G273,0)</f>
        <v>0</v>
      </c>
      <c r="L273" s="26" t="str">
        <f>Auto_Roster!K273</f>
        <v>N</v>
      </c>
      <c r="M273" s="34">
        <f>IF(L273="Y",Settings!$B$16,0)</f>
        <v>0</v>
      </c>
      <c r="N273" s="33">
        <f t="shared" si="17"/>
        <v>0</v>
      </c>
      <c r="O273" s="34">
        <f>N273*Settings!$B$17</f>
        <v>0</v>
      </c>
      <c r="P273" s="34">
        <f>IFERROR(VLOOKUP(C273,Employees!$A$4:$E$103,5,FALSE),Settings!$B$18)</f>
        <v>100</v>
      </c>
      <c r="Q273" s="34">
        <f t="shared" si="18"/>
        <v>0</v>
      </c>
      <c r="R273" s="34">
        <f>H273*P273*Settings!$B$13</f>
        <v>0</v>
      </c>
      <c r="S273" s="34">
        <f>J273*P273*(Settings!$B$14-1)</f>
        <v>0</v>
      </c>
      <c r="T273" s="34">
        <f>K273*P273*(Settings!$B$15-1)</f>
        <v>0</v>
      </c>
      <c r="U273" s="34">
        <f t="shared" si="19"/>
        <v>0</v>
      </c>
      <c r="V273" s="26" t="str">
        <f>Auto_Roster!O273</f>
        <v>Pending</v>
      </c>
      <c r="W273" s="26" t="e">
        <f ca="1">_xludf.TEXTJOIN("; ",TRUE,Auto_Roster!N273,IF(G273&gt;Settings!$B$19,"Approval required &gt; standard hours",""),IF(AND(F273&lt;&gt;"Off",G273=0),"Missing claimed hours",""))</f>
        <v>#NAME?</v>
      </c>
      <c r="X273" s="7"/>
    </row>
    <row r="274" spans="1:24" x14ac:dyDescent="0.35">
      <c r="A274" s="31">
        <f>Auto_Roster!A274</f>
        <v>46156</v>
      </c>
      <c r="B274" s="31">
        <f>Auto_Roster!B274</f>
        <v>46153</v>
      </c>
      <c r="C274" s="26" t="str">
        <f>Auto_Roster!C274</f>
        <v/>
      </c>
      <c r="D274" s="26" t="str">
        <f>Auto_Roster!D274</f>
        <v/>
      </c>
      <c r="E274" s="26" t="str">
        <f>Auto_Roster!E274</f>
        <v/>
      </c>
      <c r="F274" s="26" t="str">
        <f>Auto_Roster!G274</f>
        <v/>
      </c>
      <c r="G274" s="33">
        <f>Auto_Roster!J274</f>
        <v>0</v>
      </c>
      <c r="H274" s="33">
        <f>IF(G274&gt;Settings!$B$19,G274-Settings!$B$19,0)</f>
        <v>0</v>
      </c>
      <c r="I274" s="33">
        <f t="shared" si="16"/>
        <v>0</v>
      </c>
      <c r="J274" s="33">
        <f>IF(Auto_Roster!M274="Y",G274,0)</f>
        <v>0</v>
      </c>
      <c r="K274" s="33">
        <f>IF(Auto_Roster!L274="Y",G274,0)</f>
        <v>0</v>
      </c>
      <c r="L274" s="26" t="str">
        <f>Auto_Roster!K274</f>
        <v>N</v>
      </c>
      <c r="M274" s="34">
        <f>IF(L274="Y",Settings!$B$16,0)</f>
        <v>0</v>
      </c>
      <c r="N274" s="33">
        <f t="shared" si="17"/>
        <v>0</v>
      </c>
      <c r="O274" s="34">
        <f>N274*Settings!$B$17</f>
        <v>0</v>
      </c>
      <c r="P274" s="34">
        <f>IFERROR(VLOOKUP(C274,Employees!$A$4:$E$103,5,FALSE),Settings!$B$18)</f>
        <v>100</v>
      </c>
      <c r="Q274" s="34">
        <f t="shared" si="18"/>
        <v>0</v>
      </c>
      <c r="R274" s="34">
        <f>H274*P274*Settings!$B$13</f>
        <v>0</v>
      </c>
      <c r="S274" s="34">
        <f>J274*P274*(Settings!$B$14-1)</f>
        <v>0</v>
      </c>
      <c r="T274" s="34">
        <f>K274*P274*(Settings!$B$15-1)</f>
        <v>0</v>
      </c>
      <c r="U274" s="34">
        <f t="shared" si="19"/>
        <v>0</v>
      </c>
      <c r="V274" s="26" t="str">
        <f>Auto_Roster!O274</f>
        <v>Pending</v>
      </c>
      <c r="W274" s="26" t="e">
        <f ca="1">_xludf.TEXTJOIN("; ",TRUE,Auto_Roster!N274,IF(G274&gt;Settings!$B$19,"Approval required &gt; standard hours",""),IF(AND(F274&lt;&gt;"Off",G274=0),"Missing claimed hours",""))</f>
        <v>#NAME?</v>
      </c>
      <c r="X274" s="7"/>
    </row>
    <row r="275" spans="1:24" x14ac:dyDescent="0.35">
      <c r="A275" s="31">
        <f>Auto_Roster!A275</f>
        <v>46156</v>
      </c>
      <c r="B275" s="31">
        <f>Auto_Roster!B275</f>
        <v>46153</v>
      </c>
      <c r="C275" s="26" t="str">
        <f>Auto_Roster!C275</f>
        <v/>
      </c>
      <c r="D275" s="26" t="str">
        <f>Auto_Roster!D275</f>
        <v/>
      </c>
      <c r="E275" s="26" t="str">
        <f>Auto_Roster!E275</f>
        <v/>
      </c>
      <c r="F275" s="26" t="str">
        <f>Auto_Roster!G275</f>
        <v/>
      </c>
      <c r="G275" s="33">
        <f>Auto_Roster!J275</f>
        <v>0</v>
      </c>
      <c r="H275" s="33">
        <f>IF(G275&gt;Settings!$B$19,G275-Settings!$B$19,0)</f>
        <v>0</v>
      </c>
      <c r="I275" s="33">
        <f t="shared" si="16"/>
        <v>0</v>
      </c>
      <c r="J275" s="33">
        <f>IF(Auto_Roster!M275="Y",G275,0)</f>
        <v>0</v>
      </c>
      <c r="K275" s="33">
        <f>IF(Auto_Roster!L275="Y",G275,0)</f>
        <v>0</v>
      </c>
      <c r="L275" s="26" t="str">
        <f>Auto_Roster!K275</f>
        <v>N</v>
      </c>
      <c r="M275" s="34">
        <f>IF(L275="Y",Settings!$B$16,0)</f>
        <v>0</v>
      </c>
      <c r="N275" s="33">
        <f t="shared" si="17"/>
        <v>0</v>
      </c>
      <c r="O275" s="34">
        <f>N275*Settings!$B$17</f>
        <v>0</v>
      </c>
      <c r="P275" s="34">
        <f>IFERROR(VLOOKUP(C275,Employees!$A$4:$E$103,5,FALSE),Settings!$B$18)</f>
        <v>100</v>
      </c>
      <c r="Q275" s="34">
        <f t="shared" si="18"/>
        <v>0</v>
      </c>
      <c r="R275" s="34">
        <f>H275*P275*Settings!$B$13</f>
        <v>0</v>
      </c>
      <c r="S275" s="34">
        <f>J275*P275*(Settings!$B$14-1)</f>
        <v>0</v>
      </c>
      <c r="T275" s="34">
        <f>K275*P275*(Settings!$B$15-1)</f>
        <v>0</v>
      </c>
      <c r="U275" s="34">
        <f t="shared" si="19"/>
        <v>0</v>
      </c>
      <c r="V275" s="26" t="str">
        <f>Auto_Roster!O275</f>
        <v>Pending</v>
      </c>
      <c r="W275" s="26" t="e">
        <f ca="1">_xludf.TEXTJOIN("; ",TRUE,Auto_Roster!N275,IF(G275&gt;Settings!$B$19,"Approval required &gt; standard hours",""),IF(AND(F275&lt;&gt;"Off",G275=0),"Missing claimed hours",""))</f>
        <v>#NAME?</v>
      </c>
      <c r="X275" s="7"/>
    </row>
    <row r="276" spans="1:24" x14ac:dyDescent="0.35">
      <c r="A276" s="31">
        <f>Auto_Roster!A276</f>
        <v>46156</v>
      </c>
      <c r="B276" s="31">
        <f>Auto_Roster!B276</f>
        <v>46153</v>
      </c>
      <c r="C276" s="26" t="str">
        <f>Auto_Roster!C276</f>
        <v/>
      </c>
      <c r="D276" s="26" t="str">
        <f>Auto_Roster!D276</f>
        <v/>
      </c>
      <c r="E276" s="26" t="str">
        <f>Auto_Roster!E276</f>
        <v/>
      </c>
      <c r="F276" s="26" t="str">
        <f>Auto_Roster!G276</f>
        <v/>
      </c>
      <c r="G276" s="33">
        <f>Auto_Roster!J276</f>
        <v>0</v>
      </c>
      <c r="H276" s="33">
        <f>IF(G276&gt;Settings!$B$19,G276-Settings!$B$19,0)</f>
        <v>0</v>
      </c>
      <c r="I276" s="33">
        <f t="shared" si="16"/>
        <v>0</v>
      </c>
      <c r="J276" s="33">
        <f>IF(Auto_Roster!M276="Y",G276,0)</f>
        <v>0</v>
      </c>
      <c r="K276" s="33">
        <f>IF(Auto_Roster!L276="Y",G276,0)</f>
        <v>0</v>
      </c>
      <c r="L276" s="26" t="str">
        <f>Auto_Roster!K276</f>
        <v>N</v>
      </c>
      <c r="M276" s="34">
        <f>IF(L276="Y",Settings!$B$16,0)</f>
        <v>0</v>
      </c>
      <c r="N276" s="33">
        <f t="shared" si="17"/>
        <v>0</v>
      </c>
      <c r="O276" s="34">
        <f>N276*Settings!$B$17</f>
        <v>0</v>
      </c>
      <c r="P276" s="34">
        <f>IFERROR(VLOOKUP(C276,Employees!$A$4:$E$103,5,FALSE),Settings!$B$18)</f>
        <v>100</v>
      </c>
      <c r="Q276" s="34">
        <f t="shared" si="18"/>
        <v>0</v>
      </c>
      <c r="R276" s="34">
        <f>H276*P276*Settings!$B$13</f>
        <v>0</v>
      </c>
      <c r="S276" s="34">
        <f>J276*P276*(Settings!$B$14-1)</f>
        <v>0</v>
      </c>
      <c r="T276" s="34">
        <f>K276*P276*(Settings!$B$15-1)</f>
        <v>0</v>
      </c>
      <c r="U276" s="34">
        <f t="shared" si="19"/>
        <v>0</v>
      </c>
      <c r="V276" s="26" t="str">
        <f>Auto_Roster!O276</f>
        <v>Pending</v>
      </c>
      <c r="W276" s="26" t="e">
        <f ca="1">_xludf.TEXTJOIN("; ",TRUE,Auto_Roster!N276,IF(G276&gt;Settings!$B$19,"Approval required &gt; standard hours",""),IF(AND(F276&lt;&gt;"Off",G276=0),"Missing claimed hours",""))</f>
        <v>#NAME?</v>
      </c>
      <c r="X276" s="7"/>
    </row>
    <row r="277" spans="1:24" x14ac:dyDescent="0.35">
      <c r="A277" s="31">
        <f>Auto_Roster!A277</f>
        <v>46156</v>
      </c>
      <c r="B277" s="31">
        <f>Auto_Roster!B277</f>
        <v>46153</v>
      </c>
      <c r="C277" s="26" t="str">
        <f>Auto_Roster!C277</f>
        <v/>
      </c>
      <c r="D277" s="26" t="str">
        <f>Auto_Roster!D277</f>
        <v/>
      </c>
      <c r="E277" s="26" t="str">
        <f>Auto_Roster!E277</f>
        <v/>
      </c>
      <c r="F277" s="26" t="str">
        <f>Auto_Roster!G277</f>
        <v/>
      </c>
      <c r="G277" s="33">
        <f>Auto_Roster!J277</f>
        <v>0</v>
      </c>
      <c r="H277" s="33">
        <f>IF(G277&gt;Settings!$B$19,G277-Settings!$B$19,0)</f>
        <v>0</v>
      </c>
      <c r="I277" s="33">
        <f t="shared" si="16"/>
        <v>0</v>
      </c>
      <c r="J277" s="33">
        <f>IF(Auto_Roster!M277="Y",G277,0)</f>
        <v>0</v>
      </c>
      <c r="K277" s="33">
        <f>IF(Auto_Roster!L277="Y",G277,0)</f>
        <v>0</v>
      </c>
      <c r="L277" s="26" t="str">
        <f>Auto_Roster!K277</f>
        <v>N</v>
      </c>
      <c r="M277" s="34">
        <f>IF(L277="Y",Settings!$B$16,0)</f>
        <v>0</v>
      </c>
      <c r="N277" s="33">
        <f t="shared" si="17"/>
        <v>0</v>
      </c>
      <c r="O277" s="34">
        <f>N277*Settings!$B$17</f>
        <v>0</v>
      </c>
      <c r="P277" s="34">
        <f>IFERROR(VLOOKUP(C277,Employees!$A$4:$E$103,5,FALSE),Settings!$B$18)</f>
        <v>100</v>
      </c>
      <c r="Q277" s="34">
        <f t="shared" si="18"/>
        <v>0</v>
      </c>
      <c r="R277" s="34">
        <f>H277*P277*Settings!$B$13</f>
        <v>0</v>
      </c>
      <c r="S277" s="34">
        <f>J277*P277*(Settings!$B$14-1)</f>
        <v>0</v>
      </c>
      <c r="T277" s="34">
        <f>K277*P277*(Settings!$B$15-1)</f>
        <v>0</v>
      </c>
      <c r="U277" s="34">
        <f t="shared" si="19"/>
        <v>0</v>
      </c>
      <c r="V277" s="26" t="str">
        <f>Auto_Roster!O277</f>
        <v>Pending</v>
      </c>
      <c r="W277" s="26" t="e">
        <f ca="1">_xludf.TEXTJOIN("; ",TRUE,Auto_Roster!N277,IF(G277&gt;Settings!$B$19,"Approval required &gt; standard hours",""),IF(AND(F277&lt;&gt;"Off",G277=0),"Missing claimed hours",""))</f>
        <v>#NAME?</v>
      </c>
      <c r="X277" s="7"/>
    </row>
    <row r="278" spans="1:24" x14ac:dyDescent="0.35">
      <c r="A278" s="31">
        <f>Auto_Roster!A278</f>
        <v>46156</v>
      </c>
      <c r="B278" s="31">
        <f>Auto_Roster!B278</f>
        <v>46153</v>
      </c>
      <c r="C278" s="26" t="str">
        <f>Auto_Roster!C278</f>
        <v/>
      </c>
      <c r="D278" s="26" t="str">
        <f>Auto_Roster!D278</f>
        <v/>
      </c>
      <c r="E278" s="26" t="str">
        <f>Auto_Roster!E278</f>
        <v/>
      </c>
      <c r="F278" s="26" t="str">
        <f>Auto_Roster!G278</f>
        <v/>
      </c>
      <c r="G278" s="33">
        <f>Auto_Roster!J278</f>
        <v>0</v>
      </c>
      <c r="H278" s="33">
        <f>IF(G278&gt;Settings!$B$19,G278-Settings!$B$19,0)</f>
        <v>0</v>
      </c>
      <c r="I278" s="33">
        <f t="shared" si="16"/>
        <v>0</v>
      </c>
      <c r="J278" s="33">
        <f>IF(Auto_Roster!M278="Y",G278,0)</f>
        <v>0</v>
      </c>
      <c r="K278" s="33">
        <f>IF(Auto_Roster!L278="Y",G278,0)</f>
        <v>0</v>
      </c>
      <c r="L278" s="26" t="str">
        <f>Auto_Roster!K278</f>
        <v>N</v>
      </c>
      <c r="M278" s="34">
        <f>IF(L278="Y",Settings!$B$16,0)</f>
        <v>0</v>
      </c>
      <c r="N278" s="33">
        <f t="shared" si="17"/>
        <v>0</v>
      </c>
      <c r="O278" s="34">
        <f>N278*Settings!$B$17</f>
        <v>0</v>
      </c>
      <c r="P278" s="34">
        <f>IFERROR(VLOOKUP(C278,Employees!$A$4:$E$103,5,FALSE),Settings!$B$18)</f>
        <v>100</v>
      </c>
      <c r="Q278" s="34">
        <f t="shared" si="18"/>
        <v>0</v>
      </c>
      <c r="R278" s="34">
        <f>H278*P278*Settings!$B$13</f>
        <v>0</v>
      </c>
      <c r="S278" s="34">
        <f>J278*P278*(Settings!$B$14-1)</f>
        <v>0</v>
      </c>
      <c r="T278" s="34">
        <f>K278*P278*(Settings!$B$15-1)</f>
        <v>0</v>
      </c>
      <c r="U278" s="34">
        <f t="shared" si="19"/>
        <v>0</v>
      </c>
      <c r="V278" s="26" t="str">
        <f>Auto_Roster!O278</f>
        <v>Pending</v>
      </c>
      <c r="W278" s="26" t="e">
        <f ca="1">_xludf.TEXTJOIN("; ",TRUE,Auto_Roster!N278,IF(G278&gt;Settings!$B$19,"Approval required &gt; standard hours",""),IF(AND(F278&lt;&gt;"Off",G278=0),"Missing claimed hours",""))</f>
        <v>#NAME?</v>
      </c>
      <c r="X278" s="7"/>
    </row>
    <row r="279" spans="1:24" x14ac:dyDescent="0.35">
      <c r="A279" s="31">
        <f>Auto_Roster!A279</f>
        <v>46156</v>
      </c>
      <c r="B279" s="31">
        <f>Auto_Roster!B279</f>
        <v>46153</v>
      </c>
      <c r="C279" s="26" t="str">
        <f>Auto_Roster!C279</f>
        <v/>
      </c>
      <c r="D279" s="26" t="str">
        <f>Auto_Roster!D279</f>
        <v/>
      </c>
      <c r="E279" s="26" t="str">
        <f>Auto_Roster!E279</f>
        <v/>
      </c>
      <c r="F279" s="26" t="str">
        <f>Auto_Roster!G279</f>
        <v/>
      </c>
      <c r="G279" s="33">
        <f>Auto_Roster!J279</f>
        <v>0</v>
      </c>
      <c r="H279" s="33">
        <f>IF(G279&gt;Settings!$B$19,G279-Settings!$B$19,0)</f>
        <v>0</v>
      </c>
      <c r="I279" s="33">
        <f t="shared" si="16"/>
        <v>0</v>
      </c>
      <c r="J279" s="33">
        <f>IF(Auto_Roster!M279="Y",G279,0)</f>
        <v>0</v>
      </c>
      <c r="K279" s="33">
        <f>IF(Auto_Roster!L279="Y",G279,0)</f>
        <v>0</v>
      </c>
      <c r="L279" s="26" t="str">
        <f>Auto_Roster!K279</f>
        <v>N</v>
      </c>
      <c r="M279" s="34">
        <f>IF(L279="Y",Settings!$B$16,0)</f>
        <v>0</v>
      </c>
      <c r="N279" s="33">
        <f t="shared" si="17"/>
        <v>0</v>
      </c>
      <c r="O279" s="34">
        <f>N279*Settings!$B$17</f>
        <v>0</v>
      </c>
      <c r="P279" s="34">
        <f>IFERROR(VLOOKUP(C279,Employees!$A$4:$E$103,5,FALSE),Settings!$B$18)</f>
        <v>100</v>
      </c>
      <c r="Q279" s="34">
        <f t="shared" si="18"/>
        <v>0</v>
      </c>
      <c r="R279" s="34">
        <f>H279*P279*Settings!$B$13</f>
        <v>0</v>
      </c>
      <c r="S279" s="34">
        <f>J279*P279*(Settings!$B$14-1)</f>
        <v>0</v>
      </c>
      <c r="T279" s="34">
        <f>K279*P279*(Settings!$B$15-1)</f>
        <v>0</v>
      </c>
      <c r="U279" s="34">
        <f t="shared" si="19"/>
        <v>0</v>
      </c>
      <c r="V279" s="26" t="str">
        <f>Auto_Roster!O279</f>
        <v>Pending</v>
      </c>
      <c r="W279" s="26" t="e">
        <f ca="1">_xludf.TEXTJOIN("; ",TRUE,Auto_Roster!N279,IF(G279&gt;Settings!$B$19,"Approval required &gt; standard hours",""),IF(AND(F279&lt;&gt;"Off",G279=0),"Missing claimed hours",""))</f>
        <v>#NAME?</v>
      </c>
      <c r="X279" s="7"/>
    </row>
    <row r="280" spans="1:24" x14ac:dyDescent="0.35">
      <c r="A280" s="31">
        <f>Auto_Roster!A280</f>
        <v>46156</v>
      </c>
      <c r="B280" s="31">
        <f>Auto_Roster!B280</f>
        <v>46153</v>
      </c>
      <c r="C280" s="26" t="str">
        <f>Auto_Roster!C280</f>
        <v/>
      </c>
      <c r="D280" s="26" t="str">
        <f>Auto_Roster!D280</f>
        <v/>
      </c>
      <c r="E280" s="26" t="str">
        <f>Auto_Roster!E280</f>
        <v/>
      </c>
      <c r="F280" s="26" t="str">
        <f>Auto_Roster!G280</f>
        <v/>
      </c>
      <c r="G280" s="33">
        <f>Auto_Roster!J280</f>
        <v>0</v>
      </c>
      <c r="H280" s="33">
        <f>IF(G280&gt;Settings!$B$19,G280-Settings!$B$19,0)</f>
        <v>0</v>
      </c>
      <c r="I280" s="33">
        <f t="shared" si="16"/>
        <v>0</v>
      </c>
      <c r="J280" s="33">
        <f>IF(Auto_Roster!M280="Y",G280,0)</f>
        <v>0</v>
      </c>
      <c r="K280" s="33">
        <f>IF(Auto_Roster!L280="Y",G280,0)</f>
        <v>0</v>
      </c>
      <c r="L280" s="26" t="str">
        <f>Auto_Roster!K280</f>
        <v>N</v>
      </c>
      <c r="M280" s="34">
        <f>IF(L280="Y",Settings!$B$16,0)</f>
        <v>0</v>
      </c>
      <c r="N280" s="33">
        <f t="shared" si="17"/>
        <v>0</v>
      </c>
      <c r="O280" s="34">
        <f>N280*Settings!$B$17</f>
        <v>0</v>
      </c>
      <c r="P280" s="34">
        <f>IFERROR(VLOOKUP(C280,Employees!$A$4:$E$103,5,FALSE),Settings!$B$18)</f>
        <v>100</v>
      </c>
      <c r="Q280" s="34">
        <f t="shared" si="18"/>
        <v>0</v>
      </c>
      <c r="R280" s="34">
        <f>H280*P280*Settings!$B$13</f>
        <v>0</v>
      </c>
      <c r="S280" s="34">
        <f>J280*P280*(Settings!$B$14-1)</f>
        <v>0</v>
      </c>
      <c r="T280" s="34">
        <f>K280*P280*(Settings!$B$15-1)</f>
        <v>0</v>
      </c>
      <c r="U280" s="34">
        <f t="shared" si="19"/>
        <v>0</v>
      </c>
      <c r="V280" s="26" t="str">
        <f>Auto_Roster!O280</f>
        <v>Pending</v>
      </c>
      <c r="W280" s="26" t="e">
        <f ca="1">_xludf.TEXTJOIN("; ",TRUE,Auto_Roster!N280,IF(G280&gt;Settings!$B$19,"Approval required &gt; standard hours",""),IF(AND(F280&lt;&gt;"Off",G280=0),"Missing claimed hours",""))</f>
        <v>#NAME?</v>
      </c>
      <c r="X280" s="7"/>
    </row>
    <row r="281" spans="1:24" x14ac:dyDescent="0.35">
      <c r="A281" s="31">
        <f>Auto_Roster!A281</f>
        <v>46156</v>
      </c>
      <c r="B281" s="31">
        <f>Auto_Roster!B281</f>
        <v>46153</v>
      </c>
      <c r="C281" s="26" t="str">
        <f>Auto_Roster!C281</f>
        <v/>
      </c>
      <c r="D281" s="26" t="str">
        <f>Auto_Roster!D281</f>
        <v/>
      </c>
      <c r="E281" s="26" t="str">
        <f>Auto_Roster!E281</f>
        <v/>
      </c>
      <c r="F281" s="26" t="str">
        <f>Auto_Roster!G281</f>
        <v/>
      </c>
      <c r="G281" s="33">
        <f>Auto_Roster!J281</f>
        <v>0</v>
      </c>
      <c r="H281" s="33">
        <f>IF(G281&gt;Settings!$B$19,G281-Settings!$B$19,0)</f>
        <v>0</v>
      </c>
      <c r="I281" s="33">
        <f t="shared" si="16"/>
        <v>0</v>
      </c>
      <c r="J281" s="33">
        <f>IF(Auto_Roster!M281="Y",G281,0)</f>
        <v>0</v>
      </c>
      <c r="K281" s="33">
        <f>IF(Auto_Roster!L281="Y",G281,0)</f>
        <v>0</v>
      </c>
      <c r="L281" s="26" t="str">
        <f>Auto_Roster!K281</f>
        <v>N</v>
      </c>
      <c r="M281" s="34">
        <f>IF(L281="Y",Settings!$B$16,0)</f>
        <v>0</v>
      </c>
      <c r="N281" s="33">
        <f t="shared" si="17"/>
        <v>0</v>
      </c>
      <c r="O281" s="34">
        <f>N281*Settings!$B$17</f>
        <v>0</v>
      </c>
      <c r="P281" s="34">
        <f>IFERROR(VLOOKUP(C281,Employees!$A$4:$E$103,5,FALSE),Settings!$B$18)</f>
        <v>100</v>
      </c>
      <c r="Q281" s="34">
        <f t="shared" si="18"/>
        <v>0</v>
      </c>
      <c r="R281" s="34">
        <f>H281*P281*Settings!$B$13</f>
        <v>0</v>
      </c>
      <c r="S281" s="34">
        <f>J281*P281*(Settings!$B$14-1)</f>
        <v>0</v>
      </c>
      <c r="T281" s="34">
        <f>K281*P281*(Settings!$B$15-1)</f>
        <v>0</v>
      </c>
      <c r="U281" s="34">
        <f t="shared" si="19"/>
        <v>0</v>
      </c>
      <c r="V281" s="26" t="str">
        <f>Auto_Roster!O281</f>
        <v>Pending</v>
      </c>
      <c r="W281" s="26" t="e">
        <f ca="1">_xludf.TEXTJOIN("; ",TRUE,Auto_Roster!N281,IF(G281&gt;Settings!$B$19,"Approval required &gt; standard hours",""),IF(AND(F281&lt;&gt;"Off",G281=0),"Missing claimed hours",""))</f>
        <v>#NAME?</v>
      </c>
      <c r="X281" s="7"/>
    </row>
    <row r="282" spans="1:24" x14ac:dyDescent="0.35">
      <c r="A282" s="31">
        <f>Auto_Roster!A282</f>
        <v>46156</v>
      </c>
      <c r="B282" s="31">
        <f>Auto_Roster!B282</f>
        <v>46153</v>
      </c>
      <c r="C282" s="26" t="str">
        <f>Auto_Roster!C282</f>
        <v/>
      </c>
      <c r="D282" s="26" t="str">
        <f>Auto_Roster!D282</f>
        <v/>
      </c>
      <c r="E282" s="26" t="str">
        <f>Auto_Roster!E282</f>
        <v/>
      </c>
      <c r="F282" s="26" t="str">
        <f>Auto_Roster!G282</f>
        <v/>
      </c>
      <c r="G282" s="33">
        <f>Auto_Roster!J282</f>
        <v>0</v>
      </c>
      <c r="H282" s="33">
        <f>IF(G282&gt;Settings!$B$19,G282-Settings!$B$19,0)</f>
        <v>0</v>
      </c>
      <c r="I282" s="33">
        <f t="shared" si="16"/>
        <v>0</v>
      </c>
      <c r="J282" s="33">
        <f>IF(Auto_Roster!M282="Y",G282,0)</f>
        <v>0</v>
      </c>
      <c r="K282" s="33">
        <f>IF(Auto_Roster!L282="Y",G282,0)</f>
        <v>0</v>
      </c>
      <c r="L282" s="26" t="str">
        <f>Auto_Roster!K282</f>
        <v>N</v>
      </c>
      <c r="M282" s="34">
        <f>IF(L282="Y",Settings!$B$16,0)</f>
        <v>0</v>
      </c>
      <c r="N282" s="33">
        <f t="shared" si="17"/>
        <v>0</v>
      </c>
      <c r="O282" s="34">
        <f>N282*Settings!$B$17</f>
        <v>0</v>
      </c>
      <c r="P282" s="34">
        <f>IFERROR(VLOOKUP(C282,Employees!$A$4:$E$103,5,FALSE),Settings!$B$18)</f>
        <v>100</v>
      </c>
      <c r="Q282" s="34">
        <f t="shared" si="18"/>
        <v>0</v>
      </c>
      <c r="R282" s="34">
        <f>H282*P282*Settings!$B$13</f>
        <v>0</v>
      </c>
      <c r="S282" s="34">
        <f>J282*P282*(Settings!$B$14-1)</f>
        <v>0</v>
      </c>
      <c r="T282" s="34">
        <f>K282*P282*(Settings!$B$15-1)</f>
        <v>0</v>
      </c>
      <c r="U282" s="34">
        <f t="shared" si="19"/>
        <v>0</v>
      </c>
      <c r="V282" s="26" t="str">
        <f>Auto_Roster!O282</f>
        <v>Pending</v>
      </c>
      <c r="W282" s="26" t="e">
        <f ca="1">_xludf.TEXTJOIN("; ",TRUE,Auto_Roster!N282,IF(G282&gt;Settings!$B$19,"Approval required &gt; standard hours",""),IF(AND(F282&lt;&gt;"Off",G282=0),"Missing claimed hours",""))</f>
        <v>#NAME?</v>
      </c>
      <c r="X282" s="7"/>
    </row>
    <row r="283" spans="1:24" x14ac:dyDescent="0.35">
      <c r="A283" s="31">
        <f>Auto_Roster!A283</f>
        <v>46156</v>
      </c>
      <c r="B283" s="31">
        <f>Auto_Roster!B283</f>
        <v>46153</v>
      </c>
      <c r="C283" s="26" t="str">
        <f>Auto_Roster!C283</f>
        <v/>
      </c>
      <c r="D283" s="26" t="str">
        <f>Auto_Roster!D283</f>
        <v/>
      </c>
      <c r="E283" s="26" t="str">
        <f>Auto_Roster!E283</f>
        <v/>
      </c>
      <c r="F283" s="26" t="str">
        <f>Auto_Roster!G283</f>
        <v/>
      </c>
      <c r="G283" s="33">
        <f>Auto_Roster!J283</f>
        <v>0</v>
      </c>
      <c r="H283" s="33">
        <f>IF(G283&gt;Settings!$B$19,G283-Settings!$B$19,0)</f>
        <v>0</v>
      </c>
      <c r="I283" s="33">
        <f t="shared" si="16"/>
        <v>0</v>
      </c>
      <c r="J283" s="33">
        <f>IF(Auto_Roster!M283="Y",G283,0)</f>
        <v>0</v>
      </c>
      <c r="K283" s="33">
        <f>IF(Auto_Roster!L283="Y",G283,0)</f>
        <v>0</v>
      </c>
      <c r="L283" s="26" t="str">
        <f>Auto_Roster!K283</f>
        <v>N</v>
      </c>
      <c r="M283" s="34">
        <f>IF(L283="Y",Settings!$B$16,0)</f>
        <v>0</v>
      </c>
      <c r="N283" s="33">
        <f t="shared" si="17"/>
        <v>0</v>
      </c>
      <c r="O283" s="34">
        <f>N283*Settings!$B$17</f>
        <v>0</v>
      </c>
      <c r="P283" s="34">
        <f>IFERROR(VLOOKUP(C283,Employees!$A$4:$E$103,5,FALSE),Settings!$B$18)</f>
        <v>100</v>
      </c>
      <c r="Q283" s="34">
        <f t="shared" si="18"/>
        <v>0</v>
      </c>
      <c r="R283" s="34">
        <f>H283*P283*Settings!$B$13</f>
        <v>0</v>
      </c>
      <c r="S283" s="34">
        <f>J283*P283*(Settings!$B$14-1)</f>
        <v>0</v>
      </c>
      <c r="T283" s="34">
        <f>K283*P283*(Settings!$B$15-1)</f>
        <v>0</v>
      </c>
      <c r="U283" s="34">
        <f t="shared" si="19"/>
        <v>0</v>
      </c>
      <c r="V283" s="26" t="str">
        <f>Auto_Roster!O283</f>
        <v>Pending</v>
      </c>
      <c r="W283" s="26" t="e">
        <f ca="1">_xludf.TEXTJOIN("; ",TRUE,Auto_Roster!N283,IF(G283&gt;Settings!$B$19,"Approval required &gt; standard hours",""),IF(AND(F283&lt;&gt;"Off",G283=0),"Missing claimed hours",""))</f>
        <v>#NAME?</v>
      </c>
      <c r="X283" s="7"/>
    </row>
    <row r="284" spans="1:24" x14ac:dyDescent="0.35">
      <c r="A284" s="31">
        <f>Auto_Roster!A284</f>
        <v>46157</v>
      </c>
      <c r="B284" s="31">
        <f>Auto_Roster!B284</f>
        <v>46153</v>
      </c>
      <c r="C284" s="26" t="str">
        <f>Auto_Roster!C284</f>
        <v>E001</v>
      </c>
      <c r="D284" s="26" t="str">
        <f>Auto_Roster!D284</f>
        <v>Musiwa Khavalani</v>
      </c>
      <c r="E284" s="26">
        <f>Auto_Roster!E284</f>
        <v>0</v>
      </c>
      <c r="F284" s="26" t="e">
        <f>Auto_Roster!G284</f>
        <v>#N/A</v>
      </c>
      <c r="G284" s="33" t="e">
        <f>Auto_Roster!J284</f>
        <v>#N/A</v>
      </c>
      <c r="H284" s="33" t="e">
        <f>IF(G284&gt;Settings!$B$19,G284-Settings!$B$19,0)</f>
        <v>#N/A</v>
      </c>
      <c r="I284" s="33" t="e">
        <f t="shared" si="16"/>
        <v>#N/A</v>
      </c>
      <c r="J284" s="33">
        <f>IF(Auto_Roster!M284="Y",G284,0)</f>
        <v>0</v>
      </c>
      <c r="K284" s="33">
        <f>IF(Auto_Roster!L284="Y",G284,0)</f>
        <v>0</v>
      </c>
      <c r="L284" s="26" t="str">
        <f>Auto_Roster!K284</f>
        <v>N</v>
      </c>
      <c r="M284" s="34">
        <f>IF(L284="Y",Settings!$B$16,0)</f>
        <v>0</v>
      </c>
      <c r="N284" s="33" t="e">
        <f t="shared" si="17"/>
        <v>#N/A</v>
      </c>
      <c r="O284" s="34" t="e">
        <f>N284*Settings!$B$17</f>
        <v>#N/A</v>
      </c>
      <c r="P284" s="34">
        <f>IFERROR(VLOOKUP(C284,Employees!$A$4:$E$103,5,FALSE),Settings!$B$18)</f>
        <v>100</v>
      </c>
      <c r="Q284" s="34" t="e">
        <f t="shared" si="18"/>
        <v>#N/A</v>
      </c>
      <c r="R284" s="34" t="e">
        <f>H284*P284*Settings!$B$13</f>
        <v>#N/A</v>
      </c>
      <c r="S284" s="34">
        <f>J284*P284*(Settings!$B$14-1)</f>
        <v>0</v>
      </c>
      <c r="T284" s="34">
        <f>K284*P284*(Settings!$B$15-1)</f>
        <v>0</v>
      </c>
      <c r="U284" s="34" t="e">
        <f t="shared" si="19"/>
        <v>#N/A</v>
      </c>
      <c r="V284" s="26" t="str">
        <f>Auto_Roster!O284</f>
        <v>Pending</v>
      </c>
      <c r="W284" s="26" t="e">
        <f ca="1">_xludf.TEXTJOIN("; ",TRUE,Auto_Roster!N284,IF(G284&gt;Settings!$B$19,"Approval required &gt; standard hours",""),IF(AND(F284&lt;&gt;"Off",G284=0),"Missing claimed hours",""))</f>
        <v>#NAME?</v>
      </c>
      <c r="X284" s="7"/>
    </row>
    <row r="285" spans="1:24" x14ac:dyDescent="0.35">
      <c r="A285" s="31">
        <f>Auto_Roster!A285</f>
        <v>46157</v>
      </c>
      <c r="B285" s="31">
        <f>Auto_Roster!B285</f>
        <v>46153</v>
      </c>
      <c r="C285" s="26" t="str">
        <f>Auto_Roster!C285</f>
        <v>E002</v>
      </c>
      <c r="D285" s="26" t="str">
        <f>Auto_Roster!D285</f>
        <v>Mpho  Nembemhia</v>
      </c>
      <c r="E285" s="26" t="str">
        <f>Auto_Roster!E285</f>
        <v>B</v>
      </c>
      <c r="F285" s="26" t="str">
        <f>Auto_Roster!G285</f>
        <v>Evening</v>
      </c>
      <c r="G285" s="33">
        <f>Auto_Roster!J285</f>
        <v>8</v>
      </c>
      <c r="H285" s="33">
        <f>IF(G285&gt;Settings!$B$19,G285-Settings!$B$19,0)</f>
        <v>0</v>
      </c>
      <c r="I285" s="33">
        <f t="shared" si="16"/>
        <v>8</v>
      </c>
      <c r="J285" s="33">
        <f>IF(Auto_Roster!M285="Y",G285,0)</f>
        <v>0</v>
      </c>
      <c r="K285" s="33">
        <f>IF(Auto_Roster!L285="Y",G285,0)</f>
        <v>0</v>
      </c>
      <c r="L285" s="26" t="str">
        <f>Auto_Roster!K285</f>
        <v>N</v>
      </c>
      <c r="M285" s="34">
        <f>IF(L285="Y",Settings!$B$16,0)</f>
        <v>0</v>
      </c>
      <c r="N285" s="33">
        <f t="shared" si="17"/>
        <v>0</v>
      </c>
      <c r="O285" s="34">
        <f>N285*Settings!$B$17</f>
        <v>0</v>
      </c>
      <c r="P285" s="34">
        <f>IFERROR(VLOOKUP(C285,Employees!$A$4:$E$103,5,FALSE),Settings!$B$18)</f>
        <v>100</v>
      </c>
      <c r="Q285" s="34">
        <f t="shared" si="18"/>
        <v>800</v>
      </c>
      <c r="R285" s="34">
        <f>H285*P285*Settings!$B$13</f>
        <v>0</v>
      </c>
      <c r="S285" s="34">
        <f>J285*P285*(Settings!$B$14-1)</f>
        <v>0</v>
      </c>
      <c r="T285" s="34">
        <f>K285*P285*(Settings!$B$15-1)</f>
        <v>0</v>
      </c>
      <c r="U285" s="34">
        <f t="shared" si="19"/>
        <v>800</v>
      </c>
      <c r="V285" s="26" t="str">
        <f>Auto_Roster!O285</f>
        <v>Pending</v>
      </c>
      <c r="W285" s="26" t="e">
        <f ca="1">_xludf.TEXTJOIN("; ",TRUE,Auto_Roster!N285,IF(G285&gt;Settings!$B$19,"Approval required &gt; standard hours",""),IF(AND(F285&lt;&gt;"Off",G285=0),"Missing claimed hours",""))</f>
        <v>#NAME?</v>
      </c>
      <c r="X285" s="7"/>
    </row>
    <row r="286" spans="1:24" x14ac:dyDescent="0.35">
      <c r="A286" s="31">
        <f>Auto_Roster!A286</f>
        <v>46157</v>
      </c>
      <c r="B286" s="31">
        <f>Auto_Roster!B286</f>
        <v>46153</v>
      </c>
      <c r="C286" s="26" t="str">
        <f>Auto_Roster!C286</f>
        <v>E003</v>
      </c>
      <c r="D286" s="26" t="str">
        <f>Auto_Roster!D286</f>
        <v>Dimpho Makhafola</v>
      </c>
      <c r="E286" s="26" t="str">
        <f>Auto_Roster!E286</f>
        <v>C</v>
      </c>
      <c r="F286" s="26" t="str">
        <f>Auto_Roster!G286</f>
        <v>Day</v>
      </c>
      <c r="G286" s="33">
        <f>Auto_Roster!J286</f>
        <v>8</v>
      </c>
      <c r="H286" s="33">
        <f>IF(G286&gt;Settings!$B$19,G286-Settings!$B$19,0)</f>
        <v>0</v>
      </c>
      <c r="I286" s="33">
        <f t="shared" si="16"/>
        <v>8</v>
      </c>
      <c r="J286" s="33">
        <f>IF(Auto_Roster!M286="Y",G286,0)</f>
        <v>0</v>
      </c>
      <c r="K286" s="33">
        <f>IF(Auto_Roster!L286="Y",G286,0)</f>
        <v>0</v>
      </c>
      <c r="L286" s="26" t="str">
        <f>Auto_Roster!K286</f>
        <v>N</v>
      </c>
      <c r="M286" s="34">
        <f>IF(L286="Y",Settings!$B$16,0)</f>
        <v>0</v>
      </c>
      <c r="N286" s="33">
        <f t="shared" si="17"/>
        <v>0</v>
      </c>
      <c r="O286" s="34">
        <f>N286*Settings!$B$17</f>
        <v>0</v>
      </c>
      <c r="P286" s="34">
        <f>IFERROR(VLOOKUP(C286,Employees!$A$4:$E$103,5,FALSE),Settings!$B$18)</f>
        <v>100</v>
      </c>
      <c r="Q286" s="34">
        <f t="shared" si="18"/>
        <v>800</v>
      </c>
      <c r="R286" s="34">
        <f>H286*P286*Settings!$B$13</f>
        <v>0</v>
      </c>
      <c r="S286" s="34">
        <f>J286*P286*(Settings!$B$14-1)</f>
        <v>0</v>
      </c>
      <c r="T286" s="34">
        <f>K286*P286*(Settings!$B$15-1)</f>
        <v>0</v>
      </c>
      <c r="U286" s="34">
        <f t="shared" si="19"/>
        <v>800</v>
      </c>
      <c r="V286" s="26" t="str">
        <f>Auto_Roster!O286</f>
        <v>Pending</v>
      </c>
      <c r="W286" s="26" t="e">
        <f ca="1">_xludf.TEXTJOIN("; ",TRUE,Auto_Roster!N286,IF(G286&gt;Settings!$B$19,"Approval required &gt; standard hours",""),IF(AND(F286&lt;&gt;"Off",G286=0),"Missing claimed hours",""))</f>
        <v>#NAME?</v>
      </c>
      <c r="X286" s="7"/>
    </row>
    <row r="287" spans="1:24" x14ac:dyDescent="0.35">
      <c r="A287" s="31">
        <f>Auto_Roster!A287</f>
        <v>46157</v>
      </c>
      <c r="B287" s="31">
        <f>Auto_Roster!B287</f>
        <v>46153</v>
      </c>
      <c r="C287" s="26" t="str">
        <f>Auto_Roster!C287</f>
        <v>E004</v>
      </c>
      <c r="D287" s="26" t="str">
        <f>Auto_Roster!D287</f>
        <v>Bashii Fall</v>
      </c>
      <c r="E287" s="26" t="str">
        <f>Auto_Roster!E287</f>
        <v>D</v>
      </c>
      <c r="F287" s="26" t="str">
        <f>Auto_Roster!G287</f>
        <v>Off</v>
      </c>
      <c r="G287" s="33">
        <f>Auto_Roster!J287</f>
        <v>0</v>
      </c>
      <c r="H287" s="33">
        <f>IF(G287&gt;Settings!$B$19,G287-Settings!$B$19,0)</f>
        <v>0</v>
      </c>
      <c r="I287" s="33">
        <f t="shared" si="16"/>
        <v>0</v>
      </c>
      <c r="J287" s="33">
        <f>IF(Auto_Roster!M287="Y",G287,0)</f>
        <v>0</v>
      </c>
      <c r="K287" s="33">
        <f>IF(Auto_Roster!L287="Y",G287,0)</f>
        <v>0</v>
      </c>
      <c r="L287" s="26" t="str">
        <f>Auto_Roster!K287</f>
        <v>N</v>
      </c>
      <c r="M287" s="34">
        <f>IF(L287="Y",Settings!$B$16,0)</f>
        <v>0</v>
      </c>
      <c r="N287" s="33">
        <f t="shared" si="17"/>
        <v>0</v>
      </c>
      <c r="O287" s="34">
        <f>N287*Settings!$B$17</f>
        <v>0</v>
      </c>
      <c r="P287" s="34">
        <f>IFERROR(VLOOKUP(C287,Employees!$A$4:$E$103,5,FALSE),Settings!$B$18)</f>
        <v>100</v>
      </c>
      <c r="Q287" s="34">
        <f t="shared" si="18"/>
        <v>0</v>
      </c>
      <c r="R287" s="34">
        <f>H287*P287*Settings!$B$13</f>
        <v>0</v>
      </c>
      <c r="S287" s="34">
        <f>J287*P287*(Settings!$B$14-1)</f>
        <v>0</v>
      </c>
      <c r="T287" s="34">
        <f>K287*P287*(Settings!$B$15-1)</f>
        <v>0</v>
      </c>
      <c r="U287" s="34">
        <f t="shared" si="19"/>
        <v>0</v>
      </c>
      <c r="V287" s="26" t="str">
        <f>Auto_Roster!O287</f>
        <v>Pending</v>
      </c>
      <c r="W287" s="26" t="e">
        <f ca="1">_xludf.TEXTJOIN("; ",TRUE,Auto_Roster!N287,IF(G287&gt;Settings!$B$19,"Approval required &gt; standard hours",""),IF(AND(F287&lt;&gt;"Off",G287=0),"Missing claimed hours",""))</f>
        <v>#NAME?</v>
      </c>
      <c r="X287" s="7"/>
    </row>
    <row r="288" spans="1:24" x14ac:dyDescent="0.35">
      <c r="A288" s="31">
        <f>Auto_Roster!A288</f>
        <v>46157</v>
      </c>
      <c r="B288" s="31">
        <f>Auto_Roster!B288</f>
        <v>46153</v>
      </c>
      <c r="C288" s="26" t="str">
        <f>Auto_Roster!C288</f>
        <v>E005</v>
      </c>
      <c r="D288" s="26" t="str">
        <f>Auto_Roster!D288</f>
        <v>Lesego Aphane</v>
      </c>
      <c r="E288" s="26" t="str">
        <f>Auto_Roster!E288</f>
        <v>A</v>
      </c>
      <c r="F288" s="26" t="str">
        <f>Auto_Roster!G288</f>
        <v>Night</v>
      </c>
      <c r="G288" s="33">
        <f>Auto_Roster!J288</f>
        <v>8</v>
      </c>
      <c r="H288" s="33">
        <f>IF(G288&gt;Settings!$B$19,G288-Settings!$B$19,0)</f>
        <v>0</v>
      </c>
      <c r="I288" s="33">
        <f t="shared" si="16"/>
        <v>8</v>
      </c>
      <c r="J288" s="33">
        <f>IF(Auto_Roster!M288="Y",G288,0)</f>
        <v>0</v>
      </c>
      <c r="K288" s="33">
        <f>IF(Auto_Roster!L288="Y",G288,0)</f>
        <v>0</v>
      </c>
      <c r="L288" s="26" t="str">
        <f>Auto_Roster!K288</f>
        <v>N</v>
      </c>
      <c r="M288" s="34">
        <f>IF(L288="Y",Settings!$B$16,0)</f>
        <v>0</v>
      </c>
      <c r="N288" s="33">
        <f t="shared" si="17"/>
        <v>8</v>
      </c>
      <c r="O288" s="34">
        <f>N288*Settings!$B$17</f>
        <v>0</v>
      </c>
      <c r="P288" s="34">
        <f>IFERROR(VLOOKUP(C288,Employees!$A$4:$E$103,5,FALSE),Settings!$B$18)</f>
        <v>100</v>
      </c>
      <c r="Q288" s="34">
        <f t="shared" si="18"/>
        <v>800</v>
      </c>
      <c r="R288" s="34">
        <f>H288*P288*Settings!$B$13</f>
        <v>0</v>
      </c>
      <c r="S288" s="34">
        <f>J288*P288*(Settings!$B$14-1)</f>
        <v>0</v>
      </c>
      <c r="T288" s="34">
        <f>K288*P288*(Settings!$B$15-1)</f>
        <v>0</v>
      </c>
      <c r="U288" s="34">
        <f t="shared" si="19"/>
        <v>800</v>
      </c>
      <c r="V288" s="26" t="str">
        <f>Auto_Roster!O288</f>
        <v>Pending</v>
      </c>
      <c r="W288" s="26" t="e">
        <f ca="1">_xludf.TEXTJOIN("; ",TRUE,Auto_Roster!N288,IF(G288&gt;Settings!$B$19,"Approval required &gt; standard hours",""),IF(AND(F288&lt;&gt;"Off",G288=0),"Missing claimed hours",""))</f>
        <v>#NAME?</v>
      </c>
      <c r="X288" s="7"/>
    </row>
    <row r="289" spans="1:24" x14ac:dyDescent="0.35">
      <c r="A289" s="31">
        <f>Auto_Roster!A289</f>
        <v>46157</v>
      </c>
      <c r="B289" s="31">
        <f>Auto_Roster!B289</f>
        <v>46153</v>
      </c>
      <c r="C289" s="26" t="str">
        <f>Auto_Roster!C289</f>
        <v>E006</v>
      </c>
      <c r="D289" s="26" t="str">
        <f>Auto_Roster!D289</f>
        <v>Nhalnahla</v>
      </c>
      <c r="E289" s="26" t="str">
        <f>Auto_Roster!E289</f>
        <v>B</v>
      </c>
      <c r="F289" s="26" t="str">
        <f>Auto_Roster!G289</f>
        <v>Evening</v>
      </c>
      <c r="G289" s="33">
        <f>Auto_Roster!J289</f>
        <v>8</v>
      </c>
      <c r="H289" s="33">
        <f>IF(G289&gt;Settings!$B$19,G289-Settings!$B$19,0)</f>
        <v>0</v>
      </c>
      <c r="I289" s="33">
        <f t="shared" si="16"/>
        <v>8</v>
      </c>
      <c r="J289" s="33">
        <f>IF(Auto_Roster!M289="Y",G289,0)</f>
        <v>0</v>
      </c>
      <c r="K289" s="33">
        <f>IF(Auto_Roster!L289="Y",G289,0)</f>
        <v>0</v>
      </c>
      <c r="L289" s="26" t="str">
        <f>Auto_Roster!K289</f>
        <v>N</v>
      </c>
      <c r="M289" s="34">
        <f>IF(L289="Y",Settings!$B$16,0)</f>
        <v>0</v>
      </c>
      <c r="N289" s="33">
        <f t="shared" si="17"/>
        <v>0</v>
      </c>
      <c r="O289" s="34">
        <f>N289*Settings!$B$17</f>
        <v>0</v>
      </c>
      <c r="P289" s="34">
        <f>IFERROR(VLOOKUP(C289,Employees!$A$4:$E$103,5,FALSE),Settings!$B$18)</f>
        <v>100</v>
      </c>
      <c r="Q289" s="34">
        <f t="shared" si="18"/>
        <v>800</v>
      </c>
      <c r="R289" s="34">
        <f>H289*P289*Settings!$B$13</f>
        <v>0</v>
      </c>
      <c r="S289" s="34">
        <f>J289*P289*(Settings!$B$14-1)</f>
        <v>0</v>
      </c>
      <c r="T289" s="34">
        <f>K289*P289*(Settings!$B$15-1)</f>
        <v>0</v>
      </c>
      <c r="U289" s="34">
        <f t="shared" si="19"/>
        <v>800</v>
      </c>
      <c r="V289" s="26" t="str">
        <f>Auto_Roster!O289</f>
        <v>Pending</v>
      </c>
      <c r="W289" s="26" t="e">
        <f ca="1">_xludf.TEXTJOIN("; ",TRUE,Auto_Roster!N289,IF(G289&gt;Settings!$B$19,"Approval required &gt; standard hours",""),IF(AND(F289&lt;&gt;"Off",G289=0),"Missing claimed hours",""))</f>
        <v>#NAME?</v>
      </c>
      <c r="X289" s="7"/>
    </row>
    <row r="290" spans="1:24" x14ac:dyDescent="0.35">
      <c r="A290" s="31">
        <f>Auto_Roster!A290</f>
        <v>46157</v>
      </c>
      <c r="B290" s="31">
        <f>Auto_Roster!B290</f>
        <v>46153</v>
      </c>
      <c r="C290" s="26" t="str">
        <f>Auto_Roster!C290</f>
        <v>E007</v>
      </c>
      <c r="D290" s="26" t="str">
        <f>Auto_Roster!D290</f>
        <v>Joe</v>
      </c>
      <c r="E290" s="26" t="str">
        <f>Auto_Roster!E290</f>
        <v>C</v>
      </c>
      <c r="F290" s="26" t="str">
        <f>Auto_Roster!G290</f>
        <v>Day</v>
      </c>
      <c r="G290" s="33">
        <f>Auto_Roster!J290</f>
        <v>8</v>
      </c>
      <c r="H290" s="33">
        <f>IF(G290&gt;Settings!$B$19,G290-Settings!$B$19,0)</f>
        <v>0</v>
      </c>
      <c r="I290" s="33">
        <f t="shared" si="16"/>
        <v>8</v>
      </c>
      <c r="J290" s="33">
        <f>IF(Auto_Roster!M290="Y",G290,0)</f>
        <v>0</v>
      </c>
      <c r="K290" s="33">
        <f>IF(Auto_Roster!L290="Y",G290,0)</f>
        <v>0</v>
      </c>
      <c r="L290" s="26" t="str">
        <f>Auto_Roster!K290</f>
        <v>N</v>
      </c>
      <c r="M290" s="34">
        <f>IF(L290="Y",Settings!$B$16,0)</f>
        <v>0</v>
      </c>
      <c r="N290" s="33">
        <f t="shared" si="17"/>
        <v>0</v>
      </c>
      <c r="O290" s="34">
        <f>N290*Settings!$B$17</f>
        <v>0</v>
      </c>
      <c r="P290" s="34">
        <f>IFERROR(VLOOKUP(C290,Employees!$A$4:$E$103,5,FALSE),Settings!$B$18)</f>
        <v>100</v>
      </c>
      <c r="Q290" s="34">
        <f t="shared" si="18"/>
        <v>800</v>
      </c>
      <c r="R290" s="34">
        <f>H290*P290*Settings!$B$13</f>
        <v>0</v>
      </c>
      <c r="S290" s="34">
        <f>J290*P290*(Settings!$B$14-1)</f>
        <v>0</v>
      </c>
      <c r="T290" s="34">
        <f>K290*P290*(Settings!$B$15-1)</f>
        <v>0</v>
      </c>
      <c r="U290" s="34">
        <f t="shared" si="19"/>
        <v>800</v>
      </c>
      <c r="V290" s="26" t="str">
        <f>Auto_Roster!O290</f>
        <v>Pending</v>
      </c>
      <c r="W290" s="26" t="e">
        <f ca="1">_xludf.TEXTJOIN("; ",TRUE,Auto_Roster!N290,IF(G290&gt;Settings!$B$19,"Approval required &gt; standard hours",""),IF(AND(F290&lt;&gt;"Off",G290=0),"Missing claimed hours",""))</f>
        <v>#NAME?</v>
      </c>
      <c r="X290" s="7"/>
    </row>
    <row r="291" spans="1:24" x14ac:dyDescent="0.35">
      <c r="A291" s="31">
        <f>Auto_Roster!A291</f>
        <v>46157</v>
      </c>
      <c r="B291" s="31">
        <f>Auto_Roster!B291</f>
        <v>46153</v>
      </c>
      <c r="C291" s="26" t="str">
        <f>Auto_Roster!C291</f>
        <v>E008</v>
      </c>
      <c r="D291" s="26" t="str">
        <f>Auto_Roster!D291</f>
        <v>Tim</v>
      </c>
      <c r="E291" s="26" t="str">
        <f>Auto_Roster!E291</f>
        <v>D</v>
      </c>
      <c r="F291" s="26" t="str">
        <f>Auto_Roster!G291</f>
        <v>Off</v>
      </c>
      <c r="G291" s="33">
        <f>Auto_Roster!J291</f>
        <v>0</v>
      </c>
      <c r="H291" s="33">
        <f>IF(G291&gt;Settings!$B$19,G291-Settings!$B$19,0)</f>
        <v>0</v>
      </c>
      <c r="I291" s="33">
        <f t="shared" si="16"/>
        <v>0</v>
      </c>
      <c r="J291" s="33">
        <f>IF(Auto_Roster!M291="Y",G291,0)</f>
        <v>0</v>
      </c>
      <c r="K291" s="33">
        <f>IF(Auto_Roster!L291="Y",G291,0)</f>
        <v>0</v>
      </c>
      <c r="L291" s="26" t="str">
        <f>Auto_Roster!K291</f>
        <v>N</v>
      </c>
      <c r="M291" s="34">
        <f>IF(L291="Y",Settings!$B$16,0)</f>
        <v>0</v>
      </c>
      <c r="N291" s="33">
        <f t="shared" si="17"/>
        <v>0</v>
      </c>
      <c r="O291" s="34">
        <f>N291*Settings!$B$17</f>
        <v>0</v>
      </c>
      <c r="P291" s="34">
        <f>IFERROR(VLOOKUP(C291,Employees!$A$4:$E$103,5,FALSE),Settings!$B$18)</f>
        <v>100</v>
      </c>
      <c r="Q291" s="34">
        <f t="shared" si="18"/>
        <v>0</v>
      </c>
      <c r="R291" s="34">
        <f>H291*P291*Settings!$B$13</f>
        <v>0</v>
      </c>
      <c r="S291" s="34">
        <f>J291*P291*(Settings!$B$14-1)</f>
        <v>0</v>
      </c>
      <c r="T291" s="34">
        <f>K291*P291*(Settings!$B$15-1)</f>
        <v>0</v>
      </c>
      <c r="U291" s="34">
        <f t="shared" si="19"/>
        <v>0</v>
      </c>
      <c r="V291" s="26" t="str">
        <f>Auto_Roster!O291</f>
        <v>Pending</v>
      </c>
      <c r="W291" s="26" t="e">
        <f ca="1">_xludf.TEXTJOIN("; ",TRUE,Auto_Roster!N291,IF(G291&gt;Settings!$B$19,"Approval required &gt; standard hours",""),IF(AND(F291&lt;&gt;"Off",G291=0),"Missing claimed hours",""))</f>
        <v>#NAME?</v>
      </c>
      <c r="X291" s="7"/>
    </row>
    <row r="292" spans="1:24" x14ac:dyDescent="0.35">
      <c r="A292" s="31">
        <f>Auto_Roster!A292</f>
        <v>46157</v>
      </c>
      <c r="B292" s="31">
        <f>Auto_Roster!B292</f>
        <v>46153</v>
      </c>
      <c r="C292" s="26" t="str">
        <f>Auto_Roster!C292</f>
        <v>E009</v>
      </c>
      <c r="D292" s="26" t="str">
        <f>Auto_Roster!D292</f>
        <v>Frank</v>
      </c>
      <c r="E292" s="26" t="str">
        <f>Auto_Roster!E292</f>
        <v>A</v>
      </c>
      <c r="F292" s="26" t="str">
        <f>Auto_Roster!G292</f>
        <v>Night</v>
      </c>
      <c r="G292" s="33">
        <f>Auto_Roster!J292</f>
        <v>8</v>
      </c>
      <c r="H292" s="33">
        <f>IF(G292&gt;Settings!$B$19,G292-Settings!$B$19,0)</f>
        <v>0</v>
      </c>
      <c r="I292" s="33">
        <f t="shared" si="16"/>
        <v>8</v>
      </c>
      <c r="J292" s="33">
        <f>IF(Auto_Roster!M292="Y",G292,0)</f>
        <v>0</v>
      </c>
      <c r="K292" s="33">
        <f>IF(Auto_Roster!L292="Y",G292,0)</f>
        <v>0</v>
      </c>
      <c r="L292" s="26" t="str">
        <f>Auto_Roster!K292</f>
        <v>N</v>
      </c>
      <c r="M292" s="34">
        <f>IF(L292="Y",Settings!$B$16,0)</f>
        <v>0</v>
      </c>
      <c r="N292" s="33">
        <f t="shared" si="17"/>
        <v>8</v>
      </c>
      <c r="O292" s="34">
        <f>N292*Settings!$B$17</f>
        <v>0</v>
      </c>
      <c r="P292" s="34">
        <f>IFERROR(VLOOKUP(C292,Employees!$A$4:$E$103,5,FALSE),Settings!$B$18)</f>
        <v>100</v>
      </c>
      <c r="Q292" s="34">
        <f t="shared" si="18"/>
        <v>800</v>
      </c>
      <c r="R292" s="34">
        <f>H292*P292*Settings!$B$13</f>
        <v>0</v>
      </c>
      <c r="S292" s="34">
        <f>J292*P292*(Settings!$B$14-1)</f>
        <v>0</v>
      </c>
      <c r="T292" s="34">
        <f>K292*P292*(Settings!$B$15-1)</f>
        <v>0</v>
      </c>
      <c r="U292" s="34">
        <f t="shared" si="19"/>
        <v>800</v>
      </c>
      <c r="V292" s="26" t="str">
        <f>Auto_Roster!O292</f>
        <v>Pending</v>
      </c>
      <c r="W292" s="26" t="e">
        <f ca="1">_xludf.TEXTJOIN("; ",TRUE,Auto_Roster!N292,IF(G292&gt;Settings!$B$19,"Approval required &gt; standard hours",""),IF(AND(F292&lt;&gt;"Off",G292=0),"Missing claimed hours",""))</f>
        <v>#NAME?</v>
      </c>
      <c r="X292" s="7"/>
    </row>
    <row r="293" spans="1:24" x14ac:dyDescent="0.35">
      <c r="A293" s="31">
        <f>Auto_Roster!A293</f>
        <v>46157</v>
      </c>
      <c r="B293" s="31">
        <f>Auto_Roster!B293</f>
        <v>46153</v>
      </c>
      <c r="C293" s="26" t="str">
        <f>Auto_Roster!C293</f>
        <v/>
      </c>
      <c r="D293" s="26" t="str">
        <f>Auto_Roster!D293</f>
        <v/>
      </c>
      <c r="E293" s="26" t="str">
        <f>Auto_Roster!E293</f>
        <v/>
      </c>
      <c r="F293" s="26" t="str">
        <f>Auto_Roster!G293</f>
        <v/>
      </c>
      <c r="G293" s="33">
        <f>Auto_Roster!J293</f>
        <v>0</v>
      </c>
      <c r="H293" s="33">
        <f>IF(G293&gt;Settings!$B$19,G293-Settings!$B$19,0)</f>
        <v>0</v>
      </c>
      <c r="I293" s="33">
        <f t="shared" si="16"/>
        <v>0</v>
      </c>
      <c r="J293" s="33">
        <f>IF(Auto_Roster!M293="Y",G293,0)</f>
        <v>0</v>
      </c>
      <c r="K293" s="33">
        <f>IF(Auto_Roster!L293="Y",G293,0)</f>
        <v>0</v>
      </c>
      <c r="L293" s="26" t="str">
        <f>Auto_Roster!K293</f>
        <v>N</v>
      </c>
      <c r="M293" s="34">
        <f>IF(L293="Y",Settings!$B$16,0)</f>
        <v>0</v>
      </c>
      <c r="N293" s="33">
        <f t="shared" si="17"/>
        <v>0</v>
      </c>
      <c r="O293" s="34">
        <f>N293*Settings!$B$17</f>
        <v>0</v>
      </c>
      <c r="P293" s="34">
        <f>IFERROR(VLOOKUP(C293,Employees!$A$4:$E$103,5,FALSE),Settings!$B$18)</f>
        <v>100</v>
      </c>
      <c r="Q293" s="34">
        <f t="shared" si="18"/>
        <v>0</v>
      </c>
      <c r="R293" s="34">
        <f>H293*P293*Settings!$B$13</f>
        <v>0</v>
      </c>
      <c r="S293" s="34">
        <f>J293*P293*(Settings!$B$14-1)</f>
        <v>0</v>
      </c>
      <c r="T293" s="34">
        <f>K293*P293*(Settings!$B$15-1)</f>
        <v>0</v>
      </c>
      <c r="U293" s="34">
        <f t="shared" si="19"/>
        <v>0</v>
      </c>
      <c r="V293" s="26" t="str">
        <f>Auto_Roster!O293</f>
        <v>Pending</v>
      </c>
      <c r="W293" s="26" t="e">
        <f ca="1">_xludf.TEXTJOIN("; ",TRUE,Auto_Roster!N293,IF(G293&gt;Settings!$B$19,"Approval required &gt; standard hours",""),IF(AND(F293&lt;&gt;"Off",G293=0),"Missing claimed hours",""))</f>
        <v>#NAME?</v>
      </c>
      <c r="X293" s="7"/>
    </row>
    <row r="294" spans="1:24" x14ac:dyDescent="0.35">
      <c r="A294" s="31">
        <f>Auto_Roster!A294</f>
        <v>46157</v>
      </c>
      <c r="B294" s="31">
        <f>Auto_Roster!B294</f>
        <v>46153</v>
      </c>
      <c r="C294" s="26" t="str">
        <f>Auto_Roster!C294</f>
        <v/>
      </c>
      <c r="D294" s="26" t="str">
        <f>Auto_Roster!D294</f>
        <v/>
      </c>
      <c r="E294" s="26" t="str">
        <f>Auto_Roster!E294</f>
        <v/>
      </c>
      <c r="F294" s="26" t="str">
        <f>Auto_Roster!G294</f>
        <v/>
      </c>
      <c r="G294" s="33">
        <f>Auto_Roster!J294</f>
        <v>0</v>
      </c>
      <c r="H294" s="33">
        <f>IF(G294&gt;Settings!$B$19,G294-Settings!$B$19,0)</f>
        <v>0</v>
      </c>
      <c r="I294" s="33">
        <f t="shared" si="16"/>
        <v>0</v>
      </c>
      <c r="J294" s="33">
        <f>IF(Auto_Roster!M294="Y",G294,0)</f>
        <v>0</v>
      </c>
      <c r="K294" s="33">
        <f>IF(Auto_Roster!L294="Y",G294,0)</f>
        <v>0</v>
      </c>
      <c r="L294" s="26" t="str">
        <f>Auto_Roster!K294</f>
        <v>N</v>
      </c>
      <c r="M294" s="34">
        <f>IF(L294="Y",Settings!$B$16,0)</f>
        <v>0</v>
      </c>
      <c r="N294" s="33">
        <f t="shared" si="17"/>
        <v>0</v>
      </c>
      <c r="O294" s="34">
        <f>N294*Settings!$B$17</f>
        <v>0</v>
      </c>
      <c r="P294" s="34">
        <f>IFERROR(VLOOKUP(C294,Employees!$A$4:$E$103,5,FALSE),Settings!$B$18)</f>
        <v>100</v>
      </c>
      <c r="Q294" s="34">
        <f t="shared" si="18"/>
        <v>0</v>
      </c>
      <c r="R294" s="34">
        <f>H294*P294*Settings!$B$13</f>
        <v>0</v>
      </c>
      <c r="S294" s="34">
        <f>J294*P294*(Settings!$B$14-1)</f>
        <v>0</v>
      </c>
      <c r="T294" s="34">
        <f>K294*P294*(Settings!$B$15-1)</f>
        <v>0</v>
      </c>
      <c r="U294" s="34">
        <f t="shared" si="19"/>
        <v>0</v>
      </c>
      <c r="V294" s="26" t="str">
        <f>Auto_Roster!O294</f>
        <v>Pending</v>
      </c>
      <c r="W294" s="26" t="e">
        <f ca="1">_xludf.TEXTJOIN("; ",TRUE,Auto_Roster!N294,IF(G294&gt;Settings!$B$19,"Approval required &gt; standard hours",""),IF(AND(F294&lt;&gt;"Off",G294=0),"Missing claimed hours",""))</f>
        <v>#NAME?</v>
      </c>
      <c r="X294" s="7"/>
    </row>
    <row r="295" spans="1:24" x14ac:dyDescent="0.35">
      <c r="A295" s="31">
        <f>Auto_Roster!A295</f>
        <v>46157</v>
      </c>
      <c r="B295" s="31">
        <f>Auto_Roster!B295</f>
        <v>46153</v>
      </c>
      <c r="C295" s="26" t="str">
        <f>Auto_Roster!C295</f>
        <v/>
      </c>
      <c r="D295" s="26" t="str">
        <f>Auto_Roster!D295</f>
        <v/>
      </c>
      <c r="E295" s="26" t="str">
        <f>Auto_Roster!E295</f>
        <v/>
      </c>
      <c r="F295" s="26" t="str">
        <f>Auto_Roster!G295</f>
        <v/>
      </c>
      <c r="G295" s="33">
        <f>Auto_Roster!J295</f>
        <v>0</v>
      </c>
      <c r="H295" s="33">
        <f>IF(G295&gt;Settings!$B$19,G295-Settings!$B$19,0)</f>
        <v>0</v>
      </c>
      <c r="I295" s="33">
        <f t="shared" si="16"/>
        <v>0</v>
      </c>
      <c r="J295" s="33">
        <f>IF(Auto_Roster!M295="Y",G295,0)</f>
        <v>0</v>
      </c>
      <c r="K295" s="33">
        <f>IF(Auto_Roster!L295="Y",G295,0)</f>
        <v>0</v>
      </c>
      <c r="L295" s="26" t="str">
        <f>Auto_Roster!K295</f>
        <v>N</v>
      </c>
      <c r="M295" s="34">
        <f>IF(L295="Y",Settings!$B$16,0)</f>
        <v>0</v>
      </c>
      <c r="N295" s="33">
        <f t="shared" si="17"/>
        <v>0</v>
      </c>
      <c r="O295" s="34">
        <f>N295*Settings!$B$17</f>
        <v>0</v>
      </c>
      <c r="P295" s="34">
        <f>IFERROR(VLOOKUP(C295,Employees!$A$4:$E$103,5,FALSE),Settings!$B$18)</f>
        <v>100</v>
      </c>
      <c r="Q295" s="34">
        <f t="shared" si="18"/>
        <v>0</v>
      </c>
      <c r="R295" s="34">
        <f>H295*P295*Settings!$B$13</f>
        <v>0</v>
      </c>
      <c r="S295" s="34">
        <f>J295*P295*(Settings!$B$14-1)</f>
        <v>0</v>
      </c>
      <c r="T295" s="34">
        <f>K295*P295*(Settings!$B$15-1)</f>
        <v>0</v>
      </c>
      <c r="U295" s="34">
        <f t="shared" si="19"/>
        <v>0</v>
      </c>
      <c r="V295" s="26" t="str">
        <f>Auto_Roster!O295</f>
        <v>Pending</v>
      </c>
      <c r="W295" s="26" t="e">
        <f ca="1">_xludf.TEXTJOIN("; ",TRUE,Auto_Roster!N295,IF(G295&gt;Settings!$B$19,"Approval required &gt; standard hours",""),IF(AND(F295&lt;&gt;"Off",G295=0),"Missing claimed hours",""))</f>
        <v>#NAME?</v>
      </c>
      <c r="X295" s="7"/>
    </row>
    <row r="296" spans="1:24" x14ac:dyDescent="0.35">
      <c r="A296" s="31">
        <f>Auto_Roster!A296</f>
        <v>46157</v>
      </c>
      <c r="B296" s="31">
        <f>Auto_Roster!B296</f>
        <v>46153</v>
      </c>
      <c r="C296" s="26" t="str">
        <f>Auto_Roster!C296</f>
        <v/>
      </c>
      <c r="D296" s="26" t="str">
        <f>Auto_Roster!D296</f>
        <v/>
      </c>
      <c r="E296" s="26" t="str">
        <f>Auto_Roster!E296</f>
        <v/>
      </c>
      <c r="F296" s="26" t="str">
        <f>Auto_Roster!G296</f>
        <v/>
      </c>
      <c r="G296" s="33">
        <f>Auto_Roster!J296</f>
        <v>0</v>
      </c>
      <c r="H296" s="33">
        <f>IF(G296&gt;Settings!$B$19,G296-Settings!$B$19,0)</f>
        <v>0</v>
      </c>
      <c r="I296" s="33">
        <f t="shared" si="16"/>
        <v>0</v>
      </c>
      <c r="J296" s="33">
        <f>IF(Auto_Roster!M296="Y",G296,0)</f>
        <v>0</v>
      </c>
      <c r="K296" s="33">
        <f>IF(Auto_Roster!L296="Y",G296,0)</f>
        <v>0</v>
      </c>
      <c r="L296" s="26" t="str">
        <f>Auto_Roster!K296</f>
        <v>N</v>
      </c>
      <c r="M296" s="34">
        <f>IF(L296="Y",Settings!$B$16,0)</f>
        <v>0</v>
      </c>
      <c r="N296" s="33">
        <f t="shared" si="17"/>
        <v>0</v>
      </c>
      <c r="O296" s="34">
        <f>N296*Settings!$B$17</f>
        <v>0</v>
      </c>
      <c r="P296" s="34">
        <f>IFERROR(VLOOKUP(C296,Employees!$A$4:$E$103,5,FALSE),Settings!$B$18)</f>
        <v>100</v>
      </c>
      <c r="Q296" s="34">
        <f t="shared" si="18"/>
        <v>0</v>
      </c>
      <c r="R296" s="34">
        <f>H296*P296*Settings!$B$13</f>
        <v>0</v>
      </c>
      <c r="S296" s="34">
        <f>J296*P296*(Settings!$B$14-1)</f>
        <v>0</v>
      </c>
      <c r="T296" s="34">
        <f>K296*P296*(Settings!$B$15-1)</f>
        <v>0</v>
      </c>
      <c r="U296" s="34">
        <f t="shared" si="19"/>
        <v>0</v>
      </c>
      <c r="V296" s="26" t="str">
        <f>Auto_Roster!O296</f>
        <v>Pending</v>
      </c>
      <c r="W296" s="26" t="e">
        <f ca="1">_xludf.TEXTJOIN("; ",TRUE,Auto_Roster!N296,IF(G296&gt;Settings!$B$19,"Approval required &gt; standard hours",""),IF(AND(F296&lt;&gt;"Off",G296=0),"Missing claimed hours",""))</f>
        <v>#NAME?</v>
      </c>
      <c r="X296" s="7"/>
    </row>
    <row r="297" spans="1:24" x14ac:dyDescent="0.35">
      <c r="A297" s="31">
        <f>Auto_Roster!A297</f>
        <v>46157</v>
      </c>
      <c r="B297" s="31">
        <f>Auto_Roster!B297</f>
        <v>46153</v>
      </c>
      <c r="C297" s="26" t="str">
        <f>Auto_Roster!C297</f>
        <v/>
      </c>
      <c r="D297" s="26" t="str">
        <f>Auto_Roster!D297</f>
        <v/>
      </c>
      <c r="E297" s="26" t="str">
        <f>Auto_Roster!E297</f>
        <v/>
      </c>
      <c r="F297" s="26" t="str">
        <f>Auto_Roster!G297</f>
        <v/>
      </c>
      <c r="G297" s="33">
        <f>Auto_Roster!J297</f>
        <v>0</v>
      </c>
      <c r="H297" s="33">
        <f>IF(G297&gt;Settings!$B$19,G297-Settings!$B$19,0)</f>
        <v>0</v>
      </c>
      <c r="I297" s="33">
        <f t="shared" si="16"/>
        <v>0</v>
      </c>
      <c r="J297" s="33">
        <f>IF(Auto_Roster!M297="Y",G297,0)</f>
        <v>0</v>
      </c>
      <c r="K297" s="33">
        <f>IF(Auto_Roster!L297="Y",G297,0)</f>
        <v>0</v>
      </c>
      <c r="L297" s="26" t="str">
        <f>Auto_Roster!K297</f>
        <v>N</v>
      </c>
      <c r="M297" s="34">
        <f>IF(L297="Y",Settings!$B$16,0)</f>
        <v>0</v>
      </c>
      <c r="N297" s="33">
        <f t="shared" si="17"/>
        <v>0</v>
      </c>
      <c r="O297" s="34">
        <f>N297*Settings!$B$17</f>
        <v>0</v>
      </c>
      <c r="P297" s="34">
        <f>IFERROR(VLOOKUP(C297,Employees!$A$4:$E$103,5,FALSE),Settings!$B$18)</f>
        <v>100</v>
      </c>
      <c r="Q297" s="34">
        <f t="shared" si="18"/>
        <v>0</v>
      </c>
      <c r="R297" s="34">
        <f>H297*P297*Settings!$B$13</f>
        <v>0</v>
      </c>
      <c r="S297" s="34">
        <f>J297*P297*(Settings!$B$14-1)</f>
        <v>0</v>
      </c>
      <c r="T297" s="34">
        <f>K297*P297*(Settings!$B$15-1)</f>
        <v>0</v>
      </c>
      <c r="U297" s="34">
        <f t="shared" si="19"/>
        <v>0</v>
      </c>
      <c r="V297" s="26" t="str">
        <f>Auto_Roster!O297</f>
        <v>Pending</v>
      </c>
      <c r="W297" s="26" t="e">
        <f ca="1">_xludf.TEXTJOIN("; ",TRUE,Auto_Roster!N297,IF(G297&gt;Settings!$B$19,"Approval required &gt; standard hours",""),IF(AND(F297&lt;&gt;"Off",G297=0),"Missing claimed hours",""))</f>
        <v>#NAME?</v>
      </c>
      <c r="X297" s="7"/>
    </row>
    <row r="298" spans="1:24" x14ac:dyDescent="0.35">
      <c r="A298" s="31">
        <f>Auto_Roster!A298</f>
        <v>46157</v>
      </c>
      <c r="B298" s="31">
        <f>Auto_Roster!B298</f>
        <v>46153</v>
      </c>
      <c r="C298" s="26" t="str">
        <f>Auto_Roster!C298</f>
        <v/>
      </c>
      <c r="D298" s="26" t="str">
        <f>Auto_Roster!D298</f>
        <v/>
      </c>
      <c r="E298" s="26" t="str">
        <f>Auto_Roster!E298</f>
        <v/>
      </c>
      <c r="F298" s="26" t="str">
        <f>Auto_Roster!G298</f>
        <v/>
      </c>
      <c r="G298" s="33">
        <f>Auto_Roster!J298</f>
        <v>0</v>
      </c>
      <c r="H298" s="33">
        <f>IF(G298&gt;Settings!$B$19,G298-Settings!$B$19,0)</f>
        <v>0</v>
      </c>
      <c r="I298" s="33">
        <f t="shared" si="16"/>
        <v>0</v>
      </c>
      <c r="J298" s="33">
        <f>IF(Auto_Roster!M298="Y",G298,0)</f>
        <v>0</v>
      </c>
      <c r="K298" s="33">
        <f>IF(Auto_Roster!L298="Y",G298,0)</f>
        <v>0</v>
      </c>
      <c r="L298" s="26" t="str">
        <f>Auto_Roster!K298</f>
        <v>N</v>
      </c>
      <c r="M298" s="34">
        <f>IF(L298="Y",Settings!$B$16,0)</f>
        <v>0</v>
      </c>
      <c r="N298" s="33">
        <f t="shared" si="17"/>
        <v>0</v>
      </c>
      <c r="O298" s="34">
        <f>N298*Settings!$B$17</f>
        <v>0</v>
      </c>
      <c r="P298" s="34">
        <f>IFERROR(VLOOKUP(C298,Employees!$A$4:$E$103,5,FALSE),Settings!$B$18)</f>
        <v>100</v>
      </c>
      <c r="Q298" s="34">
        <f t="shared" si="18"/>
        <v>0</v>
      </c>
      <c r="R298" s="34">
        <f>H298*P298*Settings!$B$13</f>
        <v>0</v>
      </c>
      <c r="S298" s="34">
        <f>J298*P298*(Settings!$B$14-1)</f>
        <v>0</v>
      </c>
      <c r="T298" s="34">
        <f>K298*P298*(Settings!$B$15-1)</f>
        <v>0</v>
      </c>
      <c r="U298" s="34">
        <f t="shared" si="19"/>
        <v>0</v>
      </c>
      <c r="V298" s="26" t="str">
        <f>Auto_Roster!O298</f>
        <v>Pending</v>
      </c>
      <c r="W298" s="26" t="e">
        <f ca="1">_xludf.TEXTJOIN("; ",TRUE,Auto_Roster!N298,IF(G298&gt;Settings!$B$19,"Approval required &gt; standard hours",""),IF(AND(F298&lt;&gt;"Off",G298=0),"Missing claimed hours",""))</f>
        <v>#NAME?</v>
      </c>
      <c r="X298" s="7"/>
    </row>
    <row r="299" spans="1:24" x14ac:dyDescent="0.35">
      <c r="A299" s="31">
        <f>Auto_Roster!A299</f>
        <v>46157</v>
      </c>
      <c r="B299" s="31">
        <f>Auto_Roster!B299</f>
        <v>46153</v>
      </c>
      <c r="C299" s="26" t="str">
        <f>Auto_Roster!C299</f>
        <v/>
      </c>
      <c r="D299" s="26" t="str">
        <f>Auto_Roster!D299</f>
        <v/>
      </c>
      <c r="E299" s="26" t="str">
        <f>Auto_Roster!E299</f>
        <v/>
      </c>
      <c r="F299" s="26" t="str">
        <f>Auto_Roster!G299</f>
        <v/>
      </c>
      <c r="G299" s="33">
        <f>Auto_Roster!J299</f>
        <v>0</v>
      </c>
      <c r="H299" s="33">
        <f>IF(G299&gt;Settings!$B$19,G299-Settings!$B$19,0)</f>
        <v>0</v>
      </c>
      <c r="I299" s="33">
        <f t="shared" si="16"/>
        <v>0</v>
      </c>
      <c r="J299" s="33">
        <f>IF(Auto_Roster!M299="Y",G299,0)</f>
        <v>0</v>
      </c>
      <c r="K299" s="33">
        <f>IF(Auto_Roster!L299="Y",G299,0)</f>
        <v>0</v>
      </c>
      <c r="L299" s="26" t="str">
        <f>Auto_Roster!K299</f>
        <v>N</v>
      </c>
      <c r="M299" s="34">
        <f>IF(L299="Y",Settings!$B$16,0)</f>
        <v>0</v>
      </c>
      <c r="N299" s="33">
        <f t="shared" si="17"/>
        <v>0</v>
      </c>
      <c r="O299" s="34">
        <f>N299*Settings!$B$17</f>
        <v>0</v>
      </c>
      <c r="P299" s="34">
        <f>IFERROR(VLOOKUP(C299,Employees!$A$4:$E$103,5,FALSE),Settings!$B$18)</f>
        <v>100</v>
      </c>
      <c r="Q299" s="34">
        <f t="shared" si="18"/>
        <v>0</v>
      </c>
      <c r="R299" s="34">
        <f>H299*P299*Settings!$B$13</f>
        <v>0</v>
      </c>
      <c r="S299" s="34">
        <f>J299*P299*(Settings!$B$14-1)</f>
        <v>0</v>
      </c>
      <c r="T299" s="34">
        <f>K299*P299*(Settings!$B$15-1)</f>
        <v>0</v>
      </c>
      <c r="U299" s="34">
        <f t="shared" si="19"/>
        <v>0</v>
      </c>
      <c r="V299" s="26" t="str">
        <f>Auto_Roster!O299</f>
        <v>Pending</v>
      </c>
      <c r="W299" s="26" t="e">
        <f ca="1">_xludf.TEXTJOIN("; ",TRUE,Auto_Roster!N299,IF(G299&gt;Settings!$B$19,"Approval required &gt; standard hours",""),IF(AND(F299&lt;&gt;"Off",G299=0),"Missing claimed hours",""))</f>
        <v>#NAME?</v>
      </c>
      <c r="X299" s="7"/>
    </row>
    <row r="300" spans="1:24" x14ac:dyDescent="0.35">
      <c r="A300" s="31">
        <f>Auto_Roster!A300</f>
        <v>46157</v>
      </c>
      <c r="B300" s="31">
        <f>Auto_Roster!B300</f>
        <v>46153</v>
      </c>
      <c r="C300" s="26" t="str">
        <f>Auto_Roster!C300</f>
        <v/>
      </c>
      <c r="D300" s="26" t="str">
        <f>Auto_Roster!D300</f>
        <v/>
      </c>
      <c r="E300" s="26" t="str">
        <f>Auto_Roster!E300</f>
        <v/>
      </c>
      <c r="F300" s="26" t="str">
        <f>Auto_Roster!G300</f>
        <v/>
      </c>
      <c r="G300" s="33">
        <f>Auto_Roster!J300</f>
        <v>0</v>
      </c>
      <c r="H300" s="33">
        <f>IF(G300&gt;Settings!$B$19,G300-Settings!$B$19,0)</f>
        <v>0</v>
      </c>
      <c r="I300" s="33">
        <f t="shared" si="16"/>
        <v>0</v>
      </c>
      <c r="J300" s="33">
        <f>IF(Auto_Roster!M300="Y",G300,0)</f>
        <v>0</v>
      </c>
      <c r="K300" s="33">
        <f>IF(Auto_Roster!L300="Y",G300,0)</f>
        <v>0</v>
      </c>
      <c r="L300" s="26" t="str">
        <f>Auto_Roster!K300</f>
        <v>N</v>
      </c>
      <c r="M300" s="34">
        <f>IF(L300="Y",Settings!$B$16,0)</f>
        <v>0</v>
      </c>
      <c r="N300" s="33">
        <f t="shared" si="17"/>
        <v>0</v>
      </c>
      <c r="O300" s="34">
        <f>N300*Settings!$B$17</f>
        <v>0</v>
      </c>
      <c r="P300" s="34">
        <f>IFERROR(VLOOKUP(C300,Employees!$A$4:$E$103,5,FALSE),Settings!$B$18)</f>
        <v>100</v>
      </c>
      <c r="Q300" s="34">
        <f t="shared" si="18"/>
        <v>0</v>
      </c>
      <c r="R300" s="34">
        <f>H300*P300*Settings!$B$13</f>
        <v>0</v>
      </c>
      <c r="S300" s="34">
        <f>J300*P300*(Settings!$B$14-1)</f>
        <v>0</v>
      </c>
      <c r="T300" s="34">
        <f>K300*P300*(Settings!$B$15-1)</f>
        <v>0</v>
      </c>
      <c r="U300" s="34">
        <f t="shared" si="19"/>
        <v>0</v>
      </c>
      <c r="V300" s="26" t="str">
        <f>Auto_Roster!O300</f>
        <v>Pending</v>
      </c>
      <c r="W300" s="26" t="e">
        <f ca="1">_xludf.TEXTJOIN("; ",TRUE,Auto_Roster!N300,IF(G300&gt;Settings!$B$19,"Approval required &gt; standard hours",""),IF(AND(F300&lt;&gt;"Off",G300=0),"Missing claimed hours",""))</f>
        <v>#NAME?</v>
      </c>
      <c r="X300" s="7"/>
    </row>
    <row r="301" spans="1:24" x14ac:dyDescent="0.35">
      <c r="A301" s="31">
        <f>Auto_Roster!A301</f>
        <v>46157</v>
      </c>
      <c r="B301" s="31">
        <f>Auto_Roster!B301</f>
        <v>46153</v>
      </c>
      <c r="C301" s="26" t="str">
        <f>Auto_Roster!C301</f>
        <v/>
      </c>
      <c r="D301" s="26" t="str">
        <f>Auto_Roster!D301</f>
        <v/>
      </c>
      <c r="E301" s="26" t="str">
        <f>Auto_Roster!E301</f>
        <v/>
      </c>
      <c r="F301" s="26" t="str">
        <f>Auto_Roster!G301</f>
        <v/>
      </c>
      <c r="G301" s="33">
        <f>Auto_Roster!J301</f>
        <v>0</v>
      </c>
      <c r="H301" s="33">
        <f>IF(G301&gt;Settings!$B$19,G301-Settings!$B$19,0)</f>
        <v>0</v>
      </c>
      <c r="I301" s="33">
        <f t="shared" si="16"/>
        <v>0</v>
      </c>
      <c r="J301" s="33">
        <f>IF(Auto_Roster!M301="Y",G301,0)</f>
        <v>0</v>
      </c>
      <c r="K301" s="33">
        <f>IF(Auto_Roster!L301="Y",G301,0)</f>
        <v>0</v>
      </c>
      <c r="L301" s="26" t="str">
        <f>Auto_Roster!K301</f>
        <v>N</v>
      </c>
      <c r="M301" s="34">
        <f>IF(L301="Y",Settings!$B$16,0)</f>
        <v>0</v>
      </c>
      <c r="N301" s="33">
        <f t="shared" si="17"/>
        <v>0</v>
      </c>
      <c r="O301" s="34">
        <f>N301*Settings!$B$17</f>
        <v>0</v>
      </c>
      <c r="P301" s="34">
        <f>IFERROR(VLOOKUP(C301,Employees!$A$4:$E$103,5,FALSE),Settings!$B$18)</f>
        <v>100</v>
      </c>
      <c r="Q301" s="34">
        <f t="shared" si="18"/>
        <v>0</v>
      </c>
      <c r="R301" s="34">
        <f>H301*P301*Settings!$B$13</f>
        <v>0</v>
      </c>
      <c r="S301" s="34">
        <f>J301*P301*(Settings!$B$14-1)</f>
        <v>0</v>
      </c>
      <c r="T301" s="34">
        <f>K301*P301*(Settings!$B$15-1)</f>
        <v>0</v>
      </c>
      <c r="U301" s="34">
        <f t="shared" si="19"/>
        <v>0</v>
      </c>
      <c r="V301" s="26" t="str">
        <f>Auto_Roster!O301</f>
        <v>Pending</v>
      </c>
      <c r="W301" s="26" t="e">
        <f ca="1">_xludf.TEXTJOIN("; ",TRUE,Auto_Roster!N301,IF(G301&gt;Settings!$B$19,"Approval required &gt; standard hours",""),IF(AND(F301&lt;&gt;"Off",G301=0),"Missing claimed hours",""))</f>
        <v>#NAME?</v>
      </c>
      <c r="X301" s="7"/>
    </row>
    <row r="302" spans="1:24" x14ac:dyDescent="0.35">
      <c r="A302" s="31">
        <f>Auto_Roster!A302</f>
        <v>46157</v>
      </c>
      <c r="B302" s="31">
        <f>Auto_Roster!B302</f>
        <v>46153</v>
      </c>
      <c r="C302" s="26" t="str">
        <f>Auto_Roster!C302</f>
        <v/>
      </c>
      <c r="D302" s="26" t="str">
        <f>Auto_Roster!D302</f>
        <v/>
      </c>
      <c r="E302" s="26" t="str">
        <f>Auto_Roster!E302</f>
        <v/>
      </c>
      <c r="F302" s="26" t="str">
        <f>Auto_Roster!G302</f>
        <v/>
      </c>
      <c r="G302" s="33">
        <f>Auto_Roster!J302</f>
        <v>0</v>
      </c>
      <c r="H302" s="33">
        <f>IF(G302&gt;Settings!$B$19,G302-Settings!$B$19,0)</f>
        <v>0</v>
      </c>
      <c r="I302" s="33">
        <f t="shared" si="16"/>
        <v>0</v>
      </c>
      <c r="J302" s="33">
        <f>IF(Auto_Roster!M302="Y",G302,0)</f>
        <v>0</v>
      </c>
      <c r="K302" s="33">
        <f>IF(Auto_Roster!L302="Y",G302,0)</f>
        <v>0</v>
      </c>
      <c r="L302" s="26" t="str">
        <f>Auto_Roster!K302</f>
        <v>N</v>
      </c>
      <c r="M302" s="34">
        <f>IF(L302="Y",Settings!$B$16,0)</f>
        <v>0</v>
      </c>
      <c r="N302" s="33">
        <f t="shared" si="17"/>
        <v>0</v>
      </c>
      <c r="O302" s="34">
        <f>N302*Settings!$B$17</f>
        <v>0</v>
      </c>
      <c r="P302" s="34">
        <f>IFERROR(VLOOKUP(C302,Employees!$A$4:$E$103,5,FALSE),Settings!$B$18)</f>
        <v>100</v>
      </c>
      <c r="Q302" s="34">
        <f t="shared" si="18"/>
        <v>0</v>
      </c>
      <c r="R302" s="34">
        <f>H302*P302*Settings!$B$13</f>
        <v>0</v>
      </c>
      <c r="S302" s="34">
        <f>J302*P302*(Settings!$B$14-1)</f>
        <v>0</v>
      </c>
      <c r="T302" s="34">
        <f>K302*P302*(Settings!$B$15-1)</f>
        <v>0</v>
      </c>
      <c r="U302" s="34">
        <f t="shared" si="19"/>
        <v>0</v>
      </c>
      <c r="V302" s="26" t="str">
        <f>Auto_Roster!O302</f>
        <v>Pending</v>
      </c>
      <c r="W302" s="26" t="e">
        <f ca="1">_xludf.TEXTJOIN("; ",TRUE,Auto_Roster!N302,IF(G302&gt;Settings!$B$19,"Approval required &gt; standard hours",""),IF(AND(F302&lt;&gt;"Off",G302=0),"Missing claimed hours",""))</f>
        <v>#NAME?</v>
      </c>
      <c r="X302" s="7"/>
    </row>
    <row r="303" spans="1:24" x14ac:dyDescent="0.35">
      <c r="A303" s="31">
        <f>Auto_Roster!A303</f>
        <v>46157</v>
      </c>
      <c r="B303" s="31">
        <f>Auto_Roster!B303</f>
        <v>46153</v>
      </c>
      <c r="C303" s="26" t="str">
        <f>Auto_Roster!C303</f>
        <v/>
      </c>
      <c r="D303" s="26" t="str">
        <f>Auto_Roster!D303</f>
        <v/>
      </c>
      <c r="E303" s="26" t="str">
        <f>Auto_Roster!E303</f>
        <v/>
      </c>
      <c r="F303" s="26" t="str">
        <f>Auto_Roster!G303</f>
        <v/>
      </c>
      <c r="G303" s="33">
        <f>Auto_Roster!J303</f>
        <v>0</v>
      </c>
      <c r="H303" s="33">
        <f>IF(G303&gt;Settings!$B$19,G303-Settings!$B$19,0)</f>
        <v>0</v>
      </c>
      <c r="I303" s="33">
        <f t="shared" si="16"/>
        <v>0</v>
      </c>
      <c r="J303" s="33">
        <f>IF(Auto_Roster!M303="Y",G303,0)</f>
        <v>0</v>
      </c>
      <c r="K303" s="33">
        <f>IF(Auto_Roster!L303="Y",G303,0)</f>
        <v>0</v>
      </c>
      <c r="L303" s="26" t="str">
        <f>Auto_Roster!K303</f>
        <v>N</v>
      </c>
      <c r="M303" s="34">
        <f>IF(L303="Y",Settings!$B$16,0)</f>
        <v>0</v>
      </c>
      <c r="N303" s="33">
        <f t="shared" si="17"/>
        <v>0</v>
      </c>
      <c r="O303" s="34">
        <f>N303*Settings!$B$17</f>
        <v>0</v>
      </c>
      <c r="P303" s="34">
        <f>IFERROR(VLOOKUP(C303,Employees!$A$4:$E$103,5,FALSE),Settings!$B$18)</f>
        <v>100</v>
      </c>
      <c r="Q303" s="34">
        <f t="shared" si="18"/>
        <v>0</v>
      </c>
      <c r="R303" s="34">
        <f>H303*P303*Settings!$B$13</f>
        <v>0</v>
      </c>
      <c r="S303" s="34">
        <f>J303*P303*(Settings!$B$14-1)</f>
        <v>0</v>
      </c>
      <c r="T303" s="34">
        <f>K303*P303*(Settings!$B$15-1)</f>
        <v>0</v>
      </c>
      <c r="U303" s="34">
        <f t="shared" si="19"/>
        <v>0</v>
      </c>
      <c r="V303" s="26" t="str">
        <f>Auto_Roster!O303</f>
        <v>Pending</v>
      </c>
      <c r="W303" s="26" t="e">
        <f ca="1">_xludf.TEXTJOIN("; ",TRUE,Auto_Roster!N303,IF(G303&gt;Settings!$B$19,"Approval required &gt; standard hours",""),IF(AND(F303&lt;&gt;"Off",G303=0),"Missing claimed hours",""))</f>
        <v>#NAME?</v>
      </c>
      <c r="X303" s="7"/>
    </row>
    <row r="304" spans="1:24" x14ac:dyDescent="0.35">
      <c r="A304" s="31">
        <f>Auto_Roster!A304</f>
        <v>46158</v>
      </c>
      <c r="B304" s="31">
        <f>Auto_Roster!B304</f>
        <v>46153</v>
      </c>
      <c r="C304" s="26" t="str">
        <f>Auto_Roster!C304</f>
        <v>E001</v>
      </c>
      <c r="D304" s="26" t="str">
        <f>Auto_Roster!D304</f>
        <v>Musiwa Khavalani</v>
      </c>
      <c r="E304" s="26">
        <f>Auto_Roster!E304</f>
        <v>0</v>
      </c>
      <c r="F304" s="26" t="e">
        <f>Auto_Roster!G304</f>
        <v>#N/A</v>
      </c>
      <c r="G304" s="33" t="e">
        <f>Auto_Roster!J304</f>
        <v>#N/A</v>
      </c>
      <c r="H304" s="33" t="e">
        <f>IF(G304&gt;Settings!$B$19,G304-Settings!$B$19,0)</f>
        <v>#N/A</v>
      </c>
      <c r="I304" s="33" t="e">
        <f t="shared" si="16"/>
        <v>#N/A</v>
      </c>
      <c r="J304" s="33">
        <f>IF(Auto_Roster!M304="Y",G304,0)</f>
        <v>0</v>
      </c>
      <c r="K304" s="33">
        <f>IF(Auto_Roster!L304="Y",G304,0)</f>
        <v>0</v>
      </c>
      <c r="L304" s="26" t="str">
        <f>Auto_Roster!K304</f>
        <v>N</v>
      </c>
      <c r="M304" s="34">
        <f>IF(L304="Y",Settings!$B$16,0)</f>
        <v>0</v>
      </c>
      <c r="N304" s="33" t="e">
        <f t="shared" si="17"/>
        <v>#N/A</v>
      </c>
      <c r="O304" s="34" t="e">
        <f>N304*Settings!$B$17</f>
        <v>#N/A</v>
      </c>
      <c r="P304" s="34">
        <f>IFERROR(VLOOKUP(C304,Employees!$A$4:$E$103,5,FALSE),Settings!$B$18)</f>
        <v>100</v>
      </c>
      <c r="Q304" s="34" t="e">
        <f t="shared" si="18"/>
        <v>#N/A</v>
      </c>
      <c r="R304" s="34" t="e">
        <f>H304*P304*Settings!$B$13</f>
        <v>#N/A</v>
      </c>
      <c r="S304" s="34">
        <f>J304*P304*(Settings!$B$14-1)</f>
        <v>0</v>
      </c>
      <c r="T304" s="34">
        <f>K304*P304*(Settings!$B$15-1)</f>
        <v>0</v>
      </c>
      <c r="U304" s="34" t="e">
        <f t="shared" si="19"/>
        <v>#N/A</v>
      </c>
      <c r="V304" s="26" t="str">
        <f>Auto_Roster!O304</f>
        <v>Pending</v>
      </c>
      <c r="W304" s="26" t="e">
        <f ca="1">_xludf.TEXTJOIN("; ",TRUE,Auto_Roster!N304,IF(G304&gt;Settings!$B$19,"Approval required &gt; standard hours",""),IF(AND(F304&lt;&gt;"Off",G304=0),"Missing claimed hours",""))</f>
        <v>#NAME?</v>
      </c>
      <c r="X304" s="7"/>
    </row>
    <row r="305" spans="1:24" x14ac:dyDescent="0.35">
      <c r="A305" s="31">
        <f>Auto_Roster!A305</f>
        <v>46158</v>
      </c>
      <c r="B305" s="31">
        <f>Auto_Roster!B305</f>
        <v>46153</v>
      </c>
      <c r="C305" s="26" t="str">
        <f>Auto_Roster!C305</f>
        <v>E002</v>
      </c>
      <c r="D305" s="26" t="str">
        <f>Auto_Roster!D305</f>
        <v>Mpho  Nembemhia</v>
      </c>
      <c r="E305" s="26" t="str">
        <f>Auto_Roster!E305</f>
        <v>B</v>
      </c>
      <c r="F305" s="26" t="str">
        <f>Auto_Roster!G305</f>
        <v>Night</v>
      </c>
      <c r="G305" s="33">
        <f>Auto_Roster!J305</f>
        <v>8</v>
      </c>
      <c r="H305" s="33">
        <f>IF(G305&gt;Settings!$B$19,G305-Settings!$B$19,0)</f>
        <v>0</v>
      </c>
      <c r="I305" s="33">
        <f t="shared" si="16"/>
        <v>8</v>
      </c>
      <c r="J305" s="33">
        <f>IF(Auto_Roster!M305="Y",G305,0)</f>
        <v>0</v>
      </c>
      <c r="K305" s="33">
        <f>IF(Auto_Roster!L305="Y",G305,0)</f>
        <v>0</v>
      </c>
      <c r="L305" s="26" t="str">
        <f>Auto_Roster!K305</f>
        <v>N</v>
      </c>
      <c r="M305" s="34">
        <f>IF(L305="Y",Settings!$B$16,0)</f>
        <v>0</v>
      </c>
      <c r="N305" s="33">
        <f t="shared" si="17"/>
        <v>8</v>
      </c>
      <c r="O305" s="34">
        <f>N305*Settings!$B$17</f>
        <v>0</v>
      </c>
      <c r="P305" s="34">
        <f>IFERROR(VLOOKUP(C305,Employees!$A$4:$E$103,5,FALSE),Settings!$B$18)</f>
        <v>100</v>
      </c>
      <c r="Q305" s="34">
        <f t="shared" si="18"/>
        <v>800</v>
      </c>
      <c r="R305" s="34">
        <f>H305*P305*Settings!$B$13</f>
        <v>0</v>
      </c>
      <c r="S305" s="34">
        <f>J305*P305*(Settings!$B$14-1)</f>
        <v>0</v>
      </c>
      <c r="T305" s="34">
        <f>K305*P305*(Settings!$B$15-1)</f>
        <v>0</v>
      </c>
      <c r="U305" s="34">
        <f t="shared" si="19"/>
        <v>800</v>
      </c>
      <c r="V305" s="26" t="str">
        <f>Auto_Roster!O305</f>
        <v>Pending</v>
      </c>
      <c r="W305" s="26" t="e">
        <f ca="1">_xludf.TEXTJOIN("; ",TRUE,Auto_Roster!N305,IF(G305&gt;Settings!$B$19,"Approval required &gt; standard hours",""),IF(AND(F305&lt;&gt;"Off",G305=0),"Missing claimed hours",""))</f>
        <v>#NAME?</v>
      </c>
      <c r="X305" s="7"/>
    </row>
    <row r="306" spans="1:24" x14ac:dyDescent="0.35">
      <c r="A306" s="31">
        <f>Auto_Roster!A306</f>
        <v>46158</v>
      </c>
      <c r="B306" s="31">
        <f>Auto_Roster!B306</f>
        <v>46153</v>
      </c>
      <c r="C306" s="26" t="str">
        <f>Auto_Roster!C306</f>
        <v>E003</v>
      </c>
      <c r="D306" s="26" t="str">
        <f>Auto_Roster!D306</f>
        <v>Dimpho Makhafola</v>
      </c>
      <c r="E306" s="26" t="str">
        <f>Auto_Roster!E306</f>
        <v>C</v>
      </c>
      <c r="F306" s="26" t="str">
        <f>Auto_Roster!G306</f>
        <v>Evening</v>
      </c>
      <c r="G306" s="33">
        <f>Auto_Roster!J306</f>
        <v>8</v>
      </c>
      <c r="H306" s="33">
        <f>IF(G306&gt;Settings!$B$19,G306-Settings!$B$19,0)</f>
        <v>0</v>
      </c>
      <c r="I306" s="33">
        <f t="shared" si="16"/>
        <v>8</v>
      </c>
      <c r="J306" s="33">
        <f>IF(Auto_Roster!M306="Y",G306,0)</f>
        <v>0</v>
      </c>
      <c r="K306" s="33">
        <f>IF(Auto_Roster!L306="Y",G306,0)</f>
        <v>0</v>
      </c>
      <c r="L306" s="26" t="str">
        <f>Auto_Roster!K306</f>
        <v>N</v>
      </c>
      <c r="M306" s="34">
        <f>IF(L306="Y",Settings!$B$16,0)</f>
        <v>0</v>
      </c>
      <c r="N306" s="33">
        <f t="shared" si="17"/>
        <v>0</v>
      </c>
      <c r="O306" s="34">
        <f>N306*Settings!$B$17</f>
        <v>0</v>
      </c>
      <c r="P306" s="34">
        <f>IFERROR(VLOOKUP(C306,Employees!$A$4:$E$103,5,FALSE),Settings!$B$18)</f>
        <v>100</v>
      </c>
      <c r="Q306" s="34">
        <f t="shared" si="18"/>
        <v>800</v>
      </c>
      <c r="R306" s="34">
        <f>H306*P306*Settings!$B$13</f>
        <v>0</v>
      </c>
      <c r="S306" s="34">
        <f>J306*P306*(Settings!$B$14-1)</f>
        <v>0</v>
      </c>
      <c r="T306" s="34">
        <f>K306*P306*(Settings!$B$15-1)</f>
        <v>0</v>
      </c>
      <c r="U306" s="34">
        <f t="shared" si="19"/>
        <v>800</v>
      </c>
      <c r="V306" s="26" t="str">
        <f>Auto_Roster!O306</f>
        <v>Pending</v>
      </c>
      <c r="W306" s="26" t="e">
        <f ca="1">_xludf.TEXTJOIN("; ",TRUE,Auto_Roster!N306,IF(G306&gt;Settings!$B$19,"Approval required &gt; standard hours",""),IF(AND(F306&lt;&gt;"Off",G306=0),"Missing claimed hours",""))</f>
        <v>#NAME?</v>
      </c>
      <c r="X306" s="7"/>
    </row>
    <row r="307" spans="1:24" x14ac:dyDescent="0.35">
      <c r="A307" s="31">
        <f>Auto_Roster!A307</f>
        <v>46158</v>
      </c>
      <c r="B307" s="31">
        <f>Auto_Roster!B307</f>
        <v>46153</v>
      </c>
      <c r="C307" s="26" t="str">
        <f>Auto_Roster!C307</f>
        <v>E004</v>
      </c>
      <c r="D307" s="26" t="str">
        <f>Auto_Roster!D307</f>
        <v>Bashii Fall</v>
      </c>
      <c r="E307" s="26" t="str">
        <f>Auto_Roster!E307</f>
        <v>D</v>
      </c>
      <c r="F307" s="26" t="str">
        <f>Auto_Roster!G307</f>
        <v>Day</v>
      </c>
      <c r="G307" s="33">
        <f>Auto_Roster!J307</f>
        <v>8</v>
      </c>
      <c r="H307" s="33">
        <f>IF(G307&gt;Settings!$B$19,G307-Settings!$B$19,0)</f>
        <v>0</v>
      </c>
      <c r="I307" s="33">
        <f t="shared" si="16"/>
        <v>8</v>
      </c>
      <c r="J307" s="33">
        <f>IF(Auto_Roster!M307="Y",G307,0)</f>
        <v>0</v>
      </c>
      <c r="K307" s="33">
        <f>IF(Auto_Roster!L307="Y",G307,0)</f>
        <v>0</v>
      </c>
      <c r="L307" s="26" t="str">
        <f>Auto_Roster!K307</f>
        <v>N</v>
      </c>
      <c r="M307" s="34">
        <f>IF(L307="Y",Settings!$B$16,0)</f>
        <v>0</v>
      </c>
      <c r="N307" s="33">
        <f t="shared" si="17"/>
        <v>0</v>
      </c>
      <c r="O307" s="34">
        <f>N307*Settings!$B$17</f>
        <v>0</v>
      </c>
      <c r="P307" s="34">
        <f>IFERROR(VLOOKUP(C307,Employees!$A$4:$E$103,5,FALSE),Settings!$B$18)</f>
        <v>100</v>
      </c>
      <c r="Q307" s="34">
        <f t="shared" si="18"/>
        <v>800</v>
      </c>
      <c r="R307" s="34">
        <f>H307*P307*Settings!$B$13</f>
        <v>0</v>
      </c>
      <c r="S307" s="34">
        <f>J307*P307*(Settings!$B$14-1)</f>
        <v>0</v>
      </c>
      <c r="T307" s="34">
        <f>K307*P307*(Settings!$B$15-1)</f>
        <v>0</v>
      </c>
      <c r="U307" s="34">
        <f t="shared" si="19"/>
        <v>800</v>
      </c>
      <c r="V307" s="26" t="str">
        <f>Auto_Roster!O307</f>
        <v>Pending</v>
      </c>
      <c r="W307" s="26" t="e">
        <f ca="1">_xludf.TEXTJOIN("; ",TRUE,Auto_Roster!N307,IF(G307&gt;Settings!$B$19,"Approval required &gt; standard hours",""),IF(AND(F307&lt;&gt;"Off",G307=0),"Missing claimed hours",""))</f>
        <v>#NAME?</v>
      </c>
      <c r="X307" s="7"/>
    </row>
    <row r="308" spans="1:24" x14ac:dyDescent="0.35">
      <c r="A308" s="31">
        <f>Auto_Roster!A308</f>
        <v>46158</v>
      </c>
      <c r="B308" s="31">
        <f>Auto_Roster!B308</f>
        <v>46153</v>
      </c>
      <c r="C308" s="26" t="str">
        <f>Auto_Roster!C308</f>
        <v>E005</v>
      </c>
      <c r="D308" s="26" t="str">
        <f>Auto_Roster!D308</f>
        <v>Lesego Aphane</v>
      </c>
      <c r="E308" s="26" t="str">
        <f>Auto_Roster!E308</f>
        <v>A</v>
      </c>
      <c r="F308" s="26" t="str">
        <f>Auto_Roster!G308</f>
        <v>Off</v>
      </c>
      <c r="G308" s="33">
        <f>Auto_Roster!J308</f>
        <v>0</v>
      </c>
      <c r="H308" s="33">
        <f>IF(G308&gt;Settings!$B$19,G308-Settings!$B$19,0)</f>
        <v>0</v>
      </c>
      <c r="I308" s="33">
        <f t="shared" si="16"/>
        <v>0</v>
      </c>
      <c r="J308" s="33">
        <f>IF(Auto_Roster!M308="Y",G308,0)</f>
        <v>0</v>
      </c>
      <c r="K308" s="33">
        <f>IF(Auto_Roster!L308="Y",G308,0)</f>
        <v>0</v>
      </c>
      <c r="L308" s="26" t="str">
        <f>Auto_Roster!K308</f>
        <v>N</v>
      </c>
      <c r="M308" s="34">
        <f>IF(L308="Y",Settings!$B$16,0)</f>
        <v>0</v>
      </c>
      <c r="N308" s="33">
        <f t="shared" si="17"/>
        <v>0</v>
      </c>
      <c r="O308" s="34">
        <f>N308*Settings!$B$17</f>
        <v>0</v>
      </c>
      <c r="P308" s="34">
        <f>IFERROR(VLOOKUP(C308,Employees!$A$4:$E$103,5,FALSE),Settings!$B$18)</f>
        <v>100</v>
      </c>
      <c r="Q308" s="34">
        <f t="shared" si="18"/>
        <v>0</v>
      </c>
      <c r="R308" s="34">
        <f>H308*P308*Settings!$B$13</f>
        <v>0</v>
      </c>
      <c r="S308" s="34">
        <f>J308*P308*(Settings!$B$14-1)</f>
        <v>0</v>
      </c>
      <c r="T308" s="34">
        <f>K308*P308*(Settings!$B$15-1)</f>
        <v>0</v>
      </c>
      <c r="U308" s="34">
        <f t="shared" si="19"/>
        <v>0</v>
      </c>
      <c r="V308" s="26" t="str">
        <f>Auto_Roster!O308</f>
        <v>Pending</v>
      </c>
      <c r="W308" s="26" t="e">
        <f ca="1">_xludf.TEXTJOIN("; ",TRUE,Auto_Roster!N308,IF(G308&gt;Settings!$B$19,"Approval required &gt; standard hours",""),IF(AND(F308&lt;&gt;"Off",G308=0),"Missing claimed hours",""))</f>
        <v>#NAME?</v>
      </c>
      <c r="X308" s="7"/>
    </row>
    <row r="309" spans="1:24" x14ac:dyDescent="0.35">
      <c r="A309" s="31">
        <f>Auto_Roster!A309</f>
        <v>46158</v>
      </c>
      <c r="B309" s="31">
        <f>Auto_Roster!B309</f>
        <v>46153</v>
      </c>
      <c r="C309" s="26" t="str">
        <f>Auto_Roster!C309</f>
        <v>E006</v>
      </c>
      <c r="D309" s="26" t="str">
        <f>Auto_Roster!D309</f>
        <v>Nhalnahla</v>
      </c>
      <c r="E309" s="26" t="str">
        <f>Auto_Roster!E309</f>
        <v>B</v>
      </c>
      <c r="F309" s="26" t="str">
        <f>Auto_Roster!G309</f>
        <v>Night</v>
      </c>
      <c r="G309" s="33">
        <f>Auto_Roster!J309</f>
        <v>8</v>
      </c>
      <c r="H309" s="33">
        <f>IF(G309&gt;Settings!$B$19,G309-Settings!$B$19,0)</f>
        <v>0</v>
      </c>
      <c r="I309" s="33">
        <f t="shared" si="16"/>
        <v>8</v>
      </c>
      <c r="J309" s="33">
        <f>IF(Auto_Roster!M309="Y",G309,0)</f>
        <v>0</v>
      </c>
      <c r="K309" s="33">
        <f>IF(Auto_Roster!L309="Y",G309,0)</f>
        <v>0</v>
      </c>
      <c r="L309" s="26" t="str">
        <f>Auto_Roster!K309</f>
        <v>N</v>
      </c>
      <c r="M309" s="34">
        <f>IF(L309="Y",Settings!$B$16,0)</f>
        <v>0</v>
      </c>
      <c r="N309" s="33">
        <f t="shared" si="17"/>
        <v>8</v>
      </c>
      <c r="O309" s="34">
        <f>N309*Settings!$B$17</f>
        <v>0</v>
      </c>
      <c r="P309" s="34">
        <f>IFERROR(VLOOKUP(C309,Employees!$A$4:$E$103,5,FALSE),Settings!$B$18)</f>
        <v>100</v>
      </c>
      <c r="Q309" s="34">
        <f t="shared" si="18"/>
        <v>800</v>
      </c>
      <c r="R309" s="34">
        <f>H309*P309*Settings!$B$13</f>
        <v>0</v>
      </c>
      <c r="S309" s="34">
        <f>J309*P309*(Settings!$B$14-1)</f>
        <v>0</v>
      </c>
      <c r="T309" s="34">
        <f>K309*P309*(Settings!$B$15-1)</f>
        <v>0</v>
      </c>
      <c r="U309" s="34">
        <f t="shared" si="19"/>
        <v>800</v>
      </c>
      <c r="V309" s="26" t="str">
        <f>Auto_Roster!O309</f>
        <v>Pending</v>
      </c>
      <c r="W309" s="26" t="e">
        <f ca="1">_xludf.TEXTJOIN("; ",TRUE,Auto_Roster!N309,IF(G309&gt;Settings!$B$19,"Approval required &gt; standard hours",""),IF(AND(F309&lt;&gt;"Off",G309=0),"Missing claimed hours",""))</f>
        <v>#NAME?</v>
      </c>
      <c r="X309" s="7"/>
    </row>
    <row r="310" spans="1:24" x14ac:dyDescent="0.35">
      <c r="A310" s="31">
        <f>Auto_Roster!A310</f>
        <v>46158</v>
      </c>
      <c r="B310" s="31">
        <f>Auto_Roster!B310</f>
        <v>46153</v>
      </c>
      <c r="C310" s="26" t="str">
        <f>Auto_Roster!C310</f>
        <v>E007</v>
      </c>
      <c r="D310" s="26" t="str">
        <f>Auto_Roster!D310</f>
        <v>Joe</v>
      </c>
      <c r="E310" s="26" t="str">
        <f>Auto_Roster!E310</f>
        <v>C</v>
      </c>
      <c r="F310" s="26" t="str">
        <f>Auto_Roster!G310</f>
        <v>Evening</v>
      </c>
      <c r="G310" s="33">
        <f>Auto_Roster!J310</f>
        <v>8</v>
      </c>
      <c r="H310" s="33">
        <f>IF(G310&gt;Settings!$B$19,G310-Settings!$B$19,0)</f>
        <v>0</v>
      </c>
      <c r="I310" s="33">
        <f t="shared" si="16"/>
        <v>8</v>
      </c>
      <c r="J310" s="33">
        <f>IF(Auto_Roster!M310="Y",G310,0)</f>
        <v>0</v>
      </c>
      <c r="K310" s="33">
        <f>IF(Auto_Roster!L310="Y",G310,0)</f>
        <v>0</v>
      </c>
      <c r="L310" s="26" t="str">
        <f>Auto_Roster!K310</f>
        <v>N</v>
      </c>
      <c r="M310" s="34">
        <f>IF(L310="Y",Settings!$B$16,0)</f>
        <v>0</v>
      </c>
      <c r="N310" s="33">
        <f t="shared" si="17"/>
        <v>0</v>
      </c>
      <c r="O310" s="34">
        <f>N310*Settings!$B$17</f>
        <v>0</v>
      </c>
      <c r="P310" s="34">
        <f>IFERROR(VLOOKUP(C310,Employees!$A$4:$E$103,5,FALSE),Settings!$B$18)</f>
        <v>100</v>
      </c>
      <c r="Q310" s="34">
        <f t="shared" si="18"/>
        <v>800</v>
      </c>
      <c r="R310" s="34">
        <f>H310*P310*Settings!$B$13</f>
        <v>0</v>
      </c>
      <c r="S310" s="34">
        <f>J310*P310*(Settings!$B$14-1)</f>
        <v>0</v>
      </c>
      <c r="T310" s="34">
        <f>K310*P310*(Settings!$B$15-1)</f>
        <v>0</v>
      </c>
      <c r="U310" s="34">
        <f t="shared" si="19"/>
        <v>800</v>
      </c>
      <c r="V310" s="26" t="str">
        <f>Auto_Roster!O310</f>
        <v>Pending</v>
      </c>
      <c r="W310" s="26" t="e">
        <f ca="1">_xludf.TEXTJOIN("; ",TRUE,Auto_Roster!N310,IF(G310&gt;Settings!$B$19,"Approval required &gt; standard hours",""),IF(AND(F310&lt;&gt;"Off",G310=0),"Missing claimed hours",""))</f>
        <v>#NAME?</v>
      </c>
      <c r="X310" s="7"/>
    </row>
    <row r="311" spans="1:24" x14ac:dyDescent="0.35">
      <c r="A311" s="31">
        <f>Auto_Roster!A311</f>
        <v>46158</v>
      </c>
      <c r="B311" s="31">
        <f>Auto_Roster!B311</f>
        <v>46153</v>
      </c>
      <c r="C311" s="26" t="str">
        <f>Auto_Roster!C311</f>
        <v>E008</v>
      </c>
      <c r="D311" s="26" t="str">
        <f>Auto_Roster!D311</f>
        <v>Tim</v>
      </c>
      <c r="E311" s="26" t="str">
        <f>Auto_Roster!E311</f>
        <v>D</v>
      </c>
      <c r="F311" s="26" t="str">
        <f>Auto_Roster!G311</f>
        <v>Day</v>
      </c>
      <c r="G311" s="33">
        <f>Auto_Roster!J311</f>
        <v>8</v>
      </c>
      <c r="H311" s="33">
        <f>IF(G311&gt;Settings!$B$19,G311-Settings!$B$19,0)</f>
        <v>0</v>
      </c>
      <c r="I311" s="33">
        <f t="shared" si="16"/>
        <v>8</v>
      </c>
      <c r="J311" s="33">
        <f>IF(Auto_Roster!M311="Y",G311,0)</f>
        <v>0</v>
      </c>
      <c r="K311" s="33">
        <f>IF(Auto_Roster!L311="Y",G311,0)</f>
        <v>0</v>
      </c>
      <c r="L311" s="26" t="str">
        <f>Auto_Roster!K311</f>
        <v>N</v>
      </c>
      <c r="M311" s="34">
        <f>IF(L311="Y",Settings!$B$16,0)</f>
        <v>0</v>
      </c>
      <c r="N311" s="33">
        <f t="shared" si="17"/>
        <v>0</v>
      </c>
      <c r="O311" s="34">
        <f>N311*Settings!$B$17</f>
        <v>0</v>
      </c>
      <c r="P311" s="34">
        <f>IFERROR(VLOOKUP(C311,Employees!$A$4:$E$103,5,FALSE),Settings!$B$18)</f>
        <v>100</v>
      </c>
      <c r="Q311" s="34">
        <f t="shared" si="18"/>
        <v>800</v>
      </c>
      <c r="R311" s="34">
        <f>H311*P311*Settings!$B$13</f>
        <v>0</v>
      </c>
      <c r="S311" s="34">
        <f>J311*P311*(Settings!$B$14-1)</f>
        <v>0</v>
      </c>
      <c r="T311" s="34">
        <f>K311*P311*(Settings!$B$15-1)</f>
        <v>0</v>
      </c>
      <c r="U311" s="34">
        <f t="shared" si="19"/>
        <v>800</v>
      </c>
      <c r="V311" s="26" t="str">
        <f>Auto_Roster!O311</f>
        <v>Pending</v>
      </c>
      <c r="W311" s="26" t="e">
        <f ca="1">_xludf.TEXTJOIN("; ",TRUE,Auto_Roster!N311,IF(G311&gt;Settings!$B$19,"Approval required &gt; standard hours",""),IF(AND(F311&lt;&gt;"Off",G311=0),"Missing claimed hours",""))</f>
        <v>#NAME?</v>
      </c>
      <c r="X311" s="7"/>
    </row>
    <row r="312" spans="1:24" x14ac:dyDescent="0.35">
      <c r="A312" s="31">
        <f>Auto_Roster!A312</f>
        <v>46158</v>
      </c>
      <c r="B312" s="31">
        <f>Auto_Roster!B312</f>
        <v>46153</v>
      </c>
      <c r="C312" s="26" t="str">
        <f>Auto_Roster!C312</f>
        <v>E009</v>
      </c>
      <c r="D312" s="26" t="str">
        <f>Auto_Roster!D312</f>
        <v>Frank</v>
      </c>
      <c r="E312" s="26" t="str">
        <f>Auto_Roster!E312</f>
        <v>A</v>
      </c>
      <c r="F312" s="26" t="str">
        <f>Auto_Roster!G312</f>
        <v>Off</v>
      </c>
      <c r="G312" s="33">
        <f>Auto_Roster!J312</f>
        <v>0</v>
      </c>
      <c r="H312" s="33">
        <f>IF(G312&gt;Settings!$B$19,G312-Settings!$B$19,0)</f>
        <v>0</v>
      </c>
      <c r="I312" s="33">
        <f t="shared" si="16"/>
        <v>0</v>
      </c>
      <c r="J312" s="33">
        <f>IF(Auto_Roster!M312="Y",G312,0)</f>
        <v>0</v>
      </c>
      <c r="K312" s="33">
        <f>IF(Auto_Roster!L312="Y",G312,0)</f>
        <v>0</v>
      </c>
      <c r="L312" s="26" t="str">
        <f>Auto_Roster!K312</f>
        <v>N</v>
      </c>
      <c r="M312" s="34">
        <f>IF(L312="Y",Settings!$B$16,0)</f>
        <v>0</v>
      </c>
      <c r="N312" s="33">
        <f t="shared" si="17"/>
        <v>0</v>
      </c>
      <c r="O312" s="34">
        <f>N312*Settings!$B$17</f>
        <v>0</v>
      </c>
      <c r="P312" s="34">
        <f>IFERROR(VLOOKUP(C312,Employees!$A$4:$E$103,5,FALSE),Settings!$B$18)</f>
        <v>100</v>
      </c>
      <c r="Q312" s="34">
        <f t="shared" si="18"/>
        <v>0</v>
      </c>
      <c r="R312" s="34">
        <f>H312*P312*Settings!$B$13</f>
        <v>0</v>
      </c>
      <c r="S312" s="34">
        <f>J312*P312*(Settings!$B$14-1)</f>
        <v>0</v>
      </c>
      <c r="T312" s="34">
        <f>K312*P312*(Settings!$B$15-1)</f>
        <v>0</v>
      </c>
      <c r="U312" s="34">
        <f t="shared" si="19"/>
        <v>0</v>
      </c>
      <c r="V312" s="26" t="str">
        <f>Auto_Roster!O312</f>
        <v>Pending</v>
      </c>
      <c r="W312" s="26" t="e">
        <f ca="1">_xludf.TEXTJOIN("; ",TRUE,Auto_Roster!N312,IF(G312&gt;Settings!$B$19,"Approval required &gt; standard hours",""),IF(AND(F312&lt;&gt;"Off",G312=0),"Missing claimed hours",""))</f>
        <v>#NAME?</v>
      </c>
      <c r="X312" s="7"/>
    </row>
    <row r="313" spans="1:24" x14ac:dyDescent="0.35">
      <c r="A313" s="31">
        <f>Auto_Roster!A313</f>
        <v>46158</v>
      </c>
      <c r="B313" s="31">
        <f>Auto_Roster!B313</f>
        <v>46153</v>
      </c>
      <c r="C313" s="26" t="str">
        <f>Auto_Roster!C313</f>
        <v/>
      </c>
      <c r="D313" s="26" t="str">
        <f>Auto_Roster!D313</f>
        <v/>
      </c>
      <c r="E313" s="26" t="str">
        <f>Auto_Roster!E313</f>
        <v/>
      </c>
      <c r="F313" s="26" t="str">
        <f>Auto_Roster!G313</f>
        <v/>
      </c>
      <c r="G313" s="33">
        <f>Auto_Roster!J313</f>
        <v>0</v>
      </c>
      <c r="H313" s="33">
        <f>IF(G313&gt;Settings!$B$19,G313-Settings!$B$19,0)</f>
        <v>0</v>
      </c>
      <c r="I313" s="33">
        <f t="shared" si="16"/>
        <v>0</v>
      </c>
      <c r="J313" s="33">
        <f>IF(Auto_Roster!M313="Y",G313,0)</f>
        <v>0</v>
      </c>
      <c r="K313" s="33">
        <f>IF(Auto_Roster!L313="Y",G313,0)</f>
        <v>0</v>
      </c>
      <c r="L313" s="26" t="str">
        <f>Auto_Roster!K313</f>
        <v>N</v>
      </c>
      <c r="M313" s="34">
        <f>IF(L313="Y",Settings!$B$16,0)</f>
        <v>0</v>
      </c>
      <c r="N313" s="33">
        <f t="shared" si="17"/>
        <v>0</v>
      </c>
      <c r="O313" s="34">
        <f>N313*Settings!$B$17</f>
        <v>0</v>
      </c>
      <c r="P313" s="34">
        <f>IFERROR(VLOOKUP(C313,Employees!$A$4:$E$103,5,FALSE),Settings!$B$18)</f>
        <v>100</v>
      </c>
      <c r="Q313" s="34">
        <f t="shared" si="18"/>
        <v>0</v>
      </c>
      <c r="R313" s="34">
        <f>H313*P313*Settings!$B$13</f>
        <v>0</v>
      </c>
      <c r="S313" s="34">
        <f>J313*P313*(Settings!$B$14-1)</f>
        <v>0</v>
      </c>
      <c r="T313" s="34">
        <f>K313*P313*(Settings!$B$15-1)</f>
        <v>0</v>
      </c>
      <c r="U313" s="34">
        <f t="shared" si="19"/>
        <v>0</v>
      </c>
      <c r="V313" s="26" t="str">
        <f>Auto_Roster!O313</f>
        <v>Pending</v>
      </c>
      <c r="W313" s="26" t="e">
        <f ca="1">_xludf.TEXTJOIN("; ",TRUE,Auto_Roster!N313,IF(G313&gt;Settings!$B$19,"Approval required &gt; standard hours",""),IF(AND(F313&lt;&gt;"Off",G313=0),"Missing claimed hours",""))</f>
        <v>#NAME?</v>
      </c>
      <c r="X313" s="7"/>
    </row>
    <row r="314" spans="1:24" x14ac:dyDescent="0.35">
      <c r="A314" s="31">
        <f>Auto_Roster!A314</f>
        <v>46158</v>
      </c>
      <c r="B314" s="31">
        <f>Auto_Roster!B314</f>
        <v>46153</v>
      </c>
      <c r="C314" s="26" t="str">
        <f>Auto_Roster!C314</f>
        <v/>
      </c>
      <c r="D314" s="26" t="str">
        <f>Auto_Roster!D314</f>
        <v/>
      </c>
      <c r="E314" s="26" t="str">
        <f>Auto_Roster!E314</f>
        <v/>
      </c>
      <c r="F314" s="26" t="str">
        <f>Auto_Roster!G314</f>
        <v/>
      </c>
      <c r="G314" s="33">
        <f>Auto_Roster!J314</f>
        <v>0</v>
      </c>
      <c r="H314" s="33">
        <f>IF(G314&gt;Settings!$B$19,G314-Settings!$B$19,0)</f>
        <v>0</v>
      </c>
      <c r="I314" s="33">
        <f t="shared" si="16"/>
        <v>0</v>
      </c>
      <c r="J314" s="33">
        <f>IF(Auto_Roster!M314="Y",G314,0)</f>
        <v>0</v>
      </c>
      <c r="K314" s="33">
        <f>IF(Auto_Roster!L314="Y",G314,0)</f>
        <v>0</v>
      </c>
      <c r="L314" s="26" t="str">
        <f>Auto_Roster!K314</f>
        <v>N</v>
      </c>
      <c r="M314" s="34">
        <f>IF(L314="Y",Settings!$B$16,0)</f>
        <v>0</v>
      </c>
      <c r="N314" s="33">
        <f t="shared" si="17"/>
        <v>0</v>
      </c>
      <c r="O314" s="34">
        <f>N314*Settings!$B$17</f>
        <v>0</v>
      </c>
      <c r="P314" s="34">
        <f>IFERROR(VLOOKUP(C314,Employees!$A$4:$E$103,5,FALSE),Settings!$B$18)</f>
        <v>100</v>
      </c>
      <c r="Q314" s="34">
        <f t="shared" si="18"/>
        <v>0</v>
      </c>
      <c r="R314" s="34">
        <f>H314*P314*Settings!$B$13</f>
        <v>0</v>
      </c>
      <c r="S314" s="34">
        <f>J314*P314*(Settings!$B$14-1)</f>
        <v>0</v>
      </c>
      <c r="T314" s="34">
        <f>K314*P314*(Settings!$B$15-1)</f>
        <v>0</v>
      </c>
      <c r="U314" s="34">
        <f t="shared" si="19"/>
        <v>0</v>
      </c>
      <c r="V314" s="26" t="str">
        <f>Auto_Roster!O314</f>
        <v>Pending</v>
      </c>
      <c r="W314" s="26" t="e">
        <f ca="1">_xludf.TEXTJOIN("; ",TRUE,Auto_Roster!N314,IF(G314&gt;Settings!$B$19,"Approval required &gt; standard hours",""),IF(AND(F314&lt;&gt;"Off",G314=0),"Missing claimed hours",""))</f>
        <v>#NAME?</v>
      </c>
      <c r="X314" s="7"/>
    </row>
    <row r="315" spans="1:24" x14ac:dyDescent="0.35">
      <c r="A315" s="31">
        <f>Auto_Roster!A315</f>
        <v>46158</v>
      </c>
      <c r="B315" s="31">
        <f>Auto_Roster!B315</f>
        <v>46153</v>
      </c>
      <c r="C315" s="26" t="str">
        <f>Auto_Roster!C315</f>
        <v/>
      </c>
      <c r="D315" s="26" t="str">
        <f>Auto_Roster!D315</f>
        <v/>
      </c>
      <c r="E315" s="26" t="str">
        <f>Auto_Roster!E315</f>
        <v/>
      </c>
      <c r="F315" s="26" t="str">
        <f>Auto_Roster!G315</f>
        <v/>
      </c>
      <c r="G315" s="33">
        <f>Auto_Roster!J315</f>
        <v>0</v>
      </c>
      <c r="H315" s="33">
        <f>IF(G315&gt;Settings!$B$19,G315-Settings!$B$19,0)</f>
        <v>0</v>
      </c>
      <c r="I315" s="33">
        <f t="shared" si="16"/>
        <v>0</v>
      </c>
      <c r="J315" s="33">
        <f>IF(Auto_Roster!M315="Y",G315,0)</f>
        <v>0</v>
      </c>
      <c r="K315" s="33">
        <f>IF(Auto_Roster!L315="Y",G315,0)</f>
        <v>0</v>
      </c>
      <c r="L315" s="26" t="str">
        <f>Auto_Roster!K315</f>
        <v>N</v>
      </c>
      <c r="M315" s="34">
        <f>IF(L315="Y",Settings!$B$16,0)</f>
        <v>0</v>
      </c>
      <c r="N315" s="33">
        <f t="shared" si="17"/>
        <v>0</v>
      </c>
      <c r="O315" s="34">
        <f>N315*Settings!$B$17</f>
        <v>0</v>
      </c>
      <c r="P315" s="34">
        <f>IFERROR(VLOOKUP(C315,Employees!$A$4:$E$103,5,FALSE),Settings!$B$18)</f>
        <v>100</v>
      </c>
      <c r="Q315" s="34">
        <f t="shared" si="18"/>
        <v>0</v>
      </c>
      <c r="R315" s="34">
        <f>H315*P315*Settings!$B$13</f>
        <v>0</v>
      </c>
      <c r="S315" s="34">
        <f>J315*P315*(Settings!$B$14-1)</f>
        <v>0</v>
      </c>
      <c r="T315" s="34">
        <f>K315*P315*(Settings!$B$15-1)</f>
        <v>0</v>
      </c>
      <c r="U315" s="34">
        <f t="shared" si="19"/>
        <v>0</v>
      </c>
      <c r="V315" s="26" t="str">
        <f>Auto_Roster!O315</f>
        <v>Pending</v>
      </c>
      <c r="W315" s="26" t="e">
        <f ca="1">_xludf.TEXTJOIN("; ",TRUE,Auto_Roster!N315,IF(G315&gt;Settings!$B$19,"Approval required &gt; standard hours",""),IF(AND(F315&lt;&gt;"Off",G315=0),"Missing claimed hours",""))</f>
        <v>#NAME?</v>
      </c>
      <c r="X315" s="7"/>
    </row>
    <row r="316" spans="1:24" x14ac:dyDescent="0.35">
      <c r="A316" s="31">
        <f>Auto_Roster!A316</f>
        <v>46158</v>
      </c>
      <c r="B316" s="31">
        <f>Auto_Roster!B316</f>
        <v>46153</v>
      </c>
      <c r="C316" s="26" t="str">
        <f>Auto_Roster!C316</f>
        <v/>
      </c>
      <c r="D316" s="26" t="str">
        <f>Auto_Roster!D316</f>
        <v/>
      </c>
      <c r="E316" s="26" t="str">
        <f>Auto_Roster!E316</f>
        <v/>
      </c>
      <c r="F316" s="26" t="str">
        <f>Auto_Roster!G316</f>
        <v/>
      </c>
      <c r="G316" s="33">
        <f>Auto_Roster!J316</f>
        <v>0</v>
      </c>
      <c r="H316" s="33">
        <f>IF(G316&gt;Settings!$B$19,G316-Settings!$B$19,0)</f>
        <v>0</v>
      </c>
      <c r="I316" s="33">
        <f t="shared" si="16"/>
        <v>0</v>
      </c>
      <c r="J316" s="33">
        <f>IF(Auto_Roster!M316="Y",G316,0)</f>
        <v>0</v>
      </c>
      <c r="K316" s="33">
        <f>IF(Auto_Roster!L316="Y",G316,0)</f>
        <v>0</v>
      </c>
      <c r="L316" s="26" t="str">
        <f>Auto_Roster!K316</f>
        <v>N</v>
      </c>
      <c r="M316" s="34">
        <f>IF(L316="Y",Settings!$B$16,0)</f>
        <v>0</v>
      </c>
      <c r="N316" s="33">
        <f t="shared" si="17"/>
        <v>0</v>
      </c>
      <c r="O316" s="34">
        <f>N316*Settings!$B$17</f>
        <v>0</v>
      </c>
      <c r="P316" s="34">
        <f>IFERROR(VLOOKUP(C316,Employees!$A$4:$E$103,5,FALSE),Settings!$B$18)</f>
        <v>100</v>
      </c>
      <c r="Q316" s="34">
        <f t="shared" si="18"/>
        <v>0</v>
      </c>
      <c r="R316" s="34">
        <f>H316*P316*Settings!$B$13</f>
        <v>0</v>
      </c>
      <c r="S316" s="34">
        <f>J316*P316*(Settings!$B$14-1)</f>
        <v>0</v>
      </c>
      <c r="T316" s="34">
        <f>K316*P316*(Settings!$B$15-1)</f>
        <v>0</v>
      </c>
      <c r="U316" s="34">
        <f t="shared" si="19"/>
        <v>0</v>
      </c>
      <c r="V316" s="26" t="str">
        <f>Auto_Roster!O316</f>
        <v>Pending</v>
      </c>
      <c r="W316" s="26" t="e">
        <f ca="1">_xludf.TEXTJOIN("; ",TRUE,Auto_Roster!N316,IF(G316&gt;Settings!$B$19,"Approval required &gt; standard hours",""),IF(AND(F316&lt;&gt;"Off",G316=0),"Missing claimed hours",""))</f>
        <v>#NAME?</v>
      </c>
      <c r="X316" s="7"/>
    </row>
    <row r="317" spans="1:24" x14ac:dyDescent="0.35">
      <c r="A317" s="31">
        <f>Auto_Roster!A317</f>
        <v>46158</v>
      </c>
      <c r="B317" s="31">
        <f>Auto_Roster!B317</f>
        <v>46153</v>
      </c>
      <c r="C317" s="26" t="str">
        <f>Auto_Roster!C317</f>
        <v/>
      </c>
      <c r="D317" s="26" t="str">
        <f>Auto_Roster!D317</f>
        <v/>
      </c>
      <c r="E317" s="26" t="str">
        <f>Auto_Roster!E317</f>
        <v/>
      </c>
      <c r="F317" s="26" t="str">
        <f>Auto_Roster!G317</f>
        <v/>
      </c>
      <c r="G317" s="33">
        <f>Auto_Roster!J317</f>
        <v>0</v>
      </c>
      <c r="H317" s="33">
        <f>IF(G317&gt;Settings!$B$19,G317-Settings!$B$19,0)</f>
        <v>0</v>
      </c>
      <c r="I317" s="33">
        <f t="shared" si="16"/>
        <v>0</v>
      </c>
      <c r="J317" s="33">
        <f>IF(Auto_Roster!M317="Y",G317,0)</f>
        <v>0</v>
      </c>
      <c r="K317" s="33">
        <f>IF(Auto_Roster!L317="Y",G317,0)</f>
        <v>0</v>
      </c>
      <c r="L317" s="26" t="str">
        <f>Auto_Roster!K317</f>
        <v>N</v>
      </c>
      <c r="M317" s="34">
        <f>IF(L317="Y",Settings!$B$16,0)</f>
        <v>0</v>
      </c>
      <c r="N317" s="33">
        <f t="shared" si="17"/>
        <v>0</v>
      </c>
      <c r="O317" s="34">
        <f>N317*Settings!$B$17</f>
        <v>0</v>
      </c>
      <c r="P317" s="34">
        <f>IFERROR(VLOOKUP(C317,Employees!$A$4:$E$103,5,FALSE),Settings!$B$18)</f>
        <v>100</v>
      </c>
      <c r="Q317" s="34">
        <f t="shared" si="18"/>
        <v>0</v>
      </c>
      <c r="R317" s="34">
        <f>H317*P317*Settings!$B$13</f>
        <v>0</v>
      </c>
      <c r="S317" s="34">
        <f>J317*P317*(Settings!$B$14-1)</f>
        <v>0</v>
      </c>
      <c r="T317" s="34">
        <f>K317*P317*(Settings!$B$15-1)</f>
        <v>0</v>
      </c>
      <c r="U317" s="34">
        <f t="shared" si="19"/>
        <v>0</v>
      </c>
      <c r="V317" s="26" t="str">
        <f>Auto_Roster!O317</f>
        <v>Pending</v>
      </c>
      <c r="W317" s="26" t="e">
        <f ca="1">_xludf.TEXTJOIN("; ",TRUE,Auto_Roster!N317,IF(G317&gt;Settings!$B$19,"Approval required &gt; standard hours",""),IF(AND(F317&lt;&gt;"Off",G317=0),"Missing claimed hours",""))</f>
        <v>#NAME?</v>
      </c>
      <c r="X317" s="7"/>
    </row>
    <row r="318" spans="1:24" x14ac:dyDescent="0.35">
      <c r="A318" s="31">
        <f>Auto_Roster!A318</f>
        <v>46158</v>
      </c>
      <c r="B318" s="31">
        <f>Auto_Roster!B318</f>
        <v>46153</v>
      </c>
      <c r="C318" s="26" t="str">
        <f>Auto_Roster!C318</f>
        <v/>
      </c>
      <c r="D318" s="26" t="str">
        <f>Auto_Roster!D318</f>
        <v/>
      </c>
      <c r="E318" s="26" t="str">
        <f>Auto_Roster!E318</f>
        <v/>
      </c>
      <c r="F318" s="26" t="str">
        <f>Auto_Roster!G318</f>
        <v/>
      </c>
      <c r="G318" s="33">
        <f>Auto_Roster!J318</f>
        <v>0</v>
      </c>
      <c r="H318" s="33">
        <f>IF(G318&gt;Settings!$B$19,G318-Settings!$B$19,0)</f>
        <v>0</v>
      </c>
      <c r="I318" s="33">
        <f t="shared" si="16"/>
        <v>0</v>
      </c>
      <c r="J318" s="33">
        <f>IF(Auto_Roster!M318="Y",G318,0)</f>
        <v>0</v>
      </c>
      <c r="K318" s="33">
        <f>IF(Auto_Roster!L318="Y",G318,0)</f>
        <v>0</v>
      </c>
      <c r="L318" s="26" t="str">
        <f>Auto_Roster!K318</f>
        <v>N</v>
      </c>
      <c r="M318" s="34">
        <f>IF(L318="Y",Settings!$B$16,0)</f>
        <v>0</v>
      </c>
      <c r="N318" s="33">
        <f t="shared" si="17"/>
        <v>0</v>
      </c>
      <c r="O318" s="34">
        <f>N318*Settings!$B$17</f>
        <v>0</v>
      </c>
      <c r="P318" s="34">
        <f>IFERROR(VLOOKUP(C318,Employees!$A$4:$E$103,5,FALSE),Settings!$B$18)</f>
        <v>100</v>
      </c>
      <c r="Q318" s="34">
        <f t="shared" si="18"/>
        <v>0</v>
      </c>
      <c r="R318" s="34">
        <f>H318*P318*Settings!$B$13</f>
        <v>0</v>
      </c>
      <c r="S318" s="34">
        <f>J318*P318*(Settings!$B$14-1)</f>
        <v>0</v>
      </c>
      <c r="T318" s="34">
        <f>K318*P318*(Settings!$B$15-1)</f>
        <v>0</v>
      </c>
      <c r="U318" s="34">
        <f t="shared" si="19"/>
        <v>0</v>
      </c>
      <c r="V318" s="26" t="str">
        <f>Auto_Roster!O318</f>
        <v>Pending</v>
      </c>
      <c r="W318" s="26" t="e">
        <f ca="1">_xludf.TEXTJOIN("; ",TRUE,Auto_Roster!N318,IF(G318&gt;Settings!$B$19,"Approval required &gt; standard hours",""),IF(AND(F318&lt;&gt;"Off",G318=0),"Missing claimed hours",""))</f>
        <v>#NAME?</v>
      </c>
      <c r="X318" s="7"/>
    </row>
    <row r="319" spans="1:24" x14ac:dyDescent="0.35">
      <c r="A319" s="31">
        <f>Auto_Roster!A319</f>
        <v>46158</v>
      </c>
      <c r="B319" s="31">
        <f>Auto_Roster!B319</f>
        <v>46153</v>
      </c>
      <c r="C319" s="26" t="str">
        <f>Auto_Roster!C319</f>
        <v/>
      </c>
      <c r="D319" s="26" t="str">
        <f>Auto_Roster!D319</f>
        <v/>
      </c>
      <c r="E319" s="26" t="str">
        <f>Auto_Roster!E319</f>
        <v/>
      </c>
      <c r="F319" s="26" t="str">
        <f>Auto_Roster!G319</f>
        <v/>
      </c>
      <c r="G319" s="33">
        <f>Auto_Roster!J319</f>
        <v>0</v>
      </c>
      <c r="H319" s="33">
        <f>IF(G319&gt;Settings!$B$19,G319-Settings!$B$19,0)</f>
        <v>0</v>
      </c>
      <c r="I319" s="33">
        <f t="shared" si="16"/>
        <v>0</v>
      </c>
      <c r="J319" s="33">
        <f>IF(Auto_Roster!M319="Y",G319,0)</f>
        <v>0</v>
      </c>
      <c r="K319" s="33">
        <f>IF(Auto_Roster!L319="Y",G319,0)</f>
        <v>0</v>
      </c>
      <c r="L319" s="26" t="str">
        <f>Auto_Roster!K319</f>
        <v>N</v>
      </c>
      <c r="M319" s="34">
        <f>IF(L319="Y",Settings!$B$16,0)</f>
        <v>0</v>
      </c>
      <c r="N319" s="33">
        <f t="shared" si="17"/>
        <v>0</v>
      </c>
      <c r="O319" s="34">
        <f>N319*Settings!$B$17</f>
        <v>0</v>
      </c>
      <c r="P319" s="34">
        <f>IFERROR(VLOOKUP(C319,Employees!$A$4:$E$103,5,FALSE),Settings!$B$18)</f>
        <v>100</v>
      </c>
      <c r="Q319" s="34">
        <f t="shared" si="18"/>
        <v>0</v>
      </c>
      <c r="R319" s="34">
        <f>H319*P319*Settings!$B$13</f>
        <v>0</v>
      </c>
      <c r="S319" s="34">
        <f>J319*P319*(Settings!$B$14-1)</f>
        <v>0</v>
      </c>
      <c r="T319" s="34">
        <f>K319*P319*(Settings!$B$15-1)</f>
        <v>0</v>
      </c>
      <c r="U319" s="34">
        <f t="shared" si="19"/>
        <v>0</v>
      </c>
      <c r="V319" s="26" t="str">
        <f>Auto_Roster!O319</f>
        <v>Pending</v>
      </c>
      <c r="W319" s="26" t="e">
        <f ca="1">_xludf.TEXTJOIN("; ",TRUE,Auto_Roster!N319,IF(G319&gt;Settings!$B$19,"Approval required &gt; standard hours",""),IF(AND(F319&lt;&gt;"Off",G319=0),"Missing claimed hours",""))</f>
        <v>#NAME?</v>
      </c>
      <c r="X319" s="7"/>
    </row>
    <row r="320" spans="1:24" x14ac:dyDescent="0.35">
      <c r="A320" s="31">
        <f>Auto_Roster!A320</f>
        <v>46158</v>
      </c>
      <c r="B320" s="31">
        <f>Auto_Roster!B320</f>
        <v>46153</v>
      </c>
      <c r="C320" s="26" t="str">
        <f>Auto_Roster!C320</f>
        <v/>
      </c>
      <c r="D320" s="26" t="str">
        <f>Auto_Roster!D320</f>
        <v/>
      </c>
      <c r="E320" s="26" t="str">
        <f>Auto_Roster!E320</f>
        <v/>
      </c>
      <c r="F320" s="26" t="str">
        <f>Auto_Roster!G320</f>
        <v/>
      </c>
      <c r="G320" s="33">
        <f>Auto_Roster!J320</f>
        <v>0</v>
      </c>
      <c r="H320" s="33">
        <f>IF(G320&gt;Settings!$B$19,G320-Settings!$B$19,0)</f>
        <v>0</v>
      </c>
      <c r="I320" s="33">
        <f t="shared" si="16"/>
        <v>0</v>
      </c>
      <c r="J320" s="33">
        <f>IF(Auto_Roster!M320="Y",G320,0)</f>
        <v>0</v>
      </c>
      <c r="K320" s="33">
        <f>IF(Auto_Roster!L320="Y",G320,0)</f>
        <v>0</v>
      </c>
      <c r="L320" s="26" t="str">
        <f>Auto_Roster!K320</f>
        <v>N</v>
      </c>
      <c r="M320" s="34">
        <f>IF(L320="Y",Settings!$B$16,0)</f>
        <v>0</v>
      </c>
      <c r="N320" s="33">
        <f t="shared" si="17"/>
        <v>0</v>
      </c>
      <c r="O320" s="34">
        <f>N320*Settings!$B$17</f>
        <v>0</v>
      </c>
      <c r="P320" s="34">
        <f>IFERROR(VLOOKUP(C320,Employees!$A$4:$E$103,5,FALSE),Settings!$B$18)</f>
        <v>100</v>
      </c>
      <c r="Q320" s="34">
        <f t="shared" si="18"/>
        <v>0</v>
      </c>
      <c r="R320" s="34">
        <f>H320*P320*Settings!$B$13</f>
        <v>0</v>
      </c>
      <c r="S320" s="34">
        <f>J320*P320*(Settings!$B$14-1)</f>
        <v>0</v>
      </c>
      <c r="T320" s="34">
        <f>K320*P320*(Settings!$B$15-1)</f>
        <v>0</v>
      </c>
      <c r="U320" s="34">
        <f t="shared" si="19"/>
        <v>0</v>
      </c>
      <c r="V320" s="26" t="str">
        <f>Auto_Roster!O320</f>
        <v>Pending</v>
      </c>
      <c r="W320" s="26" t="e">
        <f ca="1">_xludf.TEXTJOIN("; ",TRUE,Auto_Roster!N320,IF(G320&gt;Settings!$B$19,"Approval required &gt; standard hours",""),IF(AND(F320&lt;&gt;"Off",G320=0),"Missing claimed hours",""))</f>
        <v>#NAME?</v>
      </c>
      <c r="X320" s="7"/>
    </row>
    <row r="321" spans="1:24" x14ac:dyDescent="0.35">
      <c r="A321" s="31">
        <f>Auto_Roster!A321</f>
        <v>46158</v>
      </c>
      <c r="B321" s="31">
        <f>Auto_Roster!B321</f>
        <v>46153</v>
      </c>
      <c r="C321" s="26" t="str">
        <f>Auto_Roster!C321</f>
        <v/>
      </c>
      <c r="D321" s="26" t="str">
        <f>Auto_Roster!D321</f>
        <v/>
      </c>
      <c r="E321" s="26" t="str">
        <f>Auto_Roster!E321</f>
        <v/>
      </c>
      <c r="F321" s="26" t="str">
        <f>Auto_Roster!G321</f>
        <v/>
      </c>
      <c r="G321" s="33">
        <f>Auto_Roster!J321</f>
        <v>0</v>
      </c>
      <c r="H321" s="33">
        <f>IF(G321&gt;Settings!$B$19,G321-Settings!$B$19,0)</f>
        <v>0</v>
      </c>
      <c r="I321" s="33">
        <f t="shared" si="16"/>
        <v>0</v>
      </c>
      <c r="J321" s="33">
        <f>IF(Auto_Roster!M321="Y",G321,0)</f>
        <v>0</v>
      </c>
      <c r="K321" s="33">
        <f>IF(Auto_Roster!L321="Y",G321,0)</f>
        <v>0</v>
      </c>
      <c r="L321" s="26" t="str">
        <f>Auto_Roster!K321</f>
        <v>N</v>
      </c>
      <c r="M321" s="34">
        <f>IF(L321="Y",Settings!$B$16,0)</f>
        <v>0</v>
      </c>
      <c r="N321" s="33">
        <f t="shared" si="17"/>
        <v>0</v>
      </c>
      <c r="O321" s="34">
        <f>N321*Settings!$B$17</f>
        <v>0</v>
      </c>
      <c r="P321" s="34">
        <f>IFERROR(VLOOKUP(C321,Employees!$A$4:$E$103,5,FALSE),Settings!$B$18)</f>
        <v>100</v>
      </c>
      <c r="Q321" s="34">
        <f t="shared" si="18"/>
        <v>0</v>
      </c>
      <c r="R321" s="34">
        <f>H321*P321*Settings!$B$13</f>
        <v>0</v>
      </c>
      <c r="S321" s="34">
        <f>J321*P321*(Settings!$B$14-1)</f>
        <v>0</v>
      </c>
      <c r="T321" s="34">
        <f>K321*P321*(Settings!$B$15-1)</f>
        <v>0</v>
      </c>
      <c r="U321" s="34">
        <f t="shared" si="19"/>
        <v>0</v>
      </c>
      <c r="V321" s="26" t="str">
        <f>Auto_Roster!O321</f>
        <v>Pending</v>
      </c>
      <c r="W321" s="26" t="e">
        <f ca="1">_xludf.TEXTJOIN("; ",TRUE,Auto_Roster!N321,IF(G321&gt;Settings!$B$19,"Approval required &gt; standard hours",""),IF(AND(F321&lt;&gt;"Off",G321=0),"Missing claimed hours",""))</f>
        <v>#NAME?</v>
      </c>
      <c r="X321" s="7"/>
    </row>
    <row r="322" spans="1:24" x14ac:dyDescent="0.35">
      <c r="A322" s="31">
        <f>Auto_Roster!A322</f>
        <v>46158</v>
      </c>
      <c r="B322" s="31">
        <f>Auto_Roster!B322</f>
        <v>46153</v>
      </c>
      <c r="C322" s="26" t="str">
        <f>Auto_Roster!C322</f>
        <v/>
      </c>
      <c r="D322" s="26" t="str">
        <f>Auto_Roster!D322</f>
        <v/>
      </c>
      <c r="E322" s="26" t="str">
        <f>Auto_Roster!E322</f>
        <v/>
      </c>
      <c r="F322" s="26" t="str">
        <f>Auto_Roster!G322</f>
        <v/>
      </c>
      <c r="G322" s="33">
        <f>Auto_Roster!J322</f>
        <v>0</v>
      </c>
      <c r="H322" s="33">
        <f>IF(G322&gt;Settings!$B$19,G322-Settings!$B$19,0)</f>
        <v>0</v>
      </c>
      <c r="I322" s="33">
        <f t="shared" si="16"/>
        <v>0</v>
      </c>
      <c r="J322" s="33">
        <f>IF(Auto_Roster!M322="Y",G322,0)</f>
        <v>0</v>
      </c>
      <c r="K322" s="33">
        <f>IF(Auto_Roster!L322="Y",G322,0)</f>
        <v>0</v>
      </c>
      <c r="L322" s="26" t="str">
        <f>Auto_Roster!K322</f>
        <v>N</v>
      </c>
      <c r="M322" s="34">
        <f>IF(L322="Y",Settings!$B$16,0)</f>
        <v>0</v>
      </c>
      <c r="N322" s="33">
        <f t="shared" si="17"/>
        <v>0</v>
      </c>
      <c r="O322" s="34">
        <f>N322*Settings!$B$17</f>
        <v>0</v>
      </c>
      <c r="P322" s="34">
        <f>IFERROR(VLOOKUP(C322,Employees!$A$4:$E$103,5,FALSE),Settings!$B$18)</f>
        <v>100</v>
      </c>
      <c r="Q322" s="34">
        <f t="shared" si="18"/>
        <v>0</v>
      </c>
      <c r="R322" s="34">
        <f>H322*P322*Settings!$B$13</f>
        <v>0</v>
      </c>
      <c r="S322" s="34">
        <f>J322*P322*(Settings!$B$14-1)</f>
        <v>0</v>
      </c>
      <c r="T322" s="34">
        <f>K322*P322*(Settings!$B$15-1)</f>
        <v>0</v>
      </c>
      <c r="U322" s="34">
        <f t="shared" si="19"/>
        <v>0</v>
      </c>
      <c r="V322" s="26" t="str">
        <f>Auto_Roster!O322</f>
        <v>Pending</v>
      </c>
      <c r="W322" s="26" t="e">
        <f ca="1">_xludf.TEXTJOIN("; ",TRUE,Auto_Roster!N322,IF(G322&gt;Settings!$B$19,"Approval required &gt; standard hours",""),IF(AND(F322&lt;&gt;"Off",G322=0),"Missing claimed hours",""))</f>
        <v>#NAME?</v>
      </c>
      <c r="X322" s="7"/>
    </row>
    <row r="323" spans="1:24" x14ac:dyDescent="0.35">
      <c r="A323" s="31">
        <f>Auto_Roster!A323</f>
        <v>46158</v>
      </c>
      <c r="B323" s="31">
        <f>Auto_Roster!B323</f>
        <v>46153</v>
      </c>
      <c r="C323" s="26" t="str">
        <f>Auto_Roster!C323</f>
        <v/>
      </c>
      <c r="D323" s="26" t="str">
        <f>Auto_Roster!D323</f>
        <v/>
      </c>
      <c r="E323" s="26" t="str">
        <f>Auto_Roster!E323</f>
        <v/>
      </c>
      <c r="F323" s="26" t="str">
        <f>Auto_Roster!G323</f>
        <v/>
      </c>
      <c r="G323" s="33">
        <f>Auto_Roster!J323</f>
        <v>0</v>
      </c>
      <c r="H323" s="33">
        <f>IF(G323&gt;Settings!$B$19,G323-Settings!$B$19,0)</f>
        <v>0</v>
      </c>
      <c r="I323" s="33">
        <f t="shared" si="16"/>
        <v>0</v>
      </c>
      <c r="J323" s="33">
        <f>IF(Auto_Roster!M323="Y",G323,0)</f>
        <v>0</v>
      </c>
      <c r="K323" s="33">
        <f>IF(Auto_Roster!L323="Y",G323,0)</f>
        <v>0</v>
      </c>
      <c r="L323" s="26" t="str">
        <f>Auto_Roster!K323</f>
        <v>N</v>
      </c>
      <c r="M323" s="34">
        <f>IF(L323="Y",Settings!$B$16,0)</f>
        <v>0</v>
      </c>
      <c r="N323" s="33">
        <f t="shared" si="17"/>
        <v>0</v>
      </c>
      <c r="O323" s="34">
        <f>N323*Settings!$B$17</f>
        <v>0</v>
      </c>
      <c r="P323" s="34">
        <f>IFERROR(VLOOKUP(C323,Employees!$A$4:$E$103,5,FALSE),Settings!$B$18)</f>
        <v>100</v>
      </c>
      <c r="Q323" s="34">
        <f t="shared" si="18"/>
        <v>0</v>
      </c>
      <c r="R323" s="34">
        <f>H323*P323*Settings!$B$13</f>
        <v>0</v>
      </c>
      <c r="S323" s="34">
        <f>J323*P323*(Settings!$B$14-1)</f>
        <v>0</v>
      </c>
      <c r="T323" s="34">
        <f>K323*P323*(Settings!$B$15-1)</f>
        <v>0</v>
      </c>
      <c r="U323" s="34">
        <f t="shared" si="19"/>
        <v>0</v>
      </c>
      <c r="V323" s="26" t="str">
        <f>Auto_Roster!O323</f>
        <v>Pending</v>
      </c>
      <c r="W323" s="26" t="e">
        <f ca="1">_xludf.TEXTJOIN("; ",TRUE,Auto_Roster!N323,IF(G323&gt;Settings!$B$19,"Approval required &gt; standard hours",""),IF(AND(F323&lt;&gt;"Off",G323=0),"Missing claimed hours",""))</f>
        <v>#NAME?</v>
      </c>
      <c r="X323" s="7"/>
    </row>
    <row r="324" spans="1:24" x14ac:dyDescent="0.35">
      <c r="A324" s="31">
        <f>Auto_Roster!A324</f>
        <v>46159</v>
      </c>
      <c r="B324" s="31">
        <f>Auto_Roster!B324</f>
        <v>46153</v>
      </c>
      <c r="C324" s="26" t="str">
        <f>Auto_Roster!C324</f>
        <v>E001</v>
      </c>
      <c r="D324" s="26" t="str">
        <f>Auto_Roster!D324</f>
        <v>Musiwa Khavalani</v>
      </c>
      <c r="E324" s="26">
        <f>Auto_Roster!E324</f>
        <v>0</v>
      </c>
      <c r="F324" s="26" t="e">
        <f>Auto_Roster!G324</f>
        <v>#N/A</v>
      </c>
      <c r="G324" s="33" t="e">
        <f>Auto_Roster!J324</f>
        <v>#N/A</v>
      </c>
      <c r="H324" s="33" t="e">
        <f>IF(G324&gt;Settings!$B$19,G324-Settings!$B$19,0)</f>
        <v>#N/A</v>
      </c>
      <c r="I324" s="33" t="e">
        <f t="shared" ref="I324:I387" si="20">MAX(0,G324-H324)</f>
        <v>#N/A</v>
      </c>
      <c r="J324" s="33" t="e">
        <f>IF(Auto_Roster!M324="Y",G324,0)</f>
        <v>#N/A</v>
      </c>
      <c r="K324" s="33">
        <f>IF(Auto_Roster!L324="Y",G324,0)</f>
        <v>0</v>
      </c>
      <c r="L324" s="26" t="str">
        <f>Auto_Roster!K324</f>
        <v>N</v>
      </c>
      <c r="M324" s="34">
        <f>IF(L324="Y",Settings!$B$16,0)</f>
        <v>0</v>
      </c>
      <c r="N324" s="33" t="e">
        <f t="shared" ref="N324:N387" si="21">IF(F324="Night",G324,0)</f>
        <v>#N/A</v>
      </c>
      <c r="O324" s="34" t="e">
        <f>N324*Settings!$B$17</f>
        <v>#N/A</v>
      </c>
      <c r="P324" s="34">
        <f>IFERROR(VLOOKUP(C324,Employees!$A$4:$E$103,5,FALSE),Settings!$B$18)</f>
        <v>100</v>
      </c>
      <c r="Q324" s="34" t="e">
        <f t="shared" ref="Q324:Q387" si="22">I324*P324</f>
        <v>#N/A</v>
      </c>
      <c r="R324" s="34" t="e">
        <f>H324*P324*Settings!$B$13</f>
        <v>#N/A</v>
      </c>
      <c r="S324" s="34" t="e">
        <f>J324*P324*(Settings!$B$14-1)</f>
        <v>#N/A</v>
      </c>
      <c r="T324" s="34">
        <f>K324*P324*(Settings!$B$15-1)</f>
        <v>0</v>
      </c>
      <c r="U324" s="34" t="e">
        <f t="shared" ref="U324:U387" si="23">SUM(Q324:T324)+M324+O324</f>
        <v>#N/A</v>
      </c>
      <c r="V324" s="26" t="str">
        <f>Auto_Roster!O324</f>
        <v>Pending</v>
      </c>
      <c r="W324" s="26" t="e">
        <f ca="1">_xludf.TEXTJOIN("; ",TRUE,Auto_Roster!N324,IF(G324&gt;Settings!$B$19,"Approval required &gt; standard hours",""),IF(AND(F324&lt;&gt;"Off",G324=0),"Missing claimed hours",""))</f>
        <v>#NAME?</v>
      </c>
      <c r="X324" s="7"/>
    </row>
    <row r="325" spans="1:24" x14ac:dyDescent="0.35">
      <c r="A325" s="31">
        <f>Auto_Roster!A325</f>
        <v>46159</v>
      </c>
      <c r="B325" s="31">
        <f>Auto_Roster!B325</f>
        <v>46153</v>
      </c>
      <c r="C325" s="26" t="str">
        <f>Auto_Roster!C325</f>
        <v>E002</v>
      </c>
      <c r="D325" s="26" t="str">
        <f>Auto_Roster!D325</f>
        <v>Mpho  Nembemhia</v>
      </c>
      <c r="E325" s="26" t="str">
        <f>Auto_Roster!E325</f>
        <v>B</v>
      </c>
      <c r="F325" s="26" t="str">
        <f>Auto_Roster!G325</f>
        <v>Off</v>
      </c>
      <c r="G325" s="33">
        <f>Auto_Roster!J325</f>
        <v>0</v>
      </c>
      <c r="H325" s="33">
        <f>IF(G325&gt;Settings!$B$19,G325-Settings!$B$19,0)</f>
        <v>0</v>
      </c>
      <c r="I325" s="33">
        <f t="shared" si="20"/>
        <v>0</v>
      </c>
      <c r="J325" s="33">
        <f>IF(Auto_Roster!M325="Y",G325,0)</f>
        <v>0</v>
      </c>
      <c r="K325" s="33">
        <f>IF(Auto_Roster!L325="Y",G325,0)</f>
        <v>0</v>
      </c>
      <c r="L325" s="26" t="str">
        <f>Auto_Roster!K325</f>
        <v>N</v>
      </c>
      <c r="M325" s="34">
        <f>IF(L325="Y",Settings!$B$16,0)</f>
        <v>0</v>
      </c>
      <c r="N325" s="33">
        <f t="shared" si="21"/>
        <v>0</v>
      </c>
      <c r="O325" s="34">
        <f>N325*Settings!$B$17</f>
        <v>0</v>
      </c>
      <c r="P325" s="34">
        <f>IFERROR(VLOOKUP(C325,Employees!$A$4:$E$103,5,FALSE),Settings!$B$18)</f>
        <v>100</v>
      </c>
      <c r="Q325" s="34">
        <f t="shared" si="22"/>
        <v>0</v>
      </c>
      <c r="R325" s="34">
        <f>H325*P325*Settings!$B$13</f>
        <v>0</v>
      </c>
      <c r="S325" s="34">
        <f>J325*P325*(Settings!$B$14-1)</f>
        <v>0</v>
      </c>
      <c r="T325" s="34">
        <f>K325*P325*(Settings!$B$15-1)</f>
        <v>0</v>
      </c>
      <c r="U325" s="34">
        <f t="shared" si="23"/>
        <v>0</v>
      </c>
      <c r="V325" s="26" t="str">
        <f>Auto_Roster!O325</f>
        <v>Pending</v>
      </c>
      <c r="W325" s="26" t="e">
        <f ca="1">_xludf.TEXTJOIN("; ",TRUE,Auto_Roster!N325,IF(G325&gt;Settings!$B$19,"Approval required &gt; standard hours",""),IF(AND(F325&lt;&gt;"Off",G325=0),"Missing claimed hours",""))</f>
        <v>#NAME?</v>
      </c>
      <c r="X325" s="7"/>
    </row>
    <row r="326" spans="1:24" x14ac:dyDescent="0.35">
      <c r="A326" s="31">
        <f>Auto_Roster!A326</f>
        <v>46159</v>
      </c>
      <c r="B326" s="31">
        <f>Auto_Roster!B326</f>
        <v>46153</v>
      </c>
      <c r="C326" s="26" t="str">
        <f>Auto_Roster!C326</f>
        <v>E003</v>
      </c>
      <c r="D326" s="26" t="str">
        <f>Auto_Roster!D326</f>
        <v>Dimpho Makhafola</v>
      </c>
      <c r="E326" s="26" t="str">
        <f>Auto_Roster!E326</f>
        <v>C</v>
      </c>
      <c r="F326" s="26" t="str">
        <f>Auto_Roster!G326</f>
        <v>Evening</v>
      </c>
      <c r="G326" s="33">
        <f>Auto_Roster!J326</f>
        <v>8</v>
      </c>
      <c r="H326" s="33">
        <f>IF(G326&gt;Settings!$B$19,G326-Settings!$B$19,0)</f>
        <v>0</v>
      </c>
      <c r="I326" s="33">
        <f t="shared" si="20"/>
        <v>8</v>
      </c>
      <c r="J326" s="33">
        <f>IF(Auto_Roster!M326="Y",G326,0)</f>
        <v>8</v>
      </c>
      <c r="K326" s="33">
        <f>IF(Auto_Roster!L326="Y",G326,0)</f>
        <v>0</v>
      </c>
      <c r="L326" s="26" t="str">
        <f>Auto_Roster!K326</f>
        <v>N</v>
      </c>
      <c r="M326" s="34">
        <f>IF(L326="Y",Settings!$B$16,0)</f>
        <v>0</v>
      </c>
      <c r="N326" s="33">
        <f t="shared" si="21"/>
        <v>0</v>
      </c>
      <c r="O326" s="34">
        <f>N326*Settings!$B$17</f>
        <v>0</v>
      </c>
      <c r="P326" s="34">
        <f>IFERROR(VLOOKUP(C326,Employees!$A$4:$E$103,5,FALSE),Settings!$B$18)</f>
        <v>100</v>
      </c>
      <c r="Q326" s="34">
        <f t="shared" si="22"/>
        <v>800</v>
      </c>
      <c r="R326" s="34">
        <f>H326*P326*Settings!$B$13</f>
        <v>0</v>
      </c>
      <c r="S326" s="34">
        <f>J326*P326*(Settings!$B$14-1)</f>
        <v>800</v>
      </c>
      <c r="T326" s="34">
        <f>K326*P326*(Settings!$B$15-1)</f>
        <v>0</v>
      </c>
      <c r="U326" s="34">
        <f t="shared" si="23"/>
        <v>1600</v>
      </c>
      <c r="V326" s="26" t="str">
        <f>Auto_Roster!O326</f>
        <v>Pending</v>
      </c>
      <c r="W326" s="26" t="e">
        <f ca="1">_xludf.TEXTJOIN("; ",TRUE,Auto_Roster!N326,IF(G326&gt;Settings!$B$19,"Approval required &gt; standard hours",""),IF(AND(F326&lt;&gt;"Off",G326=0),"Missing claimed hours",""))</f>
        <v>#NAME?</v>
      </c>
      <c r="X326" s="7"/>
    </row>
    <row r="327" spans="1:24" x14ac:dyDescent="0.35">
      <c r="A327" s="31">
        <f>Auto_Roster!A327</f>
        <v>46159</v>
      </c>
      <c r="B327" s="31">
        <f>Auto_Roster!B327</f>
        <v>46153</v>
      </c>
      <c r="C327" s="26" t="str">
        <f>Auto_Roster!C327</f>
        <v>E004</v>
      </c>
      <c r="D327" s="26" t="str">
        <f>Auto_Roster!D327</f>
        <v>Bashii Fall</v>
      </c>
      <c r="E327" s="26" t="str">
        <f>Auto_Roster!E327</f>
        <v>D</v>
      </c>
      <c r="F327" s="26" t="str">
        <f>Auto_Roster!G327</f>
        <v>Night</v>
      </c>
      <c r="G327" s="33">
        <f>Auto_Roster!J327</f>
        <v>8</v>
      </c>
      <c r="H327" s="33">
        <f>IF(G327&gt;Settings!$B$19,G327-Settings!$B$19,0)</f>
        <v>0</v>
      </c>
      <c r="I327" s="33">
        <f t="shared" si="20"/>
        <v>8</v>
      </c>
      <c r="J327" s="33">
        <f>IF(Auto_Roster!M327="Y",G327,0)</f>
        <v>8</v>
      </c>
      <c r="K327" s="33">
        <f>IF(Auto_Roster!L327="Y",G327,0)</f>
        <v>0</v>
      </c>
      <c r="L327" s="26" t="str">
        <f>Auto_Roster!K327</f>
        <v>N</v>
      </c>
      <c r="M327" s="34">
        <f>IF(L327="Y",Settings!$B$16,0)</f>
        <v>0</v>
      </c>
      <c r="N327" s="33">
        <f t="shared" si="21"/>
        <v>8</v>
      </c>
      <c r="O327" s="34">
        <f>N327*Settings!$B$17</f>
        <v>0</v>
      </c>
      <c r="P327" s="34">
        <f>IFERROR(VLOOKUP(C327,Employees!$A$4:$E$103,5,FALSE),Settings!$B$18)</f>
        <v>100</v>
      </c>
      <c r="Q327" s="34">
        <f t="shared" si="22"/>
        <v>800</v>
      </c>
      <c r="R327" s="34">
        <f>H327*P327*Settings!$B$13</f>
        <v>0</v>
      </c>
      <c r="S327" s="34">
        <f>J327*P327*(Settings!$B$14-1)</f>
        <v>800</v>
      </c>
      <c r="T327" s="34">
        <f>K327*P327*(Settings!$B$15-1)</f>
        <v>0</v>
      </c>
      <c r="U327" s="34">
        <f t="shared" si="23"/>
        <v>1600</v>
      </c>
      <c r="V327" s="26" t="str">
        <f>Auto_Roster!O327</f>
        <v>Pending</v>
      </c>
      <c r="W327" s="26" t="e">
        <f ca="1">_xludf.TEXTJOIN("; ",TRUE,Auto_Roster!N327,IF(G327&gt;Settings!$B$19,"Approval required &gt; standard hours",""),IF(AND(F327&lt;&gt;"Off",G327=0),"Missing claimed hours",""))</f>
        <v>#NAME?</v>
      </c>
      <c r="X327" s="7"/>
    </row>
    <row r="328" spans="1:24" x14ac:dyDescent="0.35">
      <c r="A328" s="31">
        <f>Auto_Roster!A328</f>
        <v>46159</v>
      </c>
      <c r="B328" s="31">
        <f>Auto_Roster!B328</f>
        <v>46153</v>
      </c>
      <c r="C328" s="26" t="str">
        <f>Auto_Roster!C328</f>
        <v>E005</v>
      </c>
      <c r="D328" s="26" t="str">
        <f>Auto_Roster!D328</f>
        <v>Lesego Aphane</v>
      </c>
      <c r="E328" s="26" t="str">
        <f>Auto_Roster!E328</f>
        <v>A</v>
      </c>
      <c r="F328" s="26" t="str">
        <f>Auto_Roster!G328</f>
        <v>Day</v>
      </c>
      <c r="G328" s="33">
        <f>Auto_Roster!J328</f>
        <v>8</v>
      </c>
      <c r="H328" s="33">
        <f>IF(G328&gt;Settings!$B$19,G328-Settings!$B$19,0)</f>
        <v>0</v>
      </c>
      <c r="I328" s="33">
        <f t="shared" si="20"/>
        <v>8</v>
      </c>
      <c r="J328" s="33">
        <f>IF(Auto_Roster!M328="Y",G328,0)</f>
        <v>8</v>
      </c>
      <c r="K328" s="33">
        <f>IF(Auto_Roster!L328="Y",G328,0)</f>
        <v>0</v>
      </c>
      <c r="L328" s="26" t="str">
        <f>Auto_Roster!K328</f>
        <v>N</v>
      </c>
      <c r="M328" s="34">
        <f>IF(L328="Y",Settings!$B$16,0)</f>
        <v>0</v>
      </c>
      <c r="N328" s="33">
        <f t="shared" si="21"/>
        <v>0</v>
      </c>
      <c r="O328" s="34">
        <f>N328*Settings!$B$17</f>
        <v>0</v>
      </c>
      <c r="P328" s="34">
        <f>IFERROR(VLOOKUP(C328,Employees!$A$4:$E$103,5,FALSE),Settings!$B$18)</f>
        <v>100</v>
      </c>
      <c r="Q328" s="34">
        <f t="shared" si="22"/>
        <v>800</v>
      </c>
      <c r="R328" s="34">
        <f>H328*P328*Settings!$B$13</f>
        <v>0</v>
      </c>
      <c r="S328" s="34">
        <f>J328*P328*(Settings!$B$14-1)</f>
        <v>800</v>
      </c>
      <c r="T328" s="34">
        <f>K328*P328*(Settings!$B$15-1)</f>
        <v>0</v>
      </c>
      <c r="U328" s="34">
        <f t="shared" si="23"/>
        <v>1600</v>
      </c>
      <c r="V328" s="26" t="str">
        <f>Auto_Roster!O328</f>
        <v>Pending</v>
      </c>
      <c r="W328" s="26" t="e">
        <f ca="1">_xludf.TEXTJOIN("; ",TRUE,Auto_Roster!N328,IF(G328&gt;Settings!$B$19,"Approval required &gt; standard hours",""),IF(AND(F328&lt;&gt;"Off",G328=0),"Missing claimed hours",""))</f>
        <v>#NAME?</v>
      </c>
      <c r="X328" s="7"/>
    </row>
    <row r="329" spans="1:24" x14ac:dyDescent="0.35">
      <c r="A329" s="31">
        <f>Auto_Roster!A329</f>
        <v>46159</v>
      </c>
      <c r="B329" s="31">
        <f>Auto_Roster!B329</f>
        <v>46153</v>
      </c>
      <c r="C329" s="26" t="str">
        <f>Auto_Roster!C329</f>
        <v>E006</v>
      </c>
      <c r="D329" s="26" t="str">
        <f>Auto_Roster!D329</f>
        <v>Nhalnahla</v>
      </c>
      <c r="E329" s="26" t="str">
        <f>Auto_Roster!E329</f>
        <v>B</v>
      </c>
      <c r="F329" s="26" t="str">
        <f>Auto_Roster!G329</f>
        <v>Off</v>
      </c>
      <c r="G329" s="33">
        <f>Auto_Roster!J329</f>
        <v>0</v>
      </c>
      <c r="H329" s="33">
        <f>IF(G329&gt;Settings!$B$19,G329-Settings!$B$19,0)</f>
        <v>0</v>
      </c>
      <c r="I329" s="33">
        <f t="shared" si="20"/>
        <v>0</v>
      </c>
      <c r="J329" s="33">
        <f>IF(Auto_Roster!M329="Y",G329,0)</f>
        <v>0</v>
      </c>
      <c r="K329" s="33">
        <f>IF(Auto_Roster!L329="Y",G329,0)</f>
        <v>0</v>
      </c>
      <c r="L329" s="26" t="str">
        <f>Auto_Roster!K329</f>
        <v>N</v>
      </c>
      <c r="M329" s="34">
        <f>IF(L329="Y",Settings!$B$16,0)</f>
        <v>0</v>
      </c>
      <c r="N329" s="33">
        <f t="shared" si="21"/>
        <v>0</v>
      </c>
      <c r="O329" s="34">
        <f>N329*Settings!$B$17</f>
        <v>0</v>
      </c>
      <c r="P329" s="34">
        <f>IFERROR(VLOOKUP(C329,Employees!$A$4:$E$103,5,FALSE),Settings!$B$18)</f>
        <v>100</v>
      </c>
      <c r="Q329" s="34">
        <f t="shared" si="22"/>
        <v>0</v>
      </c>
      <c r="R329" s="34">
        <f>H329*P329*Settings!$B$13</f>
        <v>0</v>
      </c>
      <c r="S329" s="34">
        <f>J329*P329*(Settings!$B$14-1)</f>
        <v>0</v>
      </c>
      <c r="T329" s="34">
        <f>K329*P329*(Settings!$B$15-1)</f>
        <v>0</v>
      </c>
      <c r="U329" s="34">
        <f t="shared" si="23"/>
        <v>0</v>
      </c>
      <c r="V329" s="26" t="str">
        <f>Auto_Roster!O329</f>
        <v>Pending</v>
      </c>
      <c r="W329" s="26" t="e">
        <f ca="1">_xludf.TEXTJOIN("; ",TRUE,Auto_Roster!N329,IF(G329&gt;Settings!$B$19,"Approval required &gt; standard hours",""),IF(AND(F329&lt;&gt;"Off",G329=0),"Missing claimed hours",""))</f>
        <v>#NAME?</v>
      </c>
      <c r="X329" s="7"/>
    </row>
    <row r="330" spans="1:24" x14ac:dyDescent="0.35">
      <c r="A330" s="31">
        <f>Auto_Roster!A330</f>
        <v>46159</v>
      </c>
      <c r="B330" s="31">
        <f>Auto_Roster!B330</f>
        <v>46153</v>
      </c>
      <c r="C330" s="26" t="str">
        <f>Auto_Roster!C330</f>
        <v>E007</v>
      </c>
      <c r="D330" s="26" t="str">
        <f>Auto_Roster!D330</f>
        <v>Joe</v>
      </c>
      <c r="E330" s="26" t="str">
        <f>Auto_Roster!E330</f>
        <v>C</v>
      </c>
      <c r="F330" s="26" t="str">
        <f>Auto_Roster!G330</f>
        <v>Evening</v>
      </c>
      <c r="G330" s="33">
        <f>Auto_Roster!J330</f>
        <v>8</v>
      </c>
      <c r="H330" s="33">
        <f>IF(G330&gt;Settings!$B$19,G330-Settings!$B$19,0)</f>
        <v>0</v>
      </c>
      <c r="I330" s="33">
        <f t="shared" si="20"/>
        <v>8</v>
      </c>
      <c r="J330" s="33">
        <f>IF(Auto_Roster!M330="Y",G330,0)</f>
        <v>8</v>
      </c>
      <c r="K330" s="33">
        <f>IF(Auto_Roster!L330="Y",G330,0)</f>
        <v>0</v>
      </c>
      <c r="L330" s="26" t="str">
        <f>Auto_Roster!K330</f>
        <v>N</v>
      </c>
      <c r="M330" s="34">
        <f>IF(L330="Y",Settings!$B$16,0)</f>
        <v>0</v>
      </c>
      <c r="N330" s="33">
        <f t="shared" si="21"/>
        <v>0</v>
      </c>
      <c r="O330" s="34">
        <f>N330*Settings!$B$17</f>
        <v>0</v>
      </c>
      <c r="P330" s="34">
        <f>IFERROR(VLOOKUP(C330,Employees!$A$4:$E$103,5,FALSE),Settings!$B$18)</f>
        <v>100</v>
      </c>
      <c r="Q330" s="34">
        <f t="shared" si="22"/>
        <v>800</v>
      </c>
      <c r="R330" s="34">
        <f>H330*P330*Settings!$B$13</f>
        <v>0</v>
      </c>
      <c r="S330" s="34">
        <f>J330*P330*(Settings!$B$14-1)</f>
        <v>800</v>
      </c>
      <c r="T330" s="34">
        <f>K330*P330*(Settings!$B$15-1)</f>
        <v>0</v>
      </c>
      <c r="U330" s="34">
        <f t="shared" si="23"/>
        <v>1600</v>
      </c>
      <c r="V330" s="26" t="str">
        <f>Auto_Roster!O330</f>
        <v>Pending</v>
      </c>
      <c r="W330" s="26" t="e">
        <f ca="1">_xludf.TEXTJOIN("; ",TRUE,Auto_Roster!N330,IF(G330&gt;Settings!$B$19,"Approval required &gt; standard hours",""),IF(AND(F330&lt;&gt;"Off",G330=0),"Missing claimed hours",""))</f>
        <v>#NAME?</v>
      </c>
      <c r="X330" s="7"/>
    </row>
    <row r="331" spans="1:24" x14ac:dyDescent="0.35">
      <c r="A331" s="31">
        <f>Auto_Roster!A331</f>
        <v>46159</v>
      </c>
      <c r="B331" s="31">
        <f>Auto_Roster!B331</f>
        <v>46153</v>
      </c>
      <c r="C331" s="26" t="str">
        <f>Auto_Roster!C331</f>
        <v>E008</v>
      </c>
      <c r="D331" s="26" t="str">
        <f>Auto_Roster!D331</f>
        <v>Tim</v>
      </c>
      <c r="E331" s="26" t="str">
        <f>Auto_Roster!E331</f>
        <v>D</v>
      </c>
      <c r="F331" s="26" t="str">
        <f>Auto_Roster!G331</f>
        <v>Night</v>
      </c>
      <c r="G331" s="33">
        <f>Auto_Roster!J331</f>
        <v>8</v>
      </c>
      <c r="H331" s="33">
        <f>IF(G331&gt;Settings!$B$19,G331-Settings!$B$19,0)</f>
        <v>0</v>
      </c>
      <c r="I331" s="33">
        <f t="shared" si="20"/>
        <v>8</v>
      </c>
      <c r="J331" s="33">
        <f>IF(Auto_Roster!M331="Y",G331,0)</f>
        <v>8</v>
      </c>
      <c r="K331" s="33">
        <f>IF(Auto_Roster!L331="Y",G331,0)</f>
        <v>0</v>
      </c>
      <c r="L331" s="26" t="str">
        <f>Auto_Roster!K331</f>
        <v>N</v>
      </c>
      <c r="M331" s="34">
        <f>IF(L331="Y",Settings!$B$16,0)</f>
        <v>0</v>
      </c>
      <c r="N331" s="33">
        <f t="shared" si="21"/>
        <v>8</v>
      </c>
      <c r="O331" s="34">
        <f>N331*Settings!$B$17</f>
        <v>0</v>
      </c>
      <c r="P331" s="34">
        <f>IFERROR(VLOOKUP(C331,Employees!$A$4:$E$103,5,FALSE),Settings!$B$18)</f>
        <v>100</v>
      </c>
      <c r="Q331" s="34">
        <f t="shared" si="22"/>
        <v>800</v>
      </c>
      <c r="R331" s="34">
        <f>H331*P331*Settings!$B$13</f>
        <v>0</v>
      </c>
      <c r="S331" s="34">
        <f>J331*P331*(Settings!$B$14-1)</f>
        <v>800</v>
      </c>
      <c r="T331" s="34">
        <f>K331*P331*(Settings!$B$15-1)</f>
        <v>0</v>
      </c>
      <c r="U331" s="34">
        <f t="shared" si="23"/>
        <v>1600</v>
      </c>
      <c r="V331" s="26" t="str">
        <f>Auto_Roster!O331</f>
        <v>Pending</v>
      </c>
      <c r="W331" s="26" t="e">
        <f ca="1">_xludf.TEXTJOIN("; ",TRUE,Auto_Roster!N331,IF(G331&gt;Settings!$B$19,"Approval required &gt; standard hours",""),IF(AND(F331&lt;&gt;"Off",G331=0),"Missing claimed hours",""))</f>
        <v>#NAME?</v>
      </c>
      <c r="X331" s="7"/>
    </row>
    <row r="332" spans="1:24" x14ac:dyDescent="0.35">
      <c r="A332" s="31">
        <f>Auto_Roster!A332</f>
        <v>46159</v>
      </c>
      <c r="B332" s="31">
        <f>Auto_Roster!B332</f>
        <v>46153</v>
      </c>
      <c r="C332" s="26" t="str">
        <f>Auto_Roster!C332</f>
        <v>E009</v>
      </c>
      <c r="D332" s="26" t="str">
        <f>Auto_Roster!D332</f>
        <v>Frank</v>
      </c>
      <c r="E332" s="26" t="str">
        <f>Auto_Roster!E332</f>
        <v>A</v>
      </c>
      <c r="F332" s="26" t="str">
        <f>Auto_Roster!G332</f>
        <v>Day</v>
      </c>
      <c r="G332" s="33">
        <f>Auto_Roster!J332</f>
        <v>8</v>
      </c>
      <c r="H332" s="33">
        <f>IF(G332&gt;Settings!$B$19,G332-Settings!$B$19,0)</f>
        <v>0</v>
      </c>
      <c r="I332" s="33">
        <f t="shared" si="20"/>
        <v>8</v>
      </c>
      <c r="J332" s="33">
        <f>IF(Auto_Roster!M332="Y",G332,0)</f>
        <v>8</v>
      </c>
      <c r="K332" s="33">
        <f>IF(Auto_Roster!L332="Y",G332,0)</f>
        <v>0</v>
      </c>
      <c r="L332" s="26" t="str">
        <f>Auto_Roster!K332</f>
        <v>N</v>
      </c>
      <c r="M332" s="34">
        <f>IF(L332="Y",Settings!$B$16,0)</f>
        <v>0</v>
      </c>
      <c r="N332" s="33">
        <f t="shared" si="21"/>
        <v>0</v>
      </c>
      <c r="O332" s="34">
        <f>N332*Settings!$B$17</f>
        <v>0</v>
      </c>
      <c r="P332" s="34">
        <f>IFERROR(VLOOKUP(C332,Employees!$A$4:$E$103,5,FALSE),Settings!$B$18)</f>
        <v>100</v>
      </c>
      <c r="Q332" s="34">
        <f t="shared" si="22"/>
        <v>800</v>
      </c>
      <c r="R332" s="34">
        <f>H332*P332*Settings!$B$13</f>
        <v>0</v>
      </c>
      <c r="S332" s="34">
        <f>J332*P332*(Settings!$B$14-1)</f>
        <v>800</v>
      </c>
      <c r="T332" s="34">
        <f>K332*P332*(Settings!$B$15-1)</f>
        <v>0</v>
      </c>
      <c r="U332" s="34">
        <f t="shared" si="23"/>
        <v>1600</v>
      </c>
      <c r="V332" s="26" t="str">
        <f>Auto_Roster!O332</f>
        <v>Pending</v>
      </c>
      <c r="W332" s="26" t="e">
        <f ca="1">_xludf.TEXTJOIN("; ",TRUE,Auto_Roster!N332,IF(G332&gt;Settings!$B$19,"Approval required &gt; standard hours",""),IF(AND(F332&lt;&gt;"Off",G332=0),"Missing claimed hours",""))</f>
        <v>#NAME?</v>
      </c>
      <c r="X332" s="7"/>
    </row>
    <row r="333" spans="1:24" x14ac:dyDescent="0.35">
      <c r="A333" s="31">
        <f>Auto_Roster!A333</f>
        <v>46159</v>
      </c>
      <c r="B333" s="31">
        <f>Auto_Roster!B333</f>
        <v>46153</v>
      </c>
      <c r="C333" s="26" t="str">
        <f>Auto_Roster!C333</f>
        <v/>
      </c>
      <c r="D333" s="26" t="str">
        <f>Auto_Roster!D333</f>
        <v/>
      </c>
      <c r="E333" s="26" t="str">
        <f>Auto_Roster!E333</f>
        <v/>
      </c>
      <c r="F333" s="26" t="str">
        <f>Auto_Roster!G333</f>
        <v/>
      </c>
      <c r="G333" s="33">
        <f>Auto_Roster!J333</f>
        <v>0</v>
      </c>
      <c r="H333" s="33">
        <f>IF(G333&gt;Settings!$B$19,G333-Settings!$B$19,0)</f>
        <v>0</v>
      </c>
      <c r="I333" s="33">
        <f t="shared" si="20"/>
        <v>0</v>
      </c>
      <c r="J333" s="33">
        <f>IF(Auto_Roster!M333="Y",G333,0)</f>
        <v>0</v>
      </c>
      <c r="K333" s="33">
        <f>IF(Auto_Roster!L333="Y",G333,0)</f>
        <v>0</v>
      </c>
      <c r="L333" s="26" t="str">
        <f>Auto_Roster!K333</f>
        <v>N</v>
      </c>
      <c r="M333" s="34">
        <f>IF(L333="Y",Settings!$B$16,0)</f>
        <v>0</v>
      </c>
      <c r="N333" s="33">
        <f t="shared" si="21"/>
        <v>0</v>
      </c>
      <c r="O333" s="34">
        <f>N333*Settings!$B$17</f>
        <v>0</v>
      </c>
      <c r="P333" s="34">
        <f>IFERROR(VLOOKUP(C333,Employees!$A$4:$E$103,5,FALSE),Settings!$B$18)</f>
        <v>100</v>
      </c>
      <c r="Q333" s="34">
        <f t="shared" si="22"/>
        <v>0</v>
      </c>
      <c r="R333" s="34">
        <f>H333*P333*Settings!$B$13</f>
        <v>0</v>
      </c>
      <c r="S333" s="34">
        <f>J333*P333*(Settings!$B$14-1)</f>
        <v>0</v>
      </c>
      <c r="T333" s="34">
        <f>K333*P333*(Settings!$B$15-1)</f>
        <v>0</v>
      </c>
      <c r="U333" s="34">
        <f t="shared" si="23"/>
        <v>0</v>
      </c>
      <c r="V333" s="26" t="str">
        <f>Auto_Roster!O333</f>
        <v>Pending</v>
      </c>
      <c r="W333" s="26" t="e">
        <f ca="1">_xludf.TEXTJOIN("; ",TRUE,Auto_Roster!N333,IF(G333&gt;Settings!$B$19,"Approval required &gt; standard hours",""),IF(AND(F333&lt;&gt;"Off",G333=0),"Missing claimed hours",""))</f>
        <v>#NAME?</v>
      </c>
      <c r="X333" s="7"/>
    </row>
    <row r="334" spans="1:24" x14ac:dyDescent="0.35">
      <c r="A334" s="31">
        <f>Auto_Roster!A334</f>
        <v>46159</v>
      </c>
      <c r="B334" s="31">
        <f>Auto_Roster!B334</f>
        <v>46153</v>
      </c>
      <c r="C334" s="26" t="str">
        <f>Auto_Roster!C334</f>
        <v/>
      </c>
      <c r="D334" s="26" t="str">
        <f>Auto_Roster!D334</f>
        <v/>
      </c>
      <c r="E334" s="26" t="str">
        <f>Auto_Roster!E334</f>
        <v/>
      </c>
      <c r="F334" s="26" t="str">
        <f>Auto_Roster!G334</f>
        <v/>
      </c>
      <c r="G334" s="33">
        <f>Auto_Roster!J334</f>
        <v>0</v>
      </c>
      <c r="H334" s="33">
        <f>IF(G334&gt;Settings!$B$19,G334-Settings!$B$19,0)</f>
        <v>0</v>
      </c>
      <c r="I334" s="33">
        <f t="shared" si="20"/>
        <v>0</v>
      </c>
      <c r="J334" s="33">
        <f>IF(Auto_Roster!M334="Y",G334,0)</f>
        <v>0</v>
      </c>
      <c r="K334" s="33">
        <f>IF(Auto_Roster!L334="Y",G334,0)</f>
        <v>0</v>
      </c>
      <c r="L334" s="26" t="str">
        <f>Auto_Roster!K334</f>
        <v>N</v>
      </c>
      <c r="M334" s="34">
        <f>IF(L334="Y",Settings!$B$16,0)</f>
        <v>0</v>
      </c>
      <c r="N334" s="33">
        <f t="shared" si="21"/>
        <v>0</v>
      </c>
      <c r="O334" s="34">
        <f>N334*Settings!$B$17</f>
        <v>0</v>
      </c>
      <c r="P334" s="34">
        <f>IFERROR(VLOOKUP(C334,Employees!$A$4:$E$103,5,FALSE),Settings!$B$18)</f>
        <v>100</v>
      </c>
      <c r="Q334" s="34">
        <f t="shared" si="22"/>
        <v>0</v>
      </c>
      <c r="R334" s="34">
        <f>H334*P334*Settings!$B$13</f>
        <v>0</v>
      </c>
      <c r="S334" s="34">
        <f>J334*P334*(Settings!$B$14-1)</f>
        <v>0</v>
      </c>
      <c r="T334" s="34">
        <f>K334*P334*(Settings!$B$15-1)</f>
        <v>0</v>
      </c>
      <c r="U334" s="34">
        <f t="shared" si="23"/>
        <v>0</v>
      </c>
      <c r="V334" s="26" t="str">
        <f>Auto_Roster!O334</f>
        <v>Pending</v>
      </c>
      <c r="W334" s="26" t="e">
        <f ca="1">_xludf.TEXTJOIN("; ",TRUE,Auto_Roster!N334,IF(G334&gt;Settings!$B$19,"Approval required &gt; standard hours",""),IF(AND(F334&lt;&gt;"Off",G334=0),"Missing claimed hours",""))</f>
        <v>#NAME?</v>
      </c>
      <c r="X334" s="7"/>
    </row>
    <row r="335" spans="1:24" x14ac:dyDescent="0.35">
      <c r="A335" s="31">
        <f>Auto_Roster!A335</f>
        <v>46159</v>
      </c>
      <c r="B335" s="31">
        <f>Auto_Roster!B335</f>
        <v>46153</v>
      </c>
      <c r="C335" s="26" t="str">
        <f>Auto_Roster!C335</f>
        <v/>
      </c>
      <c r="D335" s="26" t="str">
        <f>Auto_Roster!D335</f>
        <v/>
      </c>
      <c r="E335" s="26" t="str">
        <f>Auto_Roster!E335</f>
        <v/>
      </c>
      <c r="F335" s="26" t="str">
        <f>Auto_Roster!G335</f>
        <v/>
      </c>
      <c r="G335" s="33">
        <f>Auto_Roster!J335</f>
        <v>0</v>
      </c>
      <c r="H335" s="33">
        <f>IF(G335&gt;Settings!$B$19,G335-Settings!$B$19,0)</f>
        <v>0</v>
      </c>
      <c r="I335" s="33">
        <f t="shared" si="20"/>
        <v>0</v>
      </c>
      <c r="J335" s="33">
        <f>IF(Auto_Roster!M335="Y",G335,0)</f>
        <v>0</v>
      </c>
      <c r="K335" s="33">
        <f>IF(Auto_Roster!L335="Y",G335,0)</f>
        <v>0</v>
      </c>
      <c r="L335" s="26" t="str">
        <f>Auto_Roster!K335</f>
        <v>N</v>
      </c>
      <c r="M335" s="34">
        <f>IF(L335="Y",Settings!$B$16,0)</f>
        <v>0</v>
      </c>
      <c r="N335" s="33">
        <f t="shared" si="21"/>
        <v>0</v>
      </c>
      <c r="O335" s="34">
        <f>N335*Settings!$B$17</f>
        <v>0</v>
      </c>
      <c r="P335" s="34">
        <f>IFERROR(VLOOKUP(C335,Employees!$A$4:$E$103,5,FALSE),Settings!$B$18)</f>
        <v>100</v>
      </c>
      <c r="Q335" s="34">
        <f t="shared" si="22"/>
        <v>0</v>
      </c>
      <c r="R335" s="34">
        <f>H335*P335*Settings!$B$13</f>
        <v>0</v>
      </c>
      <c r="S335" s="34">
        <f>J335*P335*(Settings!$B$14-1)</f>
        <v>0</v>
      </c>
      <c r="T335" s="34">
        <f>K335*P335*(Settings!$B$15-1)</f>
        <v>0</v>
      </c>
      <c r="U335" s="34">
        <f t="shared" si="23"/>
        <v>0</v>
      </c>
      <c r="V335" s="26" t="str">
        <f>Auto_Roster!O335</f>
        <v>Pending</v>
      </c>
      <c r="W335" s="26" t="e">
        <f ca="1">_xludf.TEXTJOIN("; ",TRUE,Auto_Roster!N335,IF(G335&gt;Settings!$B$19,"Approval required &gt; standard hours",""),IF(AND(F335&lt;&gt;"Off",G335=0),"Missing claimed hours",""))</f>
        <v>#NAME?</v>
      </c>
      <c r="X335" s="7"/>
    </row>
    <row r="336" spans="1:24" x14ac:dyDescent="0.35">
      <c r="A336" s="31">
        <f>Auto_Roster!A336</f>
        <v>46159</v>
      </c>
      <c r="B336" s="31">
        <f>Auto_Roster!B336</f>
        <v>46153</v>
      </c>
      <c r="C336" s="26" t="str">
        <f>Auto_Roster!C336</f>
        <v/>
      </c>
      <c r="D336" s="26" t="str">
        <f>Auto_Roster!D336</f>
        <v/>
      </c>
      <c r="E336" s="26" t="str">
        <f>Auto_Roster!E336</f>
        <v/>
      </c>
      <c r="F336" s="26" t="str">
        <f>Auto_Roster!G336</f>
        <v/>
      </c>
      <c r="G336" s="33">
        <f>Auto_Roster!J336</f>
        <v>0</v>
      </c>
      <c r="H336" s="33">
        <f>IF(G336&gt;Settings!$B$19,G336-Settings!$B$19,0)</f>
        <v>0</v>
      </c>
      <c r="I336" s="33">
        <f t="shared" si="20"/>
        <v>0</v>
      </c>
      <c r="J336" s="33">
        <f>IF(Auto_Roster!M336="Y",G336,0)</f>
        <v>0</v>
      </c>
      <c r="K336" s="33">
        <f>IF(Auto_Roster!L336="Y",G336,0)</f>
        <v>0</v>
      </c>
      <c r="L336" s="26" t="str">
        <f>Auto_Roster!K336</f>
        <v>N</v>
      </c>
      <c r="M336" s="34">
        <f>IF(L336="Y",Settings!$B$16,0)</f>
        <v>0</v>
      </c>
      <c r="N336" s="33">
        <f t="shared" si="21"/>
        <v>0</v>
      </c>
      <c r="O336" s="34">
        <f>N336*Settings!$B$17</f>
        <v>0</v>
      </c>
      <c r="P336" s="34">
        <f>IFERROR(VLOOKUP(C336,Employees!$A$4:$E$103,5,FALSE),Settings!$B$18)</f>
        <v>100</v>
      </c>
      <c r="Q336" s="34">
        <f t="shared" si="22"/>
        <v>0</v>
      </c>
      <c r="R336" s="34">
        <f>H336*P336*Settings!$B$13</f>
        <v>0</v>
      </c>
      <c r="S336" s="34">
        <f>J336*P336*(Settings!$B$14-1)</f>
        <v>0</v>
      </c>
      <c r="T336" s="34">
        <f>K336*P336*(Settings!$B$15-1)</f>
        <v>0</v>
      </c>
      <c r="U336" s="34">
        <f t="shared" si="23"/>
        <v>0</v>
      </c>
      <c r="V336" s="26" t="str">
        <f>Auto_Roster!O336</f>
        <v>Pending</v>
      </c>
      <c r="W336" s="26" t="e">
        <f ca="1">_xludf.TEXTJOIN("; ",TRUE,Auto_Roster!N336,IF(G336&gt;Settings!$B$19,"Approval required &gt; standard hours",""),IF(AND(F336&lt;&gt;"Off",G336=0),"Missing claimed hours",""))</f>
        <v>#NAME?</v>
      </c>
      <c r="X336" s="7"/>
    </row>
    <row r="337" spans="1:24" x14ac:dyDescent="0.35">
      <c r="A337" s="31">
        <f>Auto_Roster!A337</f>
        <v>46159</v>
      </c>
      <c r="B337" s="31">
        <f>Auto_Roster!B337</f>
        <v>46153</v>
      </c>
      <c r="C337" s="26" t="str">
        <f>Auto_Roster!C337</f>
        <v/>
      </c>
      <c r="D337" s="26" t="str">
        <f>Auto_Roster!D337</f>
        <v/>
      </c>
      <c r="E337" s="26" t="str">
        <f>Auto_Roster!E337</f>
        <v/>
      </c>
      <c r="F337" s="26" t="str">
        <f>Auto_Roster!G337</f>
        <v/>
      </c>
      <c r="G337" s="33">
        <f>Auto_Roster!J337</f>
        <v>0</v>
      </c>
      <c r="H337" s="33">
        <f>IF(G337&gt;Settings!$B$19,G337-Settings!$B$19,0)</f>
        <v>0</v>
      </c>
      <c r="I337" s="33">
        <f t="shared" si="20"/>
        <v>0</v>
      </c>
      <c r="J337" s="33">
        <f>IF(Auto_Roster!M337="Y",G337,0)</f>
        <v>0</v>
      </c>
      <c r="K337" s="33">
        <f>IF(Auto_Roster!L337="Y",G337,0)</f>
        <v>0</v>
      </c>
      <c r="L337" s="26" t="str">
        <f>Auto_Roster!K337</f>
        <v>N</v>
      </c>
      <c r="M337" s="34">
        <f>IF(L337="Y",Settings!$B$16,0)</f>
        <v>0</v>
      </c>
      <c r="N337" s="33">
        <f t="shared" si="21"/>
        <v>0</v>
      </c>
      <c r="O337" s="34">
        <f>N337*Settings!$B$17</f>
        <v>0</v>
      </c>
      <c r="P337" s="34">
        <f>IFERROR(VLOOKUP(C337,Employees!$A$4:$E$103,5,FALSE),Settings!$B$18)</f>
        <v>100</v>
      </c>
      <c r="Q337" s="34">
        <f t="shared" si="22"/>
        <v>0</v>
      </c>
      <c r="R337" s="34">
        <f>H337*P337*Settings!$B$13</f>
        <v>0</v>
      </c>
      <c r="S337" s="34">
        <f>J337*P337*(Settings!$B$14-1)</f>
        <v>0</v>
      </c>
      <c r="T337" s="34">
        <f>K337*P337*(Settings!$B$15-1)</f>
        <v>0</v>
      </c>
      <c r="U337" s="34">
        <f t="shared" si="23"/>
        <v>0</v>
      </c>
      <c r="V337" s="26" t="str">
        <f>Auto_Roster!O337</f>
        <v>Pending</v>
      </c>
      <c r="W337" s="26" t="e">
        <f ca="1">_xludf.TEXTJOIN("; ",TRUE,Auto_Roster!N337,IF(G337&gt;Settings!$B$19,"Approval required &gt; standard hours",""),IF(AND(F337&lt;&gt;"Off",G337=0),"Missing claimed hours",""))</f>
        <v>#NAME?</v>
      </c>
      <c r="X337" s="7"/>
    </row>
    <row r="338" spans="1:24" x14ac:dyDescent="0.35">
      <c r="A338" s="31">
        <f>Auto_Roster!A338</f>
        <v>46159</v>
      </c>
      <c r="B338" s="31">
        <f>Auto_Roster!B338</f>
        <v>46153</v>
      </c>
      <c r="C338" s="26" t="str">
        <f>Auto_Roster!C338</f>
        <v/>
      </c>
      <c r="D338" s="26" t="str">
        <f>Auto_Roster!D338</f>
        <v/>
      </c>
      <c r="E338" s="26" t="str">
        <f>Auto_Roster!E338</f>
        <v/>
      </c>
      <c r="F338" s="26" t="str">
        <f>Auto_Roster!G338</f>
        <v/>
      </c>
      <c r="G338" s="33">
        <f>Auto_Roster!J338</f>
        <v>0</v>
      </c>
      <c r="H338" s="33">
        <f>IF(G338&gt;Settings!$B$19,G338-Settings!$B$19,0)</f>
        <v>0</v>
      </c>
      <c r="I338" s="33">
        <f t="shared" si="20"/>
        <v>0</v>
      </c>
      <c r="J338" s="33">
        <f>IF(Auto_Roster!M338="Y",G338,0)</f>
        <v>0</v>
      </c>
      <c r="K338" s="33">
        <f>IF(Auto_Roster!L338="Y",G338,0)</f>
        <v>0</v>
      </c>
      <c r="L338" s="26" t="str">
        <f>Auto_Roster!K338</f>
        <v>N</v>
      </c>
      <c r="M338" s="34">
        <f>IF(L338="Y",Settings!$B$16,0)</f>
        <v>0</v>
      </c>
      <c r="N338" s="33">
        <f t="shared" si="21"/>
        <v>0</v>
      </c>
      <c r="O338" s="34">
        <f>N338*Settings!$B$17</f>
        <v>0</v>
      </c>
      <c r="P338" s="34">
        <f>IFERROR(VLOOKUP(C338,Employees!$A$4:$E$103,5,FALSE),Settings!$B$18)</f>
        <v>100</v>
      </c>
      <c r="Q338" s="34">
        <f t="shared" si="22"/>
        <v>0</v>
      </c>
      <c r="R338" s="34">
        <f>H338*P338*Settings!$B$13</f>
        <v>0</v>
      </c>
      <c r="S338" s="34">
        <f>J338*P338*(Settings!$B$14-1)</f>
        <v>0</v>
      </c>
      <c r="T338" s="34">
        <f>K338*P338*(Settings!$B$15-1)</f>
        <v>0</v>
      </c>
      <c r="U338" s="34">
        <f t="shared" si="23"/>
        <v>0</v>
      </c>
      <c r="V338" s="26" t="str">
        <f>Auto_Roster!O338</f>
        <v>Pending</v>
      </c>
      <c r="W338" s="26" t="e">
        <f ca="1">_xludf.TEXTJOIN("; ",TRUE,Auto_Roster!N338,IF(G338&gt;Settings!$B$19,"Approval required &gt; standard hours",""),IF(AND(F338&lt;&gt;"Off",G338=0),"Missing claimed hours",""))</f>
        <v>#NAME?</v>
      </c>
      <c r="X338" s="7"/>
    </row>
    <row r="339" spans="1:24" x14ac:dyDescent="0.35">
      <c r="A339" s="31">
        <f>Auto_Roster!A339</f>
        <v>46159</v>
      </c>
      <c r="B339" s="31">
        <f>Auto_Roster!B339</f>
        <v>46153</v>
      </c>
      <c r="C339" s="26" t="str">
        <f>Auto_Roster!C339</f>
        <v/>
      </c>
      <c r="D339" s="26" t="str">
        <f>Auto_Roster!D339</f>
        <v/>
      </c>
      <c r="E339" s="26" t="str">
        <f>Auto_Roster!E339</f>
        <v/>
      </c>
      <c r="F339" s="26" t="str">
        <f>Auto_Roster!G339</f>
        <v/>
      </c>
      <c r="G339" s="33">
        <f>Auto_Roster!J339</f>
        <v>0</v>
      </c>
      <c r="H339" s="33">
        <f>IF(G339&gt;Settings!$B$19,G339-Settings!$B$19,0)</f>
        <v>0</v>
      </c>
      <c r="I339" s="33">
        <f t="shared" si="20"/>
        <v>0</v>
      </c>
      <c r="J339" s="33">
        <f>IF(Auto_Roster!M339="Y",G339,0)</f>
        <v>0</v>
      </c>
      <c r="K339" s="33">
        <f>IF(Auto_Roster!L339="Y",G339,0)</f>
        <v>0</v>
      </c>
      <c r="L339" s="26" t="str">
        <f>Auto_Roster!K339</f>
        <v>N</v>
      </c>
      <c r="M339" s="34">
        <f>IF(L339="Y",Settings!$B$16,0)</f>
        <v>0</v>
      </c>
      <c r="N339" s="33">
        <f t="shared" si="21"/>
        <v>0</v>
      </c>
      <c r="O339" s="34">
        <f>N339*Settings!$B$17</f>
        <v>0</v>
      </c>
      <c r="P339" s="34">
        <f>IFERROR(VLOOKUP(C339,Employees!$A$4:$E$103,5,FALSE),Settings!$B$18)</f>
        <v>100</v>
      </c>
      <c r="Q339" s="34">
        <f t="shared" si="22"/>
        <v>0</v>
      </c>
      <c r="R339" s="34">
        <f>H339*P339*Settings!$B$13</f>
        <v>0</v>
      </c>
      <c r="S339" s="34">
        <f>J339*P339*(Settings!$B$14-1)</f>
        <v>0</v>
      </c>
      <c r="T339" s="34">
        <f>K339*P339*(Settings!$B$15-1)</f>
        <v>0</v>
      </c>
      <c r="U339" s="34">
        <f t="shared" si="23"/>
        <v>0</v>
      </c>
      <c r="V339" s="26" t="str">
        <f>Auto_Roster!O339</f>
        <v>Pending</v>
      </c>
      <c r="W339" s="26" t="e">
        <f ca="1">_xludf.TEXTJOIN("; ",TRUE,Auto_Roster!N339,IF(G339&gt;Settings!$B$19,"Approval required &gt; standard hours",""),IF(AND(F339&lt;&gt;"Off",G339=0),"Missing claimed hours",""))</f>
        <v>#NAME?</v>
      </c>
      <c r="X339" s="7"/>
    </row>
    <row r="340" spans="1:24" x14ac:dyDescent="0.35">
      <c r="A340" s="31">
        <f>Auto_Roster!A340</f>
        <v>46159</v>
      </c>
      <c r="B340" s="31">
        <f>Auto_Roster!B340</f>
        <v>46153</v>
      </c>
      <c r="C340" s="26" t="str">
        <f>Auto_Roster!C340</f>
        <v/>
      </c>
      <c r="D340" s="26" t="str">
        <f>Auto_Roster!D340</f>
        <v/>
      </c>
      <c r="E340" s="26" t="str">
        <f>Auto_Roster!E340</f>
        <v/>
      </c>
      <c r="F340" s="26" t="str">
        <f>Auto_Roster!G340</f>
        <v/>
      </c>
      <c r="G340" s="33">
        <f>Auto_Roster!J340</f>
        <v>0</v>
      </c>
      <c r="H340" s="33">
        <f>IF(G340&gt;Settings!$B$19,G340-Settings!$B$19,0)</f>
        <v>0</v>
      </c>
      <c r="I340" s="33">
        <f t="shared" si="20"/>
        <v>0</v>
      </c>
      <c r="J340" s="33">
        <f>IF(Auto_Roster!M340="Y",G340,0)</f>
        <v>0</v>
      </c>
      <c r="K340" s="33">
        <f>IF(Auto_Roster!L340="Y",G340,0)</f>
        <v>0</v>
      </c>
      <c r="L340" s="26" t="str">
        <f>Auto_Roster!K340</f>
        <v>N</v>
      </c>
      <c r="M340" s="34">
        <f>IF(L340="Y",Settings!$B$16,0)</f>
        <v>0</v>
      </c>
      <c r="N340" s="33">
        <f t="shared" si="21"/>
        <v>0</v>
      </c>
      <c r="O340" s="34">
        <f>N340*Settings!$B$17</f>
        <v>0</v>
      </c>
      <c r="P340" s="34">
        <f>IFERROR(VLOOKUP(C340,Employees!$A$4:$E$103,5,FALSE),Settings!$B$18)</f>
        <v>100</v>
      </c>
      <c r="Q340" s="34">
        <f t="shared" si="22"/>
        <v>0</v>
      </c>
      <c r="R340" s="34">
        <f>H340*P340*Settings!$B$13</f>
        <v>0</v>
      </c>
      <c r="S340" s="34">
        <f>J340*P340*(Settings!$B$14-1)</f>
        <v>0</v>
      </c>
      <c r="T340" s="34">
        <f>K340*P340*(Settings!$B$15-1)</f>
        <v>0</v>
      </c>
      <c r="U340" s="34">
        <f t="shared" si="23"/>
        <v>0</v>
      </c>
      <c r="V340" s="26" t="str">
        <f>Auto_Roster!O340</f>
        <v>Pending</v>
      </c>
      <c r="W340" s="26" t="e">
        <f ca="1">_xludf.TEXTJOIN("; ",TRUE,Auto_Roster!N340,IF(G340&gt;Settings!$B$19,"Approval required &gt; standard hours",""),IF(AND(F340&lt;&gt;"Off",G340=0),"Missing claimed hours",""))</f>
        <v>#NAME?</v>
      </c>
      <c r="X340" s="7"/>
    </row>
    <row r="341" spans="1:24" x14ac:dyDescent="0.35">
      <c r="A341" s="31">
        <f>Auto_Roster!A341</f>
        <v>46159</v>
      </c>
      <c r="B341" s="31">
        <f>Auto_Roster!B341</f>
        <v>46153</v>
      </c>
      <c r="C341" s="26" t="str">
        <f>Auto_Roster!C341</f>
        <v/>
      </c>
      <c r="D341" s="26" t="str">
        <f>Auto_Roster!D341</f>
        <v/>
      </c>
      <c r="E341" s="26" t="str">
        <f>Auto_Roster!E341</f>
        <v/>
      </c>
      <c r="F341" s="26" t="str">
        <f>Auto_Roster!G341</f>
        <v/>
      </c>
      <c r="G341" s="33">
        <f>Auto_Roster!J341</f>
        <v>0</v>
      </c>
      <c r="H341" s="33">
        <f>IF(G341&gt;Settings!$B$19,G341-Settings!$B$19,0)</f>
        <v>0</v>
      </c>
      <c r="I341" s="33">
        <f t="shared" si="20"/>
        <v>0</v>
      </c>
      <c r="J341" s="33">
        <f>IF(Auto_Roster!M341="Y",G341,0)</f>
        <v>0</v>
      </c>
      <c r="K341" s="33">
        <f>IF(Auto_Roster!L341="Y",G341,0)</f>
        <v>0</v>
      </c>
      <c r="L341" s="26" t="str">
        <f>Auto_Roster!K341</f>
        <v>N</v>
      </c>
      <c r="M341" s="34">
        <f>IF(L341="Y",Settings!$B$16,0)</f>
        <v>0</v>
      </c>
      <c r="N341" s="33">
        <f t="shared" si="21"/>
        <v>0</v>
      </c>
      <c r="O341" s="34">
        <f>N341*Settings!$B$17</f>
        <v>0</v>
      </c>
      <c r="P341" s="34">
        <f>IFERROR(VLOOKUP(C341,Employees!$A$4:$E$103,5,FALSE),Settings!$B$18)</f>
        <v>100</v>
      </c>
      <c r="Q341" s="34">
        <f t="shared" si="22"/>
        <v>0</v>
      </c>
      <c r="R341" s="34">
        <f>H341*P341*Settings!$B$13</f>
        <v>0</v>
      </c>
      <c r="S341" s="34">
        <f>J341*P341*(Settings!$B$14-1)</f>
        <v>0</v>
      </c>
      <c r="T341" s="34">
        <f>K341*P341*(Settings!$B$15-1)</f>
        <v>0</v>
      </c>
      <c r="U341" s="34">
        <f t="shared" si="23"/>
        <v>0</v>
      </c>
      <c r="V341" s="26" t="str">
        <f>Auto_Roster!O341</f>
        <v>Pending</v>
      </c>
      <c r="W341" s="26" t="e">
        <f ca="1">_xludf.TEXTJOIN("; ",TRUE,Auto_Roster!N341,IF(G341&gt;Settings!$B$19,"Approval required &gt; standard hours",""),IF(AND(F341&lt;&gt;"Off",G341=0),"Missing claimed hours",""))</f>
        <v>#NAME?</v>
      </c>
      <c r="X341" s="7"/>
    </row>
    <row r="342" spans="1:24" x14ac:dyDescent="0.35">
      <c r="A342" s="31">
        <f>Auto_Roster!A342</f>
        <v>46159</v>
      </c>
      <c r="B342" s="31">
        <f>Auto_Roster!B342</f>
        <v>46153</v>
      </c>
      <c r="C342" s="26" t="str">
        <f>Auto_Roster!C342</f>
        <v/>
      </c>
      <c r="D342" s="26" t="str">
        <f>Auto_Roster!D342</f>
        <v/>
      </c>
      <c r="E342" s="26" t="str">
        <f>Auto_Roster!E342</f>
        <v/>
      </c>
      <c r="F342" s="26" t="str">
        <f>Auto_Roster!G342</f>
        <v/>
      </c>
      <c r="G342" s="33">
        <f>Auto_Roster!J342</f>
        <v>0</v>
      </c>
      <c r="H342" s="33">
        <f>IF(G342&gt;Settings!$B$19,G342-Settings!$B$19,0)</f>
        <v>0</v>
      </c>
      <c r="I342" s="33">
        <f t="shared" si="20"/>
        <v>0</v>
      </c>
      <c r="J342" s="33">
        <f>IF(Auto_Roster!M342="Y",G342,0)</f>
        <v>0</v>
      </c>
      <c r="K342" s="33">
        <f>IF(Auto_Roster!L342="Y",G342,0)</f>
        <v>0</v>
      </c>
      <c r="L342" s="26" t="str">
        <f>Auto_Roster!K342</f>
        <v>N</v>
      </c>
      <c r="M342" s="34">
        <f>IF(L342="Y",Settings!$B$16,0)</f>
        <v>0</v>
      </c>
      <c r="N342" s="33">
        <f t="shared" si="21"/>
        <v>0</v>
      </c>
      <c r="O342" s="34">
        <f>N342*Settings!$B$17</f>
        <v>0</v>
      </c>
      <c r="P342" s="34">
        <f>IFERROR(VLOOKUP(C342,Employees!$A$4:$E$103,5,FALSE),Settings!$B$18)</f>
        <v>100</v>
      </c>
      <c r="Q342" s="34">
        <f t="shared" si="22"/>
        <v>0</v>
      </c>
      <c r="R342" s="34">
        <f>H342*P342*Settings!$B$13</f>
        <v>0</v>
      </c>
      <c r="S342" s="34">
        <f>J342*P342*(Settings!$B$14-1)</f>
        <v>0</v>
      </c>
      <c r="T342" s="34">
        <f>K342*P342*(Settings!$B$15-1)</f>
        <v>0</v>
      </c>
      <c r="U342" s="34">
        <f t="shared" si="23"/>
        <v>0</v>
      </c>
      <c r="V342" s="26" t="str">
        <f>Auto_Roster!O342</f>
        <v>Pending</v>
      </c>
      <c r="W342" s="26" t="e">
        <f ca="1">_xludf.TEXTJOIN("; ",TRUE,Auto_Roster!N342,IF(G342&gt;Settings!$B$19,"Approval required &gt; standard hours",""),IF(AND(F342&lt;&gt;"Off",G342=0),"Missing claimed hours",""))</f>
        <v>#NAME?</v>
      </c>
      <c r="X342" s="7"/>
    </row>
    <row r="343" spans="1:24" x14ac:dyDescent="0.35">
      <c r="A343" s="31">
        <f>Auto_Roster!A343</f>
        <v>46159</v>
      </c>
      <c r="B343" s="31">
        <f>Auto_Roster!B343</f>
        <v>46153</v>
      </c>
      <c r="C343" s="26" t="str">
        <f>Auto_Roster!C343</f>
        <v/>
      </c>
      <c r="D343" s="26" t="str">
        <f>Auto_Roster!D343</f>
        <v/>
      </c>
      <c r="E343" s="26" t="str">
        <f>Auto_Roster!E343</f>
        <v/>
      </c>
      <c r="F343" s="26" t="str">
        <f>Auto_Roster!G343</f>
        <v/>
      </c>
      <c r="G343" s="33">
        <f>Auto_Roster!J343</f>
        <v>0</v>
      </c>
      <c r="H343" s="33">
        <f>IF(G343&gt;Settings!$B$19,G343-Settings!$B$19,0)</f>
        <v>0</v>
      </c>
      <c r="I343" s="33">
        <f t="shared" si="20"/>
        <v>0</v>
      </c>
      <c r="J343" s="33">
        <f>IF(Auto_Roster!M343="Y",G343,0)</f>
        <v>0</v>
      </c>
      <c r="K343" s="33">
        <f>IF(Auto_Roster!L343="Y",G343,0)</f>
        <v>0</v>
      </c>
      <c r="L343" s="26" t="str">
        <f>Auto_Roster!K343</f>
        <v>N</v>
      </c>
      <c r="M343" s="34">
        <f>IF(L343="Y",Settings!$B$16,0)</f>
        <v>0</v>
      </c>
      <c r="N343" s="33">
        <f t="shared" si="21"/>
        <v>0</v>
      </c>
      <c r="O343" s="34">
        <f>N343*Settings!$B$17</f>
        <v>0</v>
      </c>
      <c r="P343" s="34">
        <f>IFERROR(VLOOKUP(C343,Employees!$A$4:$E$103,5,FALSE),Settings!$B$18)</f>
        <v>100</v>
      </c>
      <c r="Q343" s="34">
        <f t="shared" si="22"/>
        <v>0</v>
      </c>
      <c r="R343" s="34">
        <f>H343*P343*Settings!$B$13</f>
        <v>0</v>
      </c>
      <c r="S343" s="34">
        <f>J343*P343*(Settings!$B$14-1)</f>
        <v>0</v>
      </c>
      <c r="T343" s="34">
        <f>K343*P343*(Settings!$B$15-1)</f>
        <v>0</v>
      </c>
      <c r="U343" s="34">
        <f t="shared" si="23"/>
        <v>0</v>
      </c>
      <c r="V343" s="26" t="str">
        <f>Auto_Roster!O343</f>
        <v>Pending</v>
      </c>
      <c r="W343" s="26" t="e">
        <f ca="1">_xludf.TEXTJOIN("; ",TRUE,Auto_Roster!N343,IF(G343&gt;Settings!$B$19,"Approval required &gt; standard hours",""),IF(AND(F343&lt;&gt;"Off",G343=0),"Missing claimed hours",""))</f>
        <v>#NAME?</v>
      </c>
      <c r="X343" s="7"/>
    </row>
    <row r="344" spans="1:24" x14ac:dyDescent="0.35">
      <c r="A344" s="31">
        <f>Auto_Roster!A344</f>
        <v>46160</v>
      </c>
      <c r="B344" s="31">
        <f>Auto_Roster!B344</f>
        <v>46160</v>
      </c>
      <c r="C344" s="26" t="str">
        <f>Auto_Roster!C344</f>
        <v>E001</v>
      </c>
      <c r="D344" s="26" t="str">
        <f>Auto_Roster!D344</f>
        <v>Musiwa Khavalani</v>
      </c>
      <c r="E344" s="26">
        <f>Auto_Roster!E344</f>
        <v>0</v>
      </c>
      <c r="F344" s="26" t="e">
        <f>Auto_Roster!G344</f>
        <v>#N/A</v>
      </c>
      <c r="G344" s="33" t="e">
        <f>Auto_Roster!J344</f>
        <v>#N/A</v>
      </c>
      <c r="H344" s="33" t="e">
        <f>IF(G344&gt;Settings!$B$19,G344-Settings!$B$19,0)</f>
        <v>#N/A</v>
      </c>
      <c r="I344" s="33" t="e">
        <f t="shared" si="20"/>
        <v>#N/A</v>
      </c>
      <c r="J344" s="33">
        <f>IF(Auto_Roster!M344="Y",G344,0)</f>
        <v>0</v>
      </c>
      <c r="K344" s="33">
        <f>IF(Auto_Roster!L344="Y",G344,0)</f>
        <v>0</v>
      </c>
      <c r="L344" s="26" t="str">
        <f>Auto_Roster!K344</f>
        <v>N</v>
      </c>
      <c r="M344" s="34">
        <f>IF(L344="Y",Settings!$B$16,0)</f>
        <v>0</v>
      </c>
      <c r="N344" s="33" t="e">
        <f t="shared" si="21"/>
        <v>#N/A</v>
      </c>
      <c r="O344" s="34" t="e">
        <f>N344*Settings!$B$17</f>
        <v>#N/A</v>
      </c>
      <c r="P344" s="34">
        <f>IFERROR(VLOOKUP(C344,Employees!$A$4:$E$103,5,FALSE),Settings!$B$18)</f>
        <v>100</v>
      </c>
      <c r="Q344" s="34" t="e">
        <f t="shared" si="22"/>
        <v>#N/A</v>
      </c>
      <c r="R344" s="34" t="e">
        <f>H344*P344*Settings!$B$13</f>
        <v>#N/A</v>
      </c>
      <c r="S344" s="34">
        <f>J344*P344*(Settings!$B$14-1)</f>
        <v>0</v>
      </c>
      <c r="T344" s="34">
        <f>K344*P344*(Settings!$B$15-1)</f>
        <v>0</v>
      </c>
      <c r="U344" s="34" t="e">
        <f t="shared" si="23"/>
        <v>#N/A</v>
      </c>
      <c r="V344" s="26" t="str">
        <f>Auto_Roster!O344</f>
        <v>Pending</v>
      </c>
      <c r="W344" s="26" t="e">
        <f ca="1">_xludf.TEXTJOIN("; ",TRUE,Auto_Roster!N344,IF(G344&gt;Settings!$B$19,"Approval required &gt; standard hours",""),IF(AND(F344&lt;&gt;"Off",G344=0),"Missing claimed hours",""))</f>
        <v>#NAME?</v>
      </c>
      <c r="X344" s="7"/>
    </row>
    <row r="345" spans="1:24" x14ac:dyDescent="0.35">
      <c r="A345" s="31">
        <f>Auto_Roster!A345</f>
        <v>46160</v>
      </c>
      <c r="B345" s="31">
        <f>Auto_Roster!B345</f>
        <v>46160</v>
      </c>
      <c r="C345" s="26" t="str">
        <f>Auto_Roster!C345</f>
        <v>E002</v>
      </c>
      <c r="D345" s="26" t="str">
        <f>Auto_Roster!D345</f>
        <v>Mpho  Nembemhia</v>
      </c>
      <c r="E345" s="26" t="str">
        <f>Auto_Roster!E345</f>
        <v>B</v>
      </c>
      <c r="F345" s="26" t="str">
        <f>Auto_Roster!G345</f>
        <v>Day</v>
      </c>
      <c r="G345" s="33">
        <f>Auto_Roster!J345</f>
        <v>8</v>
      </c>
      <c r="H345" s="33">
        <f>IF(G345&gt;Settings!$B$19,G345-Settings!$B$19,0)</f>
        <v>0</v>
      </c>
      <c r="I345" s="33">
        <f t="shared" si="20"/>
        <v>8</v>
      </c>
      <c r="J345" s="33">
        <f>IF(Auto_Roster!M345="Y",G345,0)</f>
        <v>0</v>
      </c>
      <c r="K345" s="33">
        <f>IF(Auto_Roster!L345="Y",G345,0)</f>
        <v>0</v>
      </c>
      <c r="L345" s="26" t="str">
        <f>Auto_Roster!K345</f>
        <v>N</v>
      </c>
      <c r="M345" s="34">
        <f>IF(L345="Y",Settings!$B$16,0)</f>
        <v>0</v>
      </c>
      <c r="N345" s="33">
        <f t="shared" si="21"/>
        <v>0</v>
      </c>
      <c r="O345" s="34">
        <f>N345*Settings!$B$17</f>
        <v>0</v>
      </c>
      <c r="P345" s="34">
        <f>IFERROR(VLOOKUP(C345,Employees!$A$4:$E$103,5,FALSE),Settings!$B$18)</f>
        <v>100</v>
      </c>
      <c r="Q345" s="34">
        <f t="shared" si="22"/>
        <v>800</v>
      </c>
      <c r="R345" s="34">
        <f>H345*P345*Settings!$B$13</f>
        <v>0</v>
      </c>
      <c r="S345" s="34">
        <f>J345*P345*(Settings!$B$14-1)</f>
        <v>0</v>
      </c>
      <c r="T345" s="34">
        <f>K345*P345*(Settings!$B$15-1)</f>
        <v>0</v>
      </c>
      <c r="U345" s="34">
        <f t="shared" si="23"/>
        <v>800</v>
      </c>
      <c r="V345" s="26" t="str">
        <f>Auto_Roster!O345</f>
        <v>Pending</v>
      </c>
      <c r="W345" s="26" t="e">
        <f ca="1">_xludf.TEXTJOIN("; ",TRUE,Auto_Roster!N345,IF(G345&gt;Settings!$B$19,"Approval required &gt; standard hours",""),IF(AND(F345&lt;&gt;"Off",G345=0),"Missing claimed hours",""))</f>
        <v>#NAME?</v>
      </c>
      <c r="X345" s="7"/>
    </row>
    <row r="346" spans="1:24" x14ac:dyDescent="0.35">
      <c r="A346" s="31">
        <f>Auto_Roster!A346</f>
        <v>46160</v>
      </c>
      <c r="B346" s="31">
        <f>Auto_Roster!B346</f>
        <v>46160</v>
      </c>
      <c r="C346" s="26" t="str">
        <f>Auto_Roster!C346</f>
        <v>E003</v>
      </c>
      <c r="D346" s="26" t="str">
        <f>Auto_Roster!D346</f>
        <v>Dimpho Makhafola</v>
      </c>
      <c r="E346" s="26" t="str">
        <f>Auto_Roster!E346</f>
        <v>C</v>
      </c>
      <c r="F346" s="26" t="str">
        <f>Auto_Roster!G346</f>
        <v>Off</v>
      </c>
      <c r="G346" s="33">
        <f>Auto_Roster!J346</f>
        <v>0</v>
      </c>
      <c r="H346" s="33">
        <f>IF(G346&gt;Settings!$B$19,G346-Settings!$B$19,0)</f>
        <v>0</v>
      </c>
      <c r="I346" s="33">
        <f t="shared" si="20"/>
        <v>0</v>
      </c>
      <c r="J346" s="33">
        <f>IF(Auto_Roster!M346="Y",G346,0)</f>
        <v>0</v>
      </c>
      <c r="K346" s="33">
        <f>IF(Auto_Roster!L346="Y",G346,0)</f>
        <v>0</v>
      </c>
      <c r="L346" s="26" t="str">
        <f>Auto_Roster!K346</f>
        <v>N</v>
      </c>
      <c r="M346" s="34">
        <f>IF(L346="Y",Settings!$B$16,0)</f>
        <v>0</v>
      </c>
      <c r="N346" s="33">
        <f t="shared" si="21"/>
        <v>0</v>
      </c>
      <c r="O346" s="34">
        <f>N346*Settings!$B$17</f>
        <v>0</v>
      </c>
      <c r="P346" s="34">
        <f>IFERROR(VLOOKUP(C346,Employees!$A$4:$E$103,5,FALSE),Settings!$B$18)</f>
        <v>100</v>
      </c>
      <c r="Q346" s="34">
        <f t="shared" si="22"/>
        <v>0</v>
      </c>
      <c r="R346" s="34">
        <f>H346*P346*Settings!$B$13</f>
        <v>0</v>
      </c>
      <c r="S346" s="34">
        <f>J346*P346*(Settings!$B$14-1)</f>
        <v>0</v>
      </c>
      <c r="T346" s="34">
        <f>K346*P346*(Settings!$B$15-1)</f>
        <v>0</v>
      </c>
      <c r="U346" s="34">
        <f t="shared" si="23"/>
        <v>0</v>
      </c>
      <c r="V346" s="26" t="str">
        <f>Auto_Roster!O346</f>
        <v>Pending</v>
      </c>
      <c r="W346" s="26" t="e">
        <f ca="1">_xludf.TEXTJOIN("; ",TRUE,Auto_Roster!N346,IF(G346&gt;Settings!$B$19,"Approval required &gt; standard hours",""),IF(AND(F346&lt;&gt;"Off",G346=0),"Missing claimed hours",""))</f>
        <v>#NAME?</v>
      </c>
      <c r="X346" s="7"/>
    </row>
    <row r="347" spans="1:24" x14ac:dyDescent="0.35">
      <c r="A347" s="31">
        <f>Auto_Roster!A347</f>
        <v>46160</v>
      </c>
      <c r="B347" s="31">
        <f>Auto_Roster!B347</f>
        <v>46160</v>
      </c>
      <c r="C347" s="26" t="str">
        <f>Auto_Roster!C347</f>
        <v>E004</v>
      </c>
      <c r="D347" s="26" t="str">
        <f>Auto_Roster!D347</f>
        <v>Bashii Fall</v>
      </c>
      <c r="E347" s="26" t="str">
        <f>Auto_Roster!E347</f>
        <v>D</v>
      </c>
      <c r="F347" s="26" t="str">
        <f>Auto_Roster!G347</f>
        <v>Night</v>
      </c>
      <c r="G347" s="33">
        <f>Auto_Roster!J347</f>
        <v>8</v>
      </c>
      <c r="H347" s="33">
        <f>IF(G347&gt;Settings!$B$19,G347-Settings!$B$19,0)</f>
        <v>0</v>
      </c>
      <c r="I347" s="33">
        <f t="shared" si="20"/>
        <v>8</v>
      </c>
      <c r="J347" s="33">
        <f>IF(Auto_Roster!M347="Y",G347,0)</f>
        <v>0</v>
      </c>
      <c r="K347" s="33">
        <f>IF(Auto_Roster!L347="Y",G347,0)</f>
        <v>0</v>
      </c>
      <c r="L347" s="26" t="str">
        <f>Auto_Roster!K347</f>
        <v>N</v>
      </c>
      <c r="M347" s="34">
        <f>IF(L347="Y",Settings!$B$16,0)</f>
        <v>0</v>
      </c>
      <c r="N347" s="33">
        <f t="shared" si="21"/>
        <v>8</v>
      </c>
      <c r="O347" s="34">
        <f>N347*Settings!$B$17</f>
        <v>0</v>
      </c>
      <c r="P347" s="34">
        <f>IFERROR(VLOOKUP(C347,Employees!$A$4:$E$103,5,FALSE),Settings!$B$18)</f>
        <v>100</v>
      </c>
      <c r="Q347" s="34">
        <f t="shared" si="22"/>
        <v>800</v>
      </c>
      <c r="R347" s="34">
        <f>H347*P347*Settings!$B$13</f>
        <v>0</v>
      </c>
      <c r="S347" s="34">
        <f>J347*P347*(Settings!$B$14-1)</f>
        <v>0</v>
      </c>
      <c r="T347" s="34">
        <f>K347*P347*(Settings!$B$15-1)</f>
        <v>0</v>
      </c>
      <c r="U347" s="34">
        <f t="shared" si="23"/>
        <v>800</v>
      </c>
      <c r="V347" s="26" t="str">
        <f>Auto_Roster!O347</f>
        <v>Pending</v>
      </c>
      <c r="W347" s="26" t="e">
        <f ca="1">_xludf.TEXTJOIN("; ",TRUE,Auto_Roster!N347,IF(G347&gt;Settings!$B$19,"Approval required &gt; standard hours",""),IF(AND(F347&lt;&gt;"Off",G347=0),"Missing claimed hours",""))</f>
        <v>#NAME?</v>
      </c>
      <c r="X347" s="7"/>
    </row>
    <row r="348" spans="1:24" x14ac:dyDescent="0.35">
      <c r="A348" s="31">
        <f>Auto_Roster!A348</f>
        <v>46160</v>
      </c>
      <c r="B348" s="31">
        <f>Auto_Roster!B348</f>
        <v>46160</v>
      </c>
      <c r="C348" s="26" t="str">
        <f>Auto_Roster!C348</f>
        <v>E005</v>
      </c>
      <c r="D348" s="26" t="str">
        <f>Auto_Roster!D348</f>
        <v>Lesego Aphane</v>
      </c>
      <c r="E348" s="26" t="str">
        <f>Auto_Roster!E348</f>
        <v>A</v>
      </c>
      <c r="F348" s="26" t="str">
        <f>Auto_Roster!G348</f>
        <v>Evening</v>
      </c>
      <c r="G348" s="33">
        <f>Auto_Roster!J348</f>
        <v>8</v>
      </c>
      <c r="H348" s="33">
        <f>IF(G348&gt;Settings!$B$19,G348-Settings!$B$19,0)</f>
        <v>0</v>
      </c>
      <c r="I348" s="33">
        <f t="shared" si="20"/>
        <v>8</v>
      </c>
      <c r="J348" s="33">
        <f>IF(Auto_Roster!M348="Y",G348,0)</f>
        <v>0</v>
      </c>
      <c r="K348" s="33">
        <f>IF(Auto_Roster!L348="Y",G348,0)</f>
        <v>0</v>
      </c>
      <c r="L348" s="26" t="str">
        <f>Auto_Roster!K348</f>
        <v>N</v>
      </c>
      <c r="M348" s="34">
        <f>IF(L348="Y",Settings!$B$16,0)</f>
        <v>0</v>
      </c>
      <c r="N348" s="33">
        <f t="shared" si="21"/>
        <v>0</v>
      </c>
      <c r="O348" s="34">
        <f>N348*Settings!$B$17</f>
        <v>0</v>
      </c>
      <c r="P348" s="34">
        <f>IFERROR(VLOOKUP(C348,Employees!$A$4:$E$103,5,FALSE),Settings!$B$18)</f>
        <v>100</v>
      </c>
      <c r="Q348" s="34">
        <f t="shared" si="22"/>
        <v>800</v>
      </c>
      <c r="R348" s="34">
        <f>H348*P348*Settings!$B$13</f>
        <v>0</v>
      </c>
      <c r="S348" s="34">
        <f>J348*P348*(Settings!$B$14-1)</f>
        <v>0</v>
      </c>
      <c r="T348" s="34">
        <f>K348*P348*(Settings!$B$15-1)</f>
        <v>0</v>
      </c>
      <c r="U348" s="34">
        <f t="shared" si="23"/>
        <v>800</v>
      </c>
      <c r="V348" s="26" t="str">
        <f>Auto_Roster!O348</f>
        <v>Pending</v>
      </c>
      <c r="W348" s="26" t="e">
        <f ca="1">_xludf.TEXTJOIN("; ",TRUE,Auto_Roster!N348,IF(G348&gt;Settings!$B$19,"Approval required &gt; standard hours",""),IF(AND(F348&lt;&gt;"Off",G348=0),"Missing claimed hours",""))</f>
        <v>#NAME?</v>
      </c>
      <c r="X348" s="7"/>
    </row>
    <row r="349" spans="1:24" x14ac:dyDescent="0.35">
      <c r="A349" s="31">
        <f>Auto_Roster!A349</f>
        <v>46160</v>
      </c>
      <c r="B349" s="31">
        <f>Auto_Roster!B349</f>
        <v>46160</v>
      </c>
      <c r="C349" s="26" t="str">
        <f>Auto_Roster!C349</f>
        <v>E006</v>
      </c>
      <c r="D349" s="26" t="str">
        <f>Auto_Roster!D349</f>
        <v>Nhalnahla</v>
      </c>
      <c r="E349" s="26" t="str">
        <f>Auto_Roster!E349</f>
        <v>B</v>
      </c>
      <c r="F349" s="26" t="str">
        <f>Auto_Roster!G349</f>
        <v>Day</v>
      </c>
      <c r="G349" s="33">
        <f>Auto_Roster!J349</f>
        <v>8</v>
      </c>
      <c r="H349" s="33">
        <f>IF(G349&gt;Settings!$B$19,G349-Settings!$B$19,0)</f>
        <v>0</v>
      </c>
      <c r="I349" s="33">
        <f t="shared" si="20"/>
        <v>8</v>
      </c>
      <c r="J349" s="33">
        <f>IF(Auto_Roster!M349="Y",G349,0)</f>
        <v>0</v>
      </c>
      <c r="K349" s="33">
        <f>IF(Auto_Roster!L349="Y",G349,0)</f>
        <v>0</v>
      </c>
      <c r="L349" s="26" t="str">
        <f>Auto_Roster!K349</f>
        <v>N</v>
      </c>
      <c r="M349" s="34">
        <f>IF(L349="Y",Settings!$B$16,0)</f>
        <v>0</v>
      </c>
      <c r="N349" s="33">
        <f t="shared" si="21"/>
        <v>0</v>
      </c>
      <c r="O349" s="34">
        <f>N349*Settings!$B$17</f>
        <v>0</v>
      </c>
      <c r="P349" s="34">
        <f>IFERROR(VLOOKUP(C349,Employees!$A$4:$E$103,5,FALSE),Settings!$B$18)</f>
        <v>100</v>
      </c>
      <c r="Q349" s="34">
        <f t="shared" si="22"/>
        <v>800</v>
      </c>
      <c r="R349" s="34">
        <f>H349*P349*Settings!$B$13</f>
        <v>0</v>
      </c>
      <c r="S349" s="34">
        <f>J349*P349*(Settings!$B$14-1)</f>
        <v>0</v>
      </c>
      <c r="T349" s="34">
        <f>K349*P349*(Settings!$B$15-1)</f>
        <v>0</v>
      </c>
      <c r="U349" s="34">
        <f t="shared" si="23"/>
        <v>800</v>
      </c>
      <c r="V349" s="26" t="str">
        <f>Auto_Roster!O349</f>
        <v>Pending</v>
      </c>
      <c r="W349" s="26" t="e">
        <f ca="1">_xludf.TEXTJOIN("; ",TRUE,Auto_Roster!N349,IF(G349&gt;Settings!$B$19,"Approval required &gt; standard hours",""),IF(AND(F349&lt;&gt;"Off",G349=0),"Missing claimed hours",""))</f>
        <v>#NAME?</v>
      </c>
      <c r="X349" s="7"/>
    </row>
    <row r="350" spans="1:24" x14ac:dyDescent="0.35">
      <c r="A350" s="31">
        <f>Auto_Roster!A350</f>
        <v>46160</v>
      </c>
      <c r="B350" s="31">
        <f>Auto_Roster!B350</f>
        <v>46160</v>
      </c>
      <c r="C350" s="26" t="str">
        <f>Auto_Roster!C350</f>
        <v>E007</v>
      </c>
      <c r="D350" s="26" t="str">
        <f>Auto_Roster!D350</f>
        <v>Joe</v>
      </c>
      <c r="E350" s="26" t="str">
        <f>Auto_Roster!E350</f>
        <v>C</v>
      </c>
      <c r="F350" s="26" t="str">
        <f>Auto_Roster!G350</f>
        <v>Off</v>
      </c>
      <c r="G350" s="33">
        <f>Auto_Roster!J350</f>
        <v>0</v>
      </c>
      <c r="H350" s="33">
        <f>IF(G350&gt;Settings!$B$19,G350-Settings!$B$19,0)</f>
        <v>0</v>
      </c>
      <c r="I350" s="33">
        <f t="shared" si="20"/>
        <v>0</v>
      </c>
      <c r="J350" s="33">
        <f>IF(Auto_Roster!M350="Y",G350,0)</f>
        <v>0</v>
      </c>
      <c r="K350" s="33">
        <f>IF(Auto_Roster!L350="Y",G350,0)</f>
        <v>0</v>
      </c>
      <c r="L350" s="26" t="str">
        <f>Auto_Roster!K350</f>
        <v>N</v>
      </c>
      <c r="M350" s="34">
        <f>IF(L350="Y",Settings!$B$16,0)</f>
        <v>0</v>
      </c>
      <c r="N350" s="33">
        <f t="shared" si="21"/>
        <v>0</v>
      </c>
      <c r="O350" s="34">
        <f>N350*Settings!$B$17</f>
        <v>0</v>
      </c>
      <c r="P350" s="34">
        <f>IFERROR(VLOOKUP(C350,Employees!$A$4:$E$103,5,FALSE),Settings!$B$18)</f>
        <v>100</v>
      </c>
      <c r="Q350" s="34">
        <f t="shared" si="22"/>
        <v>0</v>
      </c>
      <c r="R350" s="34">
        <f>H350*P350*Settings!$B$13</f>
        <v>0</v>
      </c>
      <c r="S350" s="34">
        <f>J350*P350*(Settings!$B$14-1)</f>
        <v>0</v>
      </c>
      <c r="T350" s="34">
        <f>K350*P350*(Settings!$B$15-1)</f>
        <v>0</v>
      </c>
      <c r="U350" s="34">
        <f t="shared" si="23"/>
        <v>0</v>
      </c>
      <c r="V350" s="26" t="str">
        <f>Auto_Roster!O350</f>
        <v>Pending</v>
      </c>
      <c r="W350" s="26" t="e">
        <f ca="1">_xludf.TEXTJOIN("; ",TRUE,Auto_Roster!N350,IF(G350&gt;Settings!$B$19,"Approval required &gt; standard hours",""),IF(AND(F350&lt;&gt;"Off",G350=0),"Missing claimed hours",""))</f>
        <v>#NAME?</v>
      </c>
      <c r="X350" s="7"/>
    </row>
    <row r="351" spans="1:24" x14ac:dyDescent="0.35">
      <c r="A351" s="31">
        <f>Auto_Roster!A351</f>
        <v>46160</v>
      </c>
      <c r="B351" s="31">
        <f>Auto_Roster!B351</f>
        <v>46160</v>
      </c>
      <c r="C351" s="26" t="str">
        <f>Auto_Roster!C351</f>
        <v>E008</v>
      </c>
      <c r="D351" s="26" t="str">
        <f>Auto_Roster!D351</f>
        <v>Tim</v>
      </c>
      <c r="E351" s="26" t="str">
        <f>Auto_Roster!E351</f>
        <v>D</v>
      </c>
      <c r="F351" s="26" t="str">
        <f>Auto_Roster!G351</f>
        <v>Night</v>
      </c>
      <c r="G351" s="33">
        <f>Auto_Roster!J351</f>
        <v>8</v>
      </c>
      <c r="H351" s="33">
        <f>IF(G351&gt;Settings!$B$19,G351-Settings!$B$19,0)</f>
        <v>0</v>
      </c>
      <c r="I351" s="33">
        <f t="shared" si="20"/>
        <v>8</v>
      </c>
      <c r="J351" s="33">
        <f>IF(Auto_Roster!M351="Y",G351,0)</f>
        <v>0</v>
      </c>
      <c r="K351" s="33">
        <f>IF(Auto_Roster!L351="Y",G351,0)</f>
        <v>0</v>
      </c>
      <c r="L351" s="26" t="str">
        <f>Auto_Roster!K351</f>
        <v>N</v>
      </c>
      <c r="M351" s="34">
        <f>IF(L351="Y",Settings!$B$16,0)</f>
        <v>0</v>
      </c>
      <c r="N351" s="33">
        <f t="shared" si="21"/>
        <v>8</v>
      </c>
      <c r="O351" s="34">
        <f>N351*Settings!$B$17</f>
        <v>0</v>
      </c>
      <c r="P351" s="34">
        <f>IFERROR(VLOOKUP(C351,Employees!$A$4:$E$103,5,FALSE),Settings!$B$18)</f>
        <v>100</v>
      </c>
      <c r="Q351" s="34">
        <f t="shared" si="22"/>
        <v>800</v>
      </c>
      <c r="R351" s="34">
        <f>H351*P351*Settings!$B$13</f>
        <v>0</v>
      </c>
      <c r="S351" s="34">
        <f>J351*P351*(Settings!$B$14-1)</f>
        <v>0</v>
      </c>
      <c r="T351" s="34">
        <f>K351*P351*(Settings!$B$15-1)</f>
        <v>0</v>
      </c>
      <c r="U351" s="34">
        <f t="shared" si="23"/>
        <v>800</v>
      </c>
      <c r="V351" s="26" t="str">
        <f>Auto_Roster!O351</f>
        <v>Pending</v>
      </c>
      <c r="W351" s="26" t="e">
        <f ca="1">_xludf.TEXTJOIN("; ",TRUE,Auto_Roster!N351,IF(G351&gt;Settings!$B$19,"Approval required &gt; standard hours",""),IF(AND(F351&lt;&gt;"Off",G351=0),"Missing claimed hours",""))</f>
        <v>#NAME?</v>
      </c>
      <c r="X351" s="7"/>
    </row>
    <row r="352" spans="1:24" x14ac:dyDescent="0.35">
      <c r="A352" s="31">
        <f>Auto_Roster!A352</f>
        <v>46160</v>
      </c>
      <c r="B352" s="31">
        <f>Auto_Roster!B352</f>
        <v>46160</v>
      </c>
      <c r="C352" s="26" t="str">
        <f>Auto_Roster!C352</f>
        <v>E009</v>
      </c>
      <c r="D352" s="26" t="str">
        <f>Auto_Roster!D352</f>
        <v>Frank</v>
      </c>
      <c r="E352" s="26" t="str">
        <f>Auto_Roster!E352</f>
        <v>A</v>
      </c>
      <c r="F352" s="26" t="str">
        <f>Auto_Roster!G352</f>
        <v>Evening</v>
      </c>
      <c r="G352" s="33">
        <f>Auto_Roster!J352</f>
        <v>8</v>
      </c>
      <c r="H352" s="33">
        <f>IF(G352&gt;Settings!$B$19,G352-Settings!$B$19,0)</f>
        <v>0</v>
      </c>
      <c r="I352" s="33">
        <f t="shared" si="20"/>
        <v>8</v>
      </c>
      <c r="J352" s="33">
        <f>IF(Auto_Roster!M352="Y",G352,0)</f>
        <v>0</v>
      </c>
      <c r="K352" s="33">
        <f>IF(Auto_Roster!L352="Y",G352,0)</f>
        <v>0</v>
      </c>
      <c r="L352" s="26" t="str">
        <f>Auto_Roster!K352</f>
        <v>N</v>
      </c>
      <c r="M352" s="34">
        <f>IF(L352="Y",Settings!$B$16,0)</f>
        <v>0</v>
      </c>
      <c r="N352" s="33">
        <f t="shared" si="21"/>
        <v>0</v>
      </c>
      <c r="O352" s="34">
        <f>N352*Settings!$B$17</f>
        <v>0</v>
      </c>
      <c r="P352" s="34">
        <f>IFERROR(VLOOKUP(C352,Employees!$A$4:$E$103,5,FALSE),Settings!$B$18)</f>
        <v>100</v>
      </c>
      <c r="Q352" s="34">
        <f t="shared" si="22"/>
        <v>800</v>
      </c>
      <c r="R352" s="34">
        <f>H352*P352*Settings!$B$13</f>
        <v>0</v>
      </c>
      <c r="S352" s="34">
        <f>J352*P352*(Settings!$B$14-1)</f>
        <v>0</v>
      </c>
      <c r="T352" s="34">
        <f>K352*P352*(Settings!$B$15-1)</f>
        <v>0</v>
      </c>
      <c r="U352" s="34">
        <f t="shared" si="23"/>
        <v>800</v>
      </c>
      <c r="V352" s="26" t="str">
        <f>Auto_Roster!O352</f>
        <v>Pending</v>
      </c>
      <c r="W352" s="26" t="e">
        <f ca="1">_xludf.TEXTJOIN("; ",TRUE,Auto_Roster!N352,IF(G352&gt;Settings!$B$19,"Approval required &gt; standard hours",""),IF(AND(F352&lt;&gt;"Off",G352=0),"Missing claimed hours",""))</f>
        <v>#NAME?</v>
      </c>
      <c r="X352" s="7"/>
    </row>
    <row r="353" spans="1:24" x14ac:dyDescent="0.35">
      <c r="A353" s="31">
        <f>Auto_Roster!A353</f>
        <v>46160</v>
      </c>
      <c r="B353" s="31">
        <f>Auto_Roster!B353</f>
        <v>46160</v>
      </c>
      <c r="C353" s="26" t="str">
        <f>Auto_Roster!C353</f>
        <v/>
      </c>
      <c r="D353" s="26" t="str">
        <f>Auto_Roster!D353</f>
        <v/>
      </c>
      <c r="E353" s="26" t="str">
        <f>Auto_Roster!E353</f>
        <v/>
      </c>
      <c r="F353" s="26" t="str">
        <f>Auto_Roster!G353</f>
        <v/>
      </c>
      <c r="G353" s="33">
        <f>Auto_Roster!J353</f>
        <v>0</v>
      </c>
      <c r="H353" s="33">
        <f>IF(G353&gt;Settings!$B$19,G353-Settings!$B$19,0)</f>
        <v>0</v>
      </c>
      <c r="I353" s="33">
        <f t="shared" si="20"/>
        <v>0</v>
      </c>
      <c r="J353" s="33">
        <f>IF(Auto_Roster!M353="Y",G353,0)</f>
        <v>0</v>
      </c>
      <c r="K353" s="33">
        <f>IF(Auto_Roster!L353="Y",G353,0)</f>
        <v>0</v>
      </c>
      <c r="L353" s="26" t="str">
        <f>Auto_Roster!K353</f>
        <v>N</v>
      </c>
      <c r="M353" s="34">
        <f>IF(L353="Y",Settings!$B$16,0)</f>
        <v>0</v>
      </c>
      <c r="N353" s="33">
        <f t="shared" si="21"/>
        <v>0</v>
      </c>
      <c r="O353" s="34">
        <f>N353*Settings!$B$17</f>
        <v>0</v>
      </c>
      <c r="P353" s="34">
        <f>IFERROR(VLOOKUP(C353,Employees!$A$4:$E$103,5,FALSE),Settings!$B$18)</f>
        <v>100</v>
      </c>
      <c r="Q353" s="34">
        <f t="shared" si="22"/>
        <v>0</v>
      </c>
      <c r="R353" s="34">
        <f>H353*P353*Settings!$B$13</f>
        <v>0</v>
      </c>
      <c r="S353" s="34">
        <f>J353*P353*(Settings!$B$14-1)</f>
        <v>0</v>
      </c>
      <c r="T353" s="34">
        <f>K353*P353*(Settings!$B$15-1)</f>
        <v>0</v>
      </c>
      <c r="U353" s="34">
        <f t="shared" si="23"/>
        <v>0</v>
      </c>
      <c r="V353" s="26" t="str">
        <f>Auto_Roster!O353</f>
        <v>Pending</v>
      </c>
      <c r="W353" s="26" t="e">
        <f ca="1">_xludf.TEXTJOIN("; ",TRUE,Auto_Roster!N353,IF(G353&gt;Settings!$B$19,"Approval required &gt; standard hours",""),IF(AND(F353&lt;&gt;"Off",G353=0),"Missing claimed hours",""))</f>
        <v>#NAME?</v>
      </c>
      <c r="X353" s="7"/>
    </row>
    <row r="354" spans="1:24" x14ac:dyDescent="0.35">
      <c r="A354" s="31">
        <f>Auto_Roster!A354</f>
        <v>46160</v>
      </c>
      <c r="B354" s="31">
        <f>Auto_Roster!B354</f>
        <v>46160</v>
      </c>
      <c r="C354" s="26" t="str">
        <f>Auto_Roster!C354</f>
        <v/>
      </c>
      <c r="D354" s="26" t="str">
        <f>Auto_Roster!D354</f>
        <v/>
      </c>
      <c r="E354" s="26" t="str">
        <f>Auto_Roster!E354</f>
        <v/>
      </c>
      <c r="F354" s="26" t="str">
        <f>Auto_Roster!G354</f>
        <v/>
      </c>
      <c r="G354" s="33">
        <f>Auto_Roster!J354</f>
        <v>0</v>
      </c>
      <c r="H354" s="33">
        <f>IF(G354&gt;Settings!$B$19,G354-Settings!$B$19,0)</f>
        <v>0</v>
      </c>
      <c r="I354" s="33">
        <f t="shared" si="20"/>
        <v>0</v>
      </c>
      <c r="J354" s="33">
        <f>IF(Auto_Roster!M354="Y",G354,0)</f>
        <v>0</v>
      </c>
      <c r="K354" s="33">
        <f>IF(Auto_Roster!L354="Y",G354,0)</f>
        <v>0</v>
      </c>
      <c r="L354" s="26" t="str">
        <f>Auto_Roster!K354</f>
        <v>N</v>
      </c>
      <c r="M354" s="34">
        <f>IF(L354="Y",Settings!$B$16,0)</f>
        <v>0</v>
      </c>
      <c r="N354" s="33">
        <f t="shared" si="21"/>
        <v>0</v>
      </c>
      <c r="O354" s="34">
        <f>N354*Settings!$B$17</f>
        <v>0</v>
      </c>
      <c r="P354" s="34">
        <f>IFERROR(VLOOKUP(C354,Employees!$A$4:$E$103,5,FALSE),Settings!$B$18)</f>
        <v>100</v>
      </c>
      <c r="Q354" s="34">
        <f t="shared" si="22"/>
        <v>0</v>
      </c>
      <c r="R354" s="34">
        <f>H354*P354*Settings!$B$13</f>
        <v>0</v>
      </c>
      <c r="S354" s="34">
        <f>J354*P354*(Settings!$B$14-1)</f>
        <v>0</v>
      </c>
      <c r="T354" s="34">
        <f>K354*P354*(Settings!$B$15-1)</f>
        <v>0</v>
      </c>
      <c r="U354" s="34">
        <f t="shared" si="23"/>
        <v>0</v>
      </c>
      <c r="V354" s="26" t="str">
        <f>Auto_Roster!O354</f>
        <v>Pending</v>
      </c>
      <c r="W354" s="26" t="e">
        <f ca="1">_xludf.TEXTJOIN("; ",TRUE,Auto_Roster!N354,IF(G354&gt;Settings!$B$19,"Approval required &gt; standard hours",""),IF(AND(F354&lt;&gt;"Off",G354=0),"Missing claimed hours",""))</f>
        <v>#NAME?</v>
      </c>
      <c r="X354" s="7"/>
    </row>
    <row r="355" spans="1:24" x14ac:dyDescent="0.35">
      <c r="A355" s="31">
        <f>Auto_Roster!A355</f>
        <v>46160</v>
      </c>
      <c r="B355" s="31">
        <f>Auto_Roster!B355</f>
        <v>46160</v>
      </c>
      <c r="C355" s="26" t="str">
        <f>Auto_Roster!C355</f>
        <v/>
      </c>
      <c r="D355" s="26" t="str">
        <f>Auto_Roster!D355</f>
        <v/>
      </c>
      <c r="E355" s="26" t="str">
        <f>Auto_Roster!E355</f>
        <v/>
      </c>
      <c r="F355" s="26" t="str">
        <f>Auto_Roster!G355</f>
        <v/>
      </c>
      <c r="G355" s="33">
        <f>Auto_Roster!J355</f>
        <v>0</v>
      </c>
      <c r="H355" s="33">
        <f>IF(G355&gt;Settings!$B$19,G355-Settings!$B$19,0)</f>
        <v>0</v>
      </c>
      <c r="I355" s="33">
        <f t="shared" si="20"/>
        <v>0</v>
      </c>
      <c r="J355" s="33">
        <f>IF(Auto_Roster!M355="Y",G355,0)</f>
        <v>0</v>
      </c>
      <c r="K355" s="33">
        <f>IF(Auto_Roster!L355="Y",G355,0)</f>
        <v>0</v>
      </c>
      <c r="L355" s="26" t="str">
        <f>Auto_Roster!K355</f>
        <v>N</v>
      </c>
      <c r="M355" s="34">
        <f>IF(L355="Y",Settings!$B$16,0)</f>
        <v>0</v>
      </c>
      <c r="N355" s="33">
        <f t="shared" si="21"/>
        <v>0</v>
      </c>
      <c r="O355" s="34">
        <f>N355*Settings!$B$17</f>
        <v>0</v>
      </c>
      <c r="P355" s="34">
        <f>IFERROR(VLOOKUP(C355,Employees!$A$4:$E$103,5,FALSE),Settings!$B$18)</f>
        <v>100</v>
      </c>
      <c r="Q355" s="34">
        <f t="shared" si="22"/>
        <v>0</v>
      </c>
      <c r="R355" s="34">
        <f>H355*P355*Settings!$B$13</f>
        <v>0</v>
      </c>
      <c r="S355" s="34">
        <f>J355*P355*(Settings!$B$14-1)</f>
        <v>0</v>
      </c>
      <c r="T355" s="34">
        <f>K355*P355*(Settings!$B$15-1)</f>
        <v>0</v>
      </c>
      <c r="U355" s="34">
        <f t="shared" si="23"/>
        <v>0</v>
      </c>
      <c r="V355" s="26" t="str">
        <f>Auto_Roster!O355</f>
        <v>Pending</v>
      </c>
      <c r="W355" s="26" t="e">
        <f ca="1">_xludf.TEXTJOIN("; ",TRUE,Auto_Roster!N355,IF(G355&gt;Settings!$B$19,"Approval required &gt; standard hours",""),IF(AND(F355&lt;&gt;"Off",G355=0),"Missing claimed hours",""))</f>
        <v>#NAME?</v>
      </c>
      <c r="X355" s="7"/>
    </row>
    <row r="356" spans="1:24" x14ac:dyDescent="0.35">
      <c r="A356" s="31">
        <f>Auto_Roster!A356</f>
        <v>46160</v>
      </c>
      <c r="B356" s="31">
        <f>Auto_Roster!B356</f>
        <v>46160</v>
      </c>
      <c r="C356" s="26" t="str">
        <f>Auto_Roster!C356</f>
        <v/>
      </c>
      <c r="D356" s="26" t="str">
        <f>Auto_Roster!D356</f>
        <v/>
      </c>
      <c r="E356" s="26" t="str">
        <f>Auto_Roster!E356</f>
        <v/>
      </c>
      <c r="F356" s="26" t="str">
        <f>Auto_Roster!G356</f>
        <v/>
      </c>
      <c r="G356" s="33">
        <f>Auto_Roster!J356</f>
        <v>0</v>
      </c>
      <c r="H356" s="33">
        <f>IF(G356&gt;Settings!$B$19,G356-Settings!$B$19,0)</f>
        <v>0</v>
      </c>
      <c r="I356" s="33">
        <f t="shared" si="20"/>
        <v>0</v>
      </c>
      <c r="J356" s="33">
        <f>IF(Auto_Roster!M356="Y",G356,0)</f>
        <v>0</v>
      </c>
      <c r="K356" s="33">
        <f>IF(Auto_Roster!L356="Y",G356,0)</f>
        <v>0</v>
      </c>
      <c r="L356" s="26" t="str">
        <f>Auto_Roster!K356</f>
        <v>N</v>
      </c>
      <c r="M356" s="34">
        <f>IF(L356="Y",Settings!$B$16,0)</f>
        <v>0</v>
      </c>
      <c r="N356" s="33">
        <f t="shared" si="21"/>
        <v>0</v>
      </c>
      <c r="O356" s="34">
        <f>N356*Settings!$B$17</f>
        <v>0</v>
      </c>
      <c r="P356" s="34">
        <f>IFERROR(VLOOKUP(C356,Employees!$A$4:$E$103,5,FALSE),Settings!$B$18)</f>
        <v>100</v>
      </c>
      <c r="Q356" s="34">
        <f t="shared" si="22"/>
        <v>0</v>
      </c>
      <c r="R356" s="34">
        <f>H356*P356*Settings!$B$13</f>
        <v>0</v>
      </c>
      <c r="S356" s="34">
        <f>J356*P356*(Settings!$B$14-1)</f>
        <v>0</v>
      </c>
      <c r="T356" s="34">
        <f>K356*P356*(Settings!$B$15-1)</f>
        <v>0</v>
      </c>
      <c r="U356" s="34">
        <f t="shared" si="23"/>
        <v>0</v>
      </c>
      <c r="V356" s="26" t="str">
        <f>Auto_Roster!O356</f>
        <v>Pending</v>
      </c>
      <c r="W356" s="26" t="e">
        <f ca="1">_xludf.TEXTJOIN("; ",TRUE,Auto_Roster!N356,IF(G356&gt;Settings!$B$19,"Approval required &gt; standard hours",""),IF(AND(F356&lt;&gt;"Off",G356=0),"Missing claimed hours",""))</f>
        <v>#NAME?</v>
      </c>
      <c r="X356" s="7"/>
    </row>
    <row r="357" spans="1:24" x14ac:dyDescent="0.35">
      <c r="A357" s="31">
        <f>Auto_Roster!A357</f>
        <v>46160</v>
      </c>
      <c r="B357" s="31">
        <f>Auto_Roster!B357</f>
        <v>46160</v>
      </c>
      <c r="C357" s="26" t="str">
        <f>Auto_Roster!C357</f>
        <v/>
      </c>
      <c r="D357" s="26" t="str">
        <f>Auto_Roster!D357</f>
        <v/>
      </c>
      <c r="E357" s="26" t="str">
        <f>Auto_Roster!E357</f>
        <v/>
      </c>
      <c r="F357" s="26" t="str">
        <f>Auto_Roster!G357</f>
        <v/>
      </c>
      <c r="G357" s="33">
        <f>Auto_Roster!J357</f>
        <v>0</v>
      </c>
      <c r="H357" s="33">
        <f>IF(G357&gt;Settings!$B$19,G357-Settings!$B$19,0)</f>
        <v>0</v>
      </c>
      <c r="I357" s="33">
        <f t="shared" si="20"/>
        <v>0</v>
      </c>
      <c r="J357" s="33">
        <f>IF(Auto_Roster!M357="Y",G357,0)</f>
        <v>0</v>
      </c>
      <c r="K357" s="33">
        <f>IF(Auto_Roster!L357="Y",G357,0)</f>
        <v>0</v>
      </c>
      <c r="L357" s="26" t="str">
        <f>Auto_Roster!K357</f>
        <v>N</v>
      </c>
      <c r="M357" s="34">
        <f>IF(L357="Y",Settings!$B$16,0)</f>
        <v>0</v>
      </c>
      <c r="N357" s="33">
        <f t="shared" si="21"/>
        <v>0</v>
      </c>
      <c r="O357" s="34">
        <f>N357*Settings!$B$17</f>
        <v>0</v>
      </c>
      <c r="P357" s="34">
        <f>IFERROR(VLOOKUP(C357,Employees!$A$4:$E$103,5,FALSE),Settings!$B$18)</f>
        <v>100</v>
      </c>
      <c r="Q357" s="34">
        <f t="shared" si="22"/>
        <v>0</v>
      </c>
      <c r="R357" s="34">
        <f>H357*P357*Settings!$B$13</f>
        <v>0</v>
      </c>
      <c r="S357" s="34">
        <f>J357*P357*(Settings!$B$14-1)</f>
        <v>0</v>
      </c>
      <c r="T357" s="34">
        <f>K357*P357*(Settings!$B$15-1)</f>
        <v>0</v>
      </c>
      <c r="U357" s="34">
        <f t="shared" si="23"/>
        <v>0</v>
      </c>
      <c r="V357" s="26" t="str">
        <f>Auto_Roster!O357</f>
        <v>Pending</v>
      </c>
      <c r="W357" s="26" t="e">
        <f ca="1">_xludf.TEXTJOIN("; ",TRUE,Auto_Roster!N357,IF(G357&gt;Settings!$B$19,"Approval required &gt; standard hours",""),IF(AND(F357&lt;&gt;"Off",G357=0),"Missing claimed hours",""))</f>
        <v>#NAME?</v>
      </c>
      <c r="X357" s="7"/>
    </row>
    <row r="358" spans="1:24" x14ac:dyDescent="0.35">
      <c r="A358" s="31">
        <f>Auto_Roster!A358</f>
        <v>46160</v>
      </c>
      <c r="B358" s="31">
        <f>Auto_Roster!B358</f>
        <v>46160</v>
      </c>
      <c r="C358" s="26" t="str">
        <f>Auto_Roster!C358</f>
        <v/>
      </c>
      <c r="D358" s="26" t="str">
        <f>Auto_Roster!D358</f>
        <v/>
      </c>
      <c r="E358" s="26" t="str">
        <f>Auto_Roster!E358</f>
        <v/>
      </c>
      <c r="F358" s="26" t="str">
        <f>Auto_Roster!G358</f>
        <v/>
      </c>
      <c r="G358" s="33">
        <f>Auto_Roster!J358</f>
        <v>0</v>
      </c>
      <c r="H358" s="33">
        <f>IF(G358&gt;Settings!$B$19,G358-Settings!$B$19,0)</f>
        <v>0</v>
      </c>
      <c r="I358" s="33">
        <f t="shared" si="20"/>
        <v>0</v>
      </c>
      <c r="J358" s="33">
        <f>IF(Auto_Roster!M358="Y",G358,0)</f>
        <v>0</v>
      </c>
      <c r="K358" s="33">
        <f>IF(Auto_Roster!L358="Y",G358,0)</f>
        <v>0</v>
      </c>
      <c r="L358" s="26" t="str">
        <f>Auto_Roster!K358</f>
        <v>N</v>
      </c>
      <c r="M358" s="34">
        <f>IF(L358="Y",Settings!$B$16,0)</f>
        <v>0</v>
      </c>
      <c r="N358" s="33">
        <f t="shared" si="21"/>
        <v>0</v>
      </c>
      <c r="O358" s="34">
        <f>N358*Settings!$B$17</f>
        <v>0</v>
      </c>
      <c r="P358" s="34">
        <f>IFERROR(VLOOKUP(C358,Employees!$A$4:$E$103,5,FALSE),Settings!$B$18)</f>
        <v>100</v>
      </c>
      <c r="Q358" s="34">
        <f t="shared" si="22"/>
        <v>0</v>
      </c>
      <c r="R358" s="34">
        <f>H358*P358*Settings!$B$13</f>
        <v>0</v>
      </c>
      <c r="S358" s="34">
        <f>J358*P358*(Settings!$B$14-1)</f>
        <v>0</v>
      </c>
      <c r="T358" s="34">
        <f>K358*P358*(Settings!$B$15-1)</f>
        <v>0</v>
      </c>
      <c r="U358" s="34">
        <f t="shared" si="23"/>
        <v>0</v>
      </c>
      <c r="V358" s="26" t="str">
        <f>Auto_Roster!O358</f>
        <v>Pending</v>
      </c>
      <c r="W358" s="26" t="e">
        <f ca="1">_xludf.TEXTJOIN("; ",TRUE,Auto_Roster!N358,IF(G358&gt;Settings!$B$19,"Approval required &gt; standard hours",""),IF(AND(F358&lt;&gt;"Off",G358=0),"Missing claimed hours",""))</f>
        <v>#NAME?</v>
      </c>
      <c r="X358" s="7"/>
    </row>
    <row r="359" spans="1:24" x14ac:dyDescent="0.35">
      <c r="A359" s="31">
        <f>Auto_Roster!A359</f>
        <v>46160</v>
      </c>
      <c r="B359" s="31">
        <f>Auto_Roster!B359</f>
        <v>46160</v>
      </c>
      <c r="C359" s="26" t="str">
        <f>Auto_Roster!C359</f>
        <v/>
      </c>
      <c r="D359" s="26" t="str">
        <f>Auto_Roster!D359</f>
        <v/>
      </c>
      <c r="E359" s="26" t="str">
        <f>Auto_Roster!E359</f>
        <v/>
      </c>
      <c r="F359" s="26" t="str">
        <f>Auto_Roster!G359</f>
        <v/>
      </c>
      <c r="G359" s="33">
        <f>Auto_Roster!J359</f>
        <v>0</v>
      </c>
      <c r="H359" s="33">
        <f>IF(G359&gt;Settings!$B$19,G359-Settings!$B$19,0)</f>
        <v>0</v>
      </c>
      <c r="I359" s="33">
        <f t="shared" si="20"/>
        <v>0</v>
      </c>
      <c r="J359" s="33">
        <f>IF(Auto_Roster!M359="Y",G359,0)</f>
        <v>0</v>
      </c>
      <c r="K359" s="33">
        <f>IF(Auto_Roster!L359="Y",G359,0)</f>
        <v>0</v>
      </c>
      <c r="L359" s="26" t="str">
        <f>Auto_Roster!K359</f>
        <v>N</v>
      </c>
      <c r="M359" s="34">
        <f>IF(L359="Y",Settings!$B$16,0)</f>
        <v>0</v>
      </c>
      <c r="N359" s="33">
        <f t="shared" si="21"/>
        <v>0</v>
      </c>
      <c r="O359" s="34">
        <f>N359*Settings!$B$17</f>
        <v>0</v>
      </c>
      <c r="P359" s="34">
        <f>IFERROR(VLOOKUP(C359,Employees!$A$4:$E$103,5,FALSE),Settings!$B$18)</f>
        <v>100</v>
      </c>
      <c r="Q359" s="34">
        <f t="shared" si="22"/>
        <v>0</v>
      </c>
      <c r="R359" s="34">
        <f>H359*P359*Settings!$B$13</f>
        <v>0</v>
      </c>
      <c r="S359" s="34">
        <f>J359*P359*(Settings!$B$14-1)</f>
        <v>0</v>
      </c>
      <c r="T359" s="34">
        <f>K359*P359*(Settings!$B$15-1)</f>
        <v>0</v>
      </c>
      <c r="U359" s="34">
        <f t="shared" si="23"/>
        <v>0</v>
      </c>
      <c r="V359" s="26" t="str">
        <f>Auto_Roster!O359</f>
        <v>Pending</v>
      </c>
      <c r="W359" s="26" t="e">
        <f ca="1">_xludf.TEXTJOIN("; ",TRUE,Auto_Roster!N359,IF(G359&gt;Settings!$B$19,"Approval required &gt; standard hours",""),IF(AND(F359&lt;&gt;"Off",G359=0),"Missing claimed hours",""))</f>
        <v>#NAME?</v>
      </c>
      <c r="X359" s="7"/>
    </row>
    <row r="360" spans="1:24" x14ac:dyDescent="0.35">
      <c r="A360" s="31">
        <f>Auto_Roster!A360</f>
        <v>46160</v>
      </c>
      <c r="B360" s="31">
        <f>Auto_Roster!B360</f>
        <v>46160</v>
      </c>
      <c r="C360" s="26" t="str">
        <f>Auto_Roster!C360</f>
        <v/>
      </c>
      <c r="D360" s="26" t="str">
        <f>Auto_Roster!D360</f>
        <v/>
      </c>
      <c r="E360" s="26" t="str">
        <f>Auto_Roster!E360</f>
        <v/>
      </c>
      <c r="F360" s="26" t="str">
        <f>Auto_Roster!G360</f>
        <v/>
      </c>
      <c r="G360" s="33">
        <f>Auto_Roster!J360</f>
        <v>0</v>
      </c>
      <c r="H360" s="33">
        <f>IF(G360&gt;Settings!$B$19,G360-Settings!$B$19,0)</f>
        <v>0</v>
      </c>
      <c r="I360" s="33">
        <f t="shared" si="20"/>
        <v>0</v>
      </c>
      <c r="J360" s="33">
        <f>IF(Auto_Roster!M360="Y",G360,0)</f>
        <v>0</v>
      </c>
      <c r="K360" s="33">
        <f>IF(Auto_Roster!L360="Y",G360,0)</f>
        <v>0</v>
      </c>
      <c r="L360" s="26" t="str">
        <f>Auto_Roster!K360</f>
        <v>N</v>
      </c>
      <c r="M360" s="34">
        <f>IF(L360="Y",Settings!$B$16,0)</f>
        <v>0</v>
      </c>
      <c r="N360" s="33">
        <f t="shared" si="21"/>
        <v>0</v>
      </c>
      <c r="O360" s="34">
        <f>N360*Settings!$B$17</f>
        <v>0</v>
      </c>
      <c r="P360" s="34">
        <f>IFERROR(VLOOKUP(C360,Employees!$A$4:$E$103,5,FALSE),Settings!$B$18)</f>
        <v>100</v>
      </c>
      <c r="Q360" s="34">
        <f t="shared" si="22"/>
        <v>0</v>
      </c>
      <c r="R360" s="34">
        <f>H360*P360*Settings!$B$13</f>
        <v>0</v>
      </c>
      <c r="S360" s="34">
        <f>J360*P360*(Settings!$B$14-1)</f>
        <v>0</v>
      </c>
      <c r="T360" s="34">
        <f>K360*P360*(Settings!$B$15-1)</f>
        <v>0</v>
      </c>
      <c r="U360" s="34">
        <f t="shared" si="23"/>
        <v>0</v>
      </c>
      <c r="V360" s="26" t="str">
        <f>Auto_Roster!O360</f>
        <v>Pending</v>
      </c>
      <c r="W360" s="26" t="e">
        <f ca="1">_xludf.TEXTJOIN("; ",TRUE,Auto_Roster!N360,IF(G360&gt;Settings!$B$19,"Approval required &gt; standard hours",""),IF(AND(F360&lt;&gt;"Off",G360=0),"Missing claimed hours",""))</f>
        <v>#NAME?</v>
      </c>
      <c r="X360" s="7"/>
    </row>
    <row r="361" spans="1:24" x14ac:dyDescent="0.35">
      <c r="A361" s="31">
        <f>Auto_Roster!A361</f>
        <v>46160</v>
      </c>
      <c r="B361" s="31">
        <f>Auto_Roster!B361</f>
        <v>46160</v>
      </c>
      <c r="C361" s="26" t="str">
        <f>Auto_Roster!C361</f>
        <v/>
      </c>
      <c r="D361" s="26" t="str">
        <f>Auto_Roster!D361</f>
        <v/>
      </c>
      <c r="E361" s="26" t="str">
        <f>Auto_Roster!E361</f>
        <v/>
      </c>
      <c r="F361" s="26" t="str">
        <f>Auto_Roster!G361</f>
        <v/>
      </c>
      <c r="G361" s="33">
        <f>Auto_Roster!J361</f>
        <v>0</v>
      </c>
      <c r="H361" s="33">
        <f>IF(G361&gt;Settings!$B$19,G361-Settings!$B$19,0)</f>
        <v>0</v>
      </c>
      <c r="I361" s="33">
        <f t="shared" si="20"/>
        <v>0</v>
      </c>
      <c r="J361" s="33">
        <f>IF(Auto_Roster!M361="Y",G361,0)</f>
        <v>0</v>
      </c>
      <c r="K361" s="33">
        <f>IF(Auto_Roster!L361="Y",G361,0)</f>
        <v>0</v>
      </c>
      <c r="L361" s="26" t="str">
        <f>Auto_Roster!K361</f>
        <v>N</v>
      </c>
      <c r="M361" s="34">
        <f>IF(L361="Y",Settings!$B$16,0)</f>
        <v>0</v>
      </c>
      <c r="N361" s="33">
        <f t="shared" si="21"/>
        <v>0</v>
      </c>
      <c r="O361" s="34">
        <f>N361*Settings!$B$17</f>
        <v>0</v>
      </c>
      <c r="P361" s="34">
        <f>IFERROR(VLOOKUP(C361,Employees!$A$4:$E$103,5,FALSE),Settings!$B$18)</f>
        <v>100</v>
      </c>
      <c r="Q361" s="34">
        <f t="shared" si="22"/>
        <v>0</v>
      </c>
      <c r="R361" s="34">
        <f>H361*P361*Settings!$B$13</f>
        <v>0</v>
      </c>
      <c r="S361" s="34">
        <f>J361*P361*(Settings!$B$14-1)</f>
        <v>0</v>
      </c>
      <c r="T361" s="34">
        <f>K361*P361*(Settings!$B$15-1)</f>
        <v>0</v>
      </c>
      <c r="U361" s="34">
        <f t="shared" si="23"/>
        <v>0</v>
      </c>
      <c r="V361" s="26" t="str">
        <f>Auto_Roster!O361</f>
        <v>Pending</v>
      </c>
      <c r="W361" s="26" t="e">
        <f ca="1">_xludf.TEXTJOIN("; ",TRUE,Auto_Roster!N361,IF(G361&gt;Settings!$B$19,"Approval required &gt; standard hours",""),IF(AND(F361&lt;&gt;"Off",G361=0),"Missing claimed hours",""))</f>
        <v>#NAME?</v>
      </c>
      <c r="X361" s="7"/>
    </row>
    <row r="362" spans="1:24" x14ac:dyDescent="0.35">
      <c r="A362" s="31">
        <f>Auto_Roster!A362</f>
        <v>46160</v>
      </c>
      <c r="B362" s="31">
        <f>Auto_Roster!B362</f>
        <v>46160</v>
      </c>
      <c r="C362" s="26" t="str">
        <f>Auto_Roster!C362</f>
        <v/>
      </c>
      <c r="D362" s="26" t="str">
        <f>Auto_Roster!D362</f>
        <v/>
      </c>
      <c r="E362" s="26" t="str">
        <f>Auto_Roster!E362</f>
        <v/>
      </c>
      <c r="F362" s="26" t="str">
        <f>Auto_Roster!G362</f>
        <v/>
      </c>
      <c r="G362" s="33">
        <f>Auto_Roster!J362</f>
        <v>0</v>
      </c>
      <c r="H362" s="33">
        <f>IF(G362&gt;Settings!$B$19,G362-Settings!$B$19,0)</f>
        <v>0</v>
      </c>
      <c r="I362" s="33">
        <f t="shared" si="20"/>
        <v>0</v>
      </c>
      <c r="J362" s="33">
        <f>IF(Auto_Roster!M362="Y",G362,0)</f>
        <v>0</v>
      </c>
      <c r="K362" s="33">
        <f>IF(Auto_Roster!L362="Y",G362,0)</f>
        <v>0</v>
      </c>
      <c r="L362" s="26" t="str">
        <f>Auto_Roster!K362</f>
        <v>N</v>
      </c>
      <c r="M362" s="34">
        <f>IF(L362="Y",Settings!$B$16,0)</f>
        <v>0</v>
      </c>
      <c r="N362" s="33">
        <f t="shared" si="21"/>
        <v>0</v>
      </c>
      <c r="O362" s="34">
        <f>N362*Settings!$B$17</f>
        <v>0</v>
      </c>
      <c r="P362" s="34">
        <f>IFERROR(VLOOKUP(C362,Employees!$A$4:$E$103,5,FALSE),Settings!$B$18)</f>
        <v>100</v>
      </c>
      <c r="Q362" s="34">
        <f t="shared" si="22"/>
        <v>0</v>
      </c>
      <c r="R362" s="34">
        <f>H362*P362*Settings!$B$13</f>
        <v>0</v>
      </c>
      <c r="S362" s="34">
        <f>J362*P362*(Settings!$B$14-1)</f>
        <v>0</v>
      </c>
      <c r="T362" s="34">
        <f>K362*P362*(Settings!$B$15-1)</f>
        <v>0</v>
      </c>
      <c r="U362" s="34">
        <f t="shared" si="23"/>
        <v>0</v>
      </c>
      <c r="V362" s="26" t="str">
        <f>Auto_Roster!O362</f>
        <v>Pending</v>
      </c>
      <c r="W362" s="26" t="e">
        <f ca="1">_xludf.TEXTJOIN("; ",TRUE,Auto_Roster!N362,IF(G362&gt;Settings!$B$19,"Approval required &gt; standard hours",""),IF(AND(F362&lt;&gt;"Off",G362=0),"Missing claimed hours",""))</f>
        <v>#NAME?</v>
      </c>
      <c r="X362" s="7"/>
    </row>
    <row r="363" spans="1:24" x14ac:dyDescent="0.35">
      <c r="A363" s="31">
        <f>Auto_Roster!A363</f>
        <v>46160</v>
      </c>
      <c r="B363" s="31">
        <f>Auto_Roster!B363</f>
        <v>46160</v>
      </c>
      <c r="C363" s="26" t="str">
        <f>Auto_Roster!C363</f>
        <v/>
      </c>
      <c r="D363" s="26" t="str">
        <f>Auto_Roster!D363</f>
        <v/>
      </c>
      <c r="E363" s="26" t="str">
        <f>Auto_Roster!E363</f>
        <v/>
      </c>
      <c r="F363" s="26" t="str">
        <f>Auto_Roster!G363</f>
        <v/>
      </c>
      <c r="G363" s="33">
        <f>Auto_Roster!J363</f>
        <v>0</v>
      </c>
      <c r="H363" s="33">
        <f>IF(G363&gt;Settings!$B$19,G363-Settings!$B$19,0)</f>
        <v>0</v>
      </c>
      <c r="I363" s="33">
        <f t="shared" si="20"/>
        <v>0</v>
      </c>
      <c r="J363" s="33">
        <f>IF(Auto_Roster!M363="Y",G363,0)</f>
        <v>0</v>
      </c>
      <c r="K363" s="33">
        <f>IF(Auto_Roster!L363="Y",G363,0)</f>
        <v>0</v>
      </c>
      <c r="L363" s="26" t="str">
        <f>Auto_Roster!K363</f>
        <v>N</v>
      </c>
      <c r="M363" s="34">
        <f>IF(L363="Y",Settings!$B$16,0)</f>
        <v>0</v>
      </c>
      <c r="N363" s="33">
        <f t="shared" si="21"/>
        <v>0</v>
      </c>
      <c r="O363" s="34">
        <f>N363*Settings!$B$17</f>
        <v>0</v>
      </c>
      <c r="P363" s="34">
        <f>IFERROR(VLOOKUP(C363,Employees!$A$4:$E$103,5,FALSE),Settings!$B$18)</f>
        <v>100</v>
      </c>
      <c r="Q363" s="34">
        <f t="shared" si="22"/>
        <v>0</v>
      </c>
      <c r="R363" s="34">
        <f>H363*P363*Settings!$B$13</f>
        <v>0</v>
      </c>
      <c r="S363" s="34">
        <f>J363*P363*(Settings!$B$14-1)</f>
        <v>0</v>
      </c>
      <c r="T363" s="34">
        <f>K363*P363*(Settings!$B$15-1)</f>
        <v>0</v>
      </c>
      <c r="U363" s="34">
        <f t="shared" si="23"/>
        <v>0</v>
      </c>
      <c r="V363" s="26" t="str">
        <f>Auto_Roster!O363</f>
        <v>Pending</v>
      </c>
      <c r="W363" s="26" t="e">
        <f ca="1">_xludf.TEXTJOIN("; ",TRUE,Auto_Roster!N363,IF(G363&gt;Settings!$B$19,"Approval required &gt; standard hours",""),IF(AND(F363&lt;&gt;"Off",G363=0),"Missing claimed hours",""))</f>
        <v>#NAME?</v>
      </c>
      <c r="X363" s="7"/>
    </row>
    <row r="364" spans="1:24" x14ac:dyDescent="0.35">
      <c r="A364" s="31">
        <f>Auto_Roster!A364</f>
        <v>46161</v>
      </c>
      <c r="B364" s="31">
        <f>Auto_Roster!B364</f>
        <v>46160</v>
      </c>
      <c r="C364" s="26" t="str">
        <f>Auto_Roster!C364</f>
        <v>E001</v>
      </c>
      <c r="D364" s="26" t="str">
        <f>Auto_Roster!D364</f>
        <v>Musiwa Khavalani</v>
      </c>
      <c r="E364" s="26">
        <f>Auto_Roster!E364</f>
        <v>0</v>
      </c>
      <c r="F364" s="26" t="e">
        <f>Auto_Roster!G364</f>
        <v>#N/A</v>
      </c>
      <c r="G364" s="33" t="e">
        <f>Auto_Roster!J364</f>
        <v>#N/A</v>
      </c>
      <c r="H364" s="33" t="e">
        <f>IF(G364&gt;Settings!$B$19,G364-Settings!$B$19,0)</f>
        <v>#N/A</v>
      </c>
      <c r="I364" s="33" t="e">
        <f t="shared" si="20"/>
        <v>#N/A</v>
      </c>
      <c r="J364" s="33">
        <f>IF(Auto_Roster!M364="Y",G364,0)</f>
        <v>0</v>
      </c>
      <c r="K364" s="33">
        <f>IF(Auto_Roster!L364="Y",G364,0)</f>
        <v>0</v>
      </c>
      <c r="L364" s="26" t="str">
        <f>Auto_Roster!K364</f>
        <v>N</v>
      </c>
      <c r="M364" s="34">
        <f>IF(L364="Y",Settings!$B$16,0)</f>
        <v>0</v>
      </c>
      <c r="N364" s="33" t="e">
        <f t="shared" si="21"/>
        <v>#N/A</v>
      </c>
      <c r="O364" s="34" t="e">
        <f>N364*Settings!$B$17</f>
        <v>#N/A</v>
      </c>
      <c r="P364" s="34">
        <f>IFERROR(VLOOKUP(C364,Employees!$A$4:$E$103,5,FALSE),Settings!$B$18)</f>
        <v>100</v>
      </c>
      <c r="Q364" s="34" t="e">
        <f t="shared" si="22"/>
        <v>#N/A</v>
      </c>
      <c r="R364" s="34" t="e">
        <f>H364*P364*Settings!$B$13</f>
        <v>#N/A</v>
      </c>
      <c r="S364" s="34">
        <f>J364*P364*(Settings!$B$14-1)</f>
        <v>0</v>
      </c>
      <c r="T364" s="34">
        <f>K364*P364*(Settings!$B$15-1)</f>
        <v>0</v>
      </c>
      <c r="U364" s="34" t="e">
        <f t="shared" si="23"/>
        <v>#N/A</v>
      </c>
      <c r="V364" s="26" t="str">
        <f>Auto_Roster!O364</f>
        <v>Pending</v>
      </c>
      <c r="W364" s="26" t="e">
        <f ca="1">_xludf.TEXTJOIN("; ",TRUE,Auto_Roster!N364,IF(G364&gt;Settings!$B$19,"Approval required &gt; standard hours",""),IF(AND(F364&lt;&gt;"Off",G364=0),"Missing claimed hours",""))</f>
        <v>#NAME?</v>
      </c>
      <c r="X364" s="7"/>
    </row>
    <row r="365" spans="1:24" x14ac:dyDescent="0.35">
      <c r="A365" s="31">
        <f>Auto_Roster!A365</f>
        <v>46161</v>
      </c>
      <c r="B365" s="31">
        <f>Auto_Roster!B365</f>
        <v>46160</v>
      </c>
      <c r="C365" s="26" t="str">
        <f>Auto_Roster!C365</f>
        <v>E002</v>
      </c>
      <c r="D365" s="26" t="str">
        <f>Auto_Roster!D365</f>
        <v>Mpho  Nembemhia</v>
      </c>
      <c r="E365" s="26" t="str">
        <f>Auto_Roster!E365</f>
        <v>B</v>
      </c>
      <c r="F365" s="26" t="str">
        <f>Auto_Roster!G365</f>
        <v>Evening</v>
      </c>
      <c r="G365" s="33">
        <f>Auto_Roster!J365</f>
        <v>8</v>
      </c>
      <c r="H365" s="33">
        <f>IF(G365&gt;Settings!$B$19,G365-Settings!$B$19,0)</f>
        <v>0</v>
      </c>
      <c r="I365" s="33">
        <f t="shared" si="20"/>
        <v>8</v>
      </c>
      <c r="J365" s="33">
        <f>IF(Auto_Roster!M365="Y",G365,0)</f>
        <v>0</v>
      </c>
      <c r="K365" s="33">
        <f>IF(Auto_Roster!L365="Y",G365,0)</f>
        <v>0</v>
      </c>
      <c r="L365" s="26" t="str">
        <f>Auto_Roster!K365</f>
        <v>N</v>
      </c>
      <c r="M365" s="34">
        <f>IF(L365="Y",Settings!$B$16,0)</f>
        <v>0</v>
      </c>
      <c r="N365" s="33">
        <f t="shared" si="21"/>
        <v>0</v>
      </c>
      <c r="O365" s="34">
        <f>N365*Settings!$B$17</f>
        <v>0</v>
      </c>
      <c r="P365" s="34">
        <f>IFERROR(VLOOKUP(C365,Employees!$A$4:$E$103,5,FALSE),Settings!$B$18)</f>
        <v>100</v>
      </c>
      <c r="Q365" s="34">
        <f t="shared" si="22"/>
        <v>800</v>
      </c>
      <c r="R365" s="34">
        <f>H365*P365*Settings!$B$13</f>
        <v>0</v>
      </c>
      <c r="S365" s="34">
        <f>J365*P365*(Settings!$B$14-1)</f>
        <v>0</v>
      </c>
      <c r="T365" s="34">
        <f>K365*P365*(Settings!$B$15-1)</f>
        <v>0</v>
      </c>
      <c r="U365" s="34">
        <f t="shared" si="23"/>
        <v>800</v>
      </c>
      <c r="V365" s="26" t="str">
        <f>Auto_Roster!O365</f>
        <v>Pending</v>
      </c>
      <c r="W365" s="26" t="e">
        <f ca="1">_xludf.TEXTJOIN("; ",TRUE,Auto_Roster!N365,IF(G365&gt;Settings!$B$19,"Approval required &gt; standard hours",""),IF(AND(F365&lt;&gt;"Off",G365=0),"Missing claimed hours",""))</f>
        <v>#NAME?</v>
      </c>
      <c r="X365" s="7"/>
    </row>
    <row r="366" spans="1:24" x14ac:dyDescent="0.35">
      <c r="A366" s="31">
        <f>Auto_Roster!A366</f>
        <v>46161</v>
      </c>
      <c r="B366" s="31">
        <f>Auto_Roster!B366</f>
        <v>46160</v>
      </c>
      <c r="C366" s="26" t="str">
        <f>Auto_Roster!C366</f>
        <v>E003</v>
      </c>
      <c r="D366" s="26" t="str">
        <f>Auto_Roster!D366</f>
        <v>Dimpho Makhafola</v>
      </c>
      <c r="E366" s="26" t="str">
        <f>Auto_Roster!E366</f>
        <v>C</v>
      </c>
      <c r="F366" s="26" t="str">
        <f>Auto_Roster!G366</f>
        <v>Day</v>
      </c>
      <c r="G366" s="33">
        <f>Auto_Roster!J366</f>
        <v>8</v>
      </c>
      <c r="H366" s="33">
        <f>IF(G366&gt;Settings!$B$19,G366-Settings!$B$19,0)</f>
        <v>0</v>
      </c>
      <c r="I366" s="33">
        <f t="shared" si="20"/>
        <v>8</v>
      </c>
      <c r="J366" s="33">
        <f>IF(Auto_Roster!M366="Y",G366,0)</f>
        <v>0</v>
      </c>
      <c r="K366" s="33">
        <f>IF(Auto_Roster!L366="Y",G366,0)</f>
        <v>0</v>
      </c>
      <c r="L366" s="26" t="str">
        <f>Auto_Roster!K366</f>
        <v>N</v>
      </c>
      <c r="M366" s="34">
        <f>IF(L366="Y",Settings!$B$16,0)</f>
        <v>0</v>
      </c>
      <c r="N366" s="33">
        <f t="shared" si="21"/>
        <v>0</v>
      </c>
      <c r="O366" s="34">
        <f>N366*Settings!$B$17</f>
        <v>0</v>
      </c>
      <c r="P366" s="34">
        <f>IFERROR(VLOOKUP(C366,Employees!$A$4:$E$103,5,FALSE),Settings!$B$18)</f>
        <v>100</v>
      </c>
      <c r="Q366" s="34">
        <f t="shared" si="22"/>
        <v>800</v>
      </c>
      <c r="R366" s="34">
        <f>H366*P366*Settings!$B$13</f>
        <v>0</v>
      </c>
      <c r="S366" s="34">
        <f>J366*P366*(Settings!$B$14-1)</f>
        <v>0</v>
      </c>
      <c r="T366" s="34">
        <f>K366*P366*(Settings!$B$15-1)</f>
        <v>0</v>
      </c>
      <c r="U366" s="34">
        <f t="shared" si="23"/>
        <v>800</v>
      </c>
      <c r="V366" s="26" t="str">
        <f>Auto_Roster!O366</f>
        <v>Pending</v>
      </c>
      <c r="W366" s="26" t="e">
        <f ca="1">_xludf.TEXTJOIN("; ",TRUE,Auto_Roster!N366,IF(G366&gt;Settings!$B$19,"Approval required &gt; standard hours",""),IF(AND(F366&lt;&gt;"Off",G366=0),"Missing claimed hours",""))</f>
        <v>#NAME?</v>
      </c>
      <c r="X366" s="7"/>
    </row>
    <row r="367" spans="1:24" x14ac:dyDescent="0.35">
      <c r="A367" s="31">
        <f>Auto_Roster!A367</f>
        <v>46161</v>
      </c>
      <c r="B367" s="31">
        <f>Auto_Roster!B367</f>
        <v>46160</v>
      </c>
      <c r="C367" s="26" t="str">
        <f>Auto_Roster!C367</f>
        <v>E004</v>
      </c>
      <c r="D367" s="26" t="str">
        <f>Auto_Roster!D367</f>
        <v>Bashii Fall</v>
      </c>
      <c r="E367" s="26" t="str">
        <f>Auto_Roster!E367</f>
        <v>D</v>
      </c>
      <c r="F367" s="26" t="str">
        <f>Auto_Roster!G367</f>
        <v>Off</v>
      </c>
      <c r="G367" s="33">
        <f>Auto_Roster!J367</f>
        <v>0</v>
      </c>
      <c r="H367" s="33">
        <f>IF(G367&gt;Settings!$B$19,G367-Settings!$B$19,0)</f>
        <v>0</v>
      </c>
      <c r="I367" s="33">
        <f t="shared" si="20"/>
        <v>0</v>
      </c>
      <c r="J367" s="33">
        <f>IF(Auto_Roster!M367="Y",G367,0)</f>
        <v>0</v>
      </c>
      <c r="K367" s="33">
        <f>IF(Auto_Roster!L367="Y",G367,0)</f>
        <v>0</v>
      </c>
      <c r="L367" s="26" t="str">
        <f>Auto_Roster!K367</f>
        <v>N</v>
      </c>
      <c r="M367" s="34">
        <f>IF(L367="Y",Settings!$B$16,0)</f>
        <v>0</v>
      </c>
      <c r="N367" s="33">
        <f t="shared" si="21"/>
        <v>0</v>
      </c>
      <c r="O367" s="34">
        <f>N367*Settings!$B$17</f>
        <v>0</v>
      </c>
      <c r="P367" s="34">
        <f>IFERROR(VLOOKUP(C367,Employees!$A$4:$E$103,5,FALSE),Settings!$B$18)</f>
        <v>100</v>
      </c>
      <c r="Q367" s="34">
        <f t="shared" si="22"/>
        <v>0</v>
      </c>
      <c r="R367" s="34">
        <f>H367*P367*Settings!$B$13</f>
        <v>0</v>
      </c>
      <c r="S367" s="34">
        <f>J367*P367*(Settings!$B$14-1)</f>
        <v>0</v>
      </c>
      <c r="T367" s="34">
        <f>K367*P367*(Settings!$B$15-1)</f>
        <v>0</v>
      </c>
      <c r="U367" s="34">
        <f t="shared" si="23"/>
        <v>0</v>
      </c>
      <c r="V367" s="26" t="str">
        <f>Auto_Roster!O367</f>
        <v>Pending</v>
      </c>
      <c r="W367" s="26" t="e">
        <f ca="1">_xludf.TEXTJOIN("; ",TRUE,Auto_Roster!N367,IF(G367&gt;Settings!$B$19,"Approval required &gt; standard hours",""),IF(AND(F367&lt;&gt;"Off",G367=0),"Missing claimed hours",""))</f>
        <v>#NAME?</v>
      </c>
      <c r="X367" s="7"/>
    </row>
    <row r="368" spans="1:24" x14ac:dyDescent="0.35">
      <c r="A368" s="31">
        <f>Auto_Roster!A368</f>
        <v>46161</v>
      </c>
      <c r="B368" s="31">
        <f>Auto_Roster!B368</f>
        <v>46160</v>
      </c>
      <c r="C368" s="26" t="str">
        <f>Auto_Roster!C368</f>
        <v>E005</v>
      </c>
      <c r="D368" s="26" t="str">
        <f>Auto_Roster!D368</f>
        <v>Lesego Aphane</v>
      </c>
      <c r="E368" s="26" t="str">
        <f>Auto_Roster!E368</f>
        <v>A</v>
      </c>
      <c r="F368" s="26" t="str">
        <f>Auto_Roster!G368</f>
        <v>Night</v>
      </c>
      <c r="G368" s="33">
        <f>Auto_Roster!J368</f>
        <v>8</v>
      </c>
      <c r="H368" s="33">
        <f>IF(G368&gt;Settings!$B$19,G368-Settings!$B$19,0)</f>
        <v>0</v>
      </c>
      <c r="I368" s="33">
        <f t="shared" si="20"/>
        <v>8</v>
      </c>
      <c r="J368" s="33">
        <f>IF(Auto_Roster!M368="Y",G368,0)</f>
        <v>0</v>
      </c>
      <c r="K368" s="33">
        <f>IF(Auto_Roster!L368="Y",G368,0)</f>
        <v>0</v>
      </c>
      <c r="L368" s="26" t="str">
        <f>Auto_Roster!K368</f>
        <v>N</v>
      </c>
      <c r="M368" s="34">
        <f>IF(L368="Y",Settings!$B$16,0)</f>
        <v>0</v>
      </c>
      <c r="N368" s="33">
        <f t="shared" si="21"/>
        <v>8</v>
      </c>
      <c r="O368" s="34">
        <f>N368*Settings!$B$17</f>
        <v>0</v>
      </c>
      <c r="P368" s="34">
        <f>IFERROR(VLOOKUP(C368,Employees!$A$4:$E$103,5,FALSE),Settings!$B$18)</f>
        <v>100</v>
      </c>
      <c r="Q368" s="34">
        <f t="shared" si="22"/>
        <v>800</v>
      </c>
      <c r="R368" s="34">
        <f>H368*P368*Settings!$B$13</f>
        <v>0</v>
      </c>
      <c r="S368" s="34">
        <f>J368*P368*(Settings!$B$14-1)</f>
        <v>0</v>
      </c>
      <c r="T368" s="34">
        <f>K368*P368*(Settings!$B$15-1)</f>
        <v>0</v>
      </c>
      <c r="U368" s="34">
        <f t="shared" si="23"/>
        <v>800</v>
      </c>
      <c r="V368" s="26" t="str">
        <f>Auto_Roster!O368</f>
        <v>Pending</v>
      </c>
      <c r="W368" s="26" t="e">
        <f ca="1">_xludf.TEXTJOIN("; ",TRUE,Auto_Roster!N368,IF(G368&gt;Settings!$B$19,"Approval required &gt; standard hours",""),IF(AND(F368&lt;&gt;"Off",G368=0),"Missing claimed hours",""))</f>
        <v>#NAME?</v>
      </c>
      <c r="X368" s="7"/>
    </row>
    <row r="369" spans="1:24" x14ac:dyDescent="0.35">
      <c r="A369" s="31">
        <f>Auto_Roster!A369</f>
        <v>46161</v>
      </c>
      <c r="B369" s="31">
        <f>Auto_Roster!B369</f>
        <v>46160</v>
      </c>
      <c r="C369" s="26" t="str">
        <f>Auto_Roster!C369</f>
        <v>E006</v>
      </c>
      <c r="D369" s="26" t="str">
        <f>Auto_Roster!D369</f>
        <v>Nhalnahla</v>
      </c>
      <c r="E369" s="26" t="str">
        <f>Auto_Roster!E369</f>
        <v>B</v>
      </c>
      <c r="F369" s="26" t="str">
        <f>Auto_Roster!G369</f>
        <v>Evening</v>
      </c>
      <c r="G369" s="33">
        <f>Auto_Roster!J369</f>
        <v>8</v>
      </c>
      <c r="H369" s="33">
        <f>IF(G369&gt;Settings!$B$19,G369-Settings!$B$19,0)</f>
        <v>0</v>
      </c>
      <c r="I369" s="33">
        <f t="shared" si="20"/>
        <v>8</v>
      </c>
      <c r="J369" s="33">
        <f>IF(Auto_Roster!M369="Y",G369,0)</f>
        <v>0</v>
      </c>
      <c r="K369" s="33">
        <f>IF(Auto_Roster!L369="Y",G369,0)</f>
        <v>0</v>
      </c>
      <c r="L369" s="26" t="str">
        <f>Auto_Roster!K369</f>
        <v>N</v>
      </c>
      <c r="M369" s="34">
        <f>IF(L369="Y",Settings!$B$16,0)</f>
        <v>0</v>
      </c>
      <c r="N369" s="33">
        <f t="shared" si="21"/>
        <v>0</v>
      </c>
      <c r="O369" s="34">
        <f>N369*Settings!$B$17</f>
        <v>0</v>
      </c>
      <c r="P369" s="34">
        <f>IFERROR(VLOOKUP(C369,Employees!$A$4:$E$103,5,FALSE),Settings!$B$18)</f>
        <v>100</v>
      </c>
      <c r="Q369" s="34">
        <f t="shared" si="22"/>
        <v>800</v>
      </c>
      <c r="R369" s="34">
        <f>H369*P369*Settings!$B$13</f>
        <v>0</v>
      </c>
      <c r="S369" s="34">
        <f>J369*P369*(Settings!$B$14-1)</f>
        <v>0</v>
      </c>
      <c r="T369" s="34">
        <f>K369*P369*(Settings!$B$15-1)</f>
        <v>0</v>
      </c>
      <c r="U369" s="34">
        <f t="shared" si="23"/>
        <v>800</v>
      </c>
      <c r="V369" s="26" t="str">
        <f>Auto_Roster!O369</f>
        <v>Pending</v>
      </c>
      <c r="W369" s="26" t="e">
        <f ca="1">_xludf.TEXTJOIN("; ",TRUE,Auto_Roster!N369,IF(G369&gt;Settings!$B$19,"Approval required &gt; standard hours",""),IF(AND(F369&lt;&gt;"Off",G369=0),"Missing claimed hours",""))</f>
        <v>#NAME?</v>
      </c>
      <c r="X369" s="7"/>
    </row>
    <row r="370" spans="1:24" x14ac:dyDescent="0.35">
      <c r="A370" s="31">
        <f>Auto_Roster!A370</f>
        <v>46161</v>
      </c>
      <c r="B370" s="31">
        <f>Auto_Roster!B370</f>
        <v>46160</v>
      </c>
      <c r="C370" s="26" t="str">
        <f>Auto_Roster!C370</f>
        <v>E007</v>
      </c>
      <c r="D370" s="26" t="str">
        <f>Auto_Roster!D370</f>
        <v>Joe</v>
      </c>
      <c r="E370" s="26" t="str">
        <f>Auto_Roster!E370</f>
        <v>C</v>
      </c>
      <c r="F370" s="26" t="str">
        <f>Auto_Roster!G370</f>
        <v>Day</v>
      </c>
      <c r="G370" s="33">
        <f>Auto_Roster!J370</f>
        <v>8</v>
      </c>
      <c r="H370" s="33">
        <f>IF(G370&gt;Settings!$B$19,G370-Settings!$B$19,0)</f>
        <v>0</v>
      </c>
      <c r="I370" s="33">
        <f t="shared" si="20"/>
        <v>8</v>
      </c>
      <c r="J370" s="33">
        <f>IF(Auto_Roster!M370="Y",G370,0)</f>
        <v>0</v>
      </c>
      <c r="K370" s="33">
        <f>IF(Auto_Roster!L370="Y",G370,0)</f>
        <v>0</v>
      </c>
      <c r="L370" s="26" t="str">
        <f>Auto_Roster!K370</f>
        <v>N</v>
      </c>
      <c r="M370" s="34">
        <f>IF(L370="Y",Settings!$B$16,0)</f>
        <v>0</v>
      </c>
      <c r="N370" s="33">
        <f t="shared" si="21"/>
        <v>0</v>
      </c>
      <c r="O370" s="34">
        <f>N370*Settings!$B$17</f>
        <v>0</v>
      </c>
      <c r="P370" s="34">
        <f>IFERROR(VLOOKUP(C370,Employees!$A$4:$E$103,5,FALSE),Settings!$B$18)</f>
        <v>100</v>
      </c>
      <c r="Q370" s="34">
        <f t="shared" si="22"/>
        <v>800</v>
      </c>
      <c r="R370" s="34">
        <f>H370*P370*Settings!$B$13</f>
        <v>0</v>
      </c>
      <c r="S370" s="34">
        <f>J370*P370*(Settings!$B$14-1)</f>
        <v>0</v>
      </c>
      <c r="T370" s="34">
        <f>K370*P370*(Settings!$B$15-1)</f>
        <v>0</v>
      </c>
      <c r="U370" s="34">
        <f t="shared" si="23"/>
        <v>800</v>
      </c>
      <c r="V370" s="26" t="str">
        <f>Auto_Roster!O370</f>
        <v>Pending</v>
      </c>
      <c r="W370" s="26" t="e">
        <f ca="1">_xludf.TEXTJOIN("; ",TRUE,Auto_Roster!N370,IF(G370&gt;Settings!$B$19,"Approval required &gt; standard hours",""),IF(AND(F370&lt;&gt;"Off",G370=0),"Missing claimed hours",""))</f>
        <v>#NAME?</v>
      </c>
      <c r="X370" s="7"/>
    </row>
    <row r="371" spans="1:24" x14ac:dyDescent="0.35">
      <c r="A371" s="31">
        <f>Auto_Roster!A371</f>
        <v>46161</v>
      </c>
      <c r="B371" s="31">
        <f>Auto_Roster!B371</f>
        <v>46160</v>
      </c>
      <c r="C371" s="26" t="str">
        <f>Auto_Roster!C371</f>
        <v>E008</v>
      </c>
      <c r="D371" s="26" t="str">
        <f>Auto_Roster!D371</f>
        <v>Tim</v>
      </c>
      <c r="E371" s="26" t="str">
        <f>Auto_Roster!E371</f>
        <v>D</v>
      </c>
      <c r="F371" s="26" t="str">
        <f>Auto_Roster!G371</f>
        <v>Off</v>
      </c>
      <c r="G371" s="33">
        <f>Auto_Roster!J371</f>
        <v>0</v>
      </c>
      <c r="H371" s="33">
        <f>IF(G371&gt;Settings!$B$19,G371-Settings!$B$19,0)</f>
        <v>0</v>
      </c>
      <c r="I371" s="33">
        <f t="shared" si="20"/>
        <v>0</v>
      </c>
      <c r="J371" s="33">
        <f>IF(Auto_Roster!M371="Y",G371,0)</f>
        <v>0</v>
      </c>
      <c r="K371" s="33">
        <f>IF(Auto_Roster!L371="Y",G371,0)</f>
        <v>0</v>
      </c>
      <c r="L371" s="26" t="str">
        <f>Auto_Roster!K371</f>
        <v>N</v>
      </c>
      <c r="M371" s="34">
        <f>IF(L371="Y",Settings!$B$16,0)</f>
        <v>0</v>
      </c>
      <c r="N371" s="33">
        <f t="shared" si="21"/>
        <v>0</v>
      </c>
      <c r="O371" s="34">
        <f>N371*Settings!$B$17</f>
        <v>0</v>
      </c>
      <c r="P371" s="34">
        <f>IFERROR(VLOOKUP(C371,Employees!$A$4:$E$103,5,FALSE),Settings!$B$18)</f>
        <v>100</v>
      </c>
      <c r="Q371" s="34">
        <f t="shared" si="22"/>
        <v>0</v>
      </c>
      <c r="R371" s="34">
        <f>H371*P371*Settings!$B$13</f>
        <v>0</v>
      </c>
      <c r="S371" s="34">
        <f>J371*P371*(Settings!$B$14-1)</f>
        <v>0</v>
      </c>
      <c r="T371" s="34">
        <f>K371*P371*(Settings!$B$15-1)</f>
        <v>0</v>
      </c>
      <c r="U371" s="34">
        <f t="shared" si="23"/>
        <v>0</v>
      </c>
      <c r="V371" s="26" t="str">
        <f>Auto_Roster!O371</f>
        <v>Pending</v>
      </c>
      <c r="W371" s="26" t="e">
        <f ca="1">_xludf.TEXTJOIN("; ",TRUE,Auto_Roster!N371,IF(G371&gt;Settings!$B$19,"Approval required &gt; standard hours",""),IF(AND(F371&lt;&gt;"Off",G371=0),"Missing claimed hours",""))</f>
        <v>#NAME?</v>
      </c>
      <c r="X371" s="7"/>
    </row>
    <row r="372" spans="1:24" x14ac:dyDescent="0.35">
      <c r="A372" s="31">
        <f>Auto_Roster!A372</f>
        <v>46161</v>
      </c>
      <c r="B372" s="31">
        <f>Auto_Roster!B372</f>
        <v>46160</v>
      </c>
      <c r="C372" s="26" t="str">
        <f>Auto_Roster!C372</f>
        <v>E009</v>
      </c>
      <c r="D372" s="26" t="str">
        <f>Auto_Roster!D372</f>
        <v>Frank</v>
      </c>
      <c r="E372" s="26" t="str">
        <f>Auto_Roster!E372</f>
        <v>A</v>
      </c>
      <c r="F372" s="26" t="str">
        <f>Auto_Roster!G372</f>
        <v>Night</v>
      </c>
      <c r="G372" s="33">
        <f>Auto_Roster!J372</f>
        <v>8</v>
      </c>
      <c r="H372" s="33">
        <f>IF(G372&gt;Settings!$B$19,G372-Settings!$B$19,0)</f>
        <v>0</v>
      </c>
      <c r="I372" s="33">
        <f t="shared" si="20"/>
        <v>8</v>
      </c>
      <c r="J372" s="33">
        <f>IF(Auto_Roster!M372="Y",G372,0)</f>
        <v>0</v>
      </c>
      <c r="K372" s="33">
        <f>IF(Auto_Roster!L372="Y",G372,0)</f>
        <v>0</v>
      </c>
      <c r="L372" s="26" t="str">
        <f>Auto_Roster!K372</f>
        <v>N</v>
      </c>
      <c r="M372" s="34">
        <f>IF(L372="Y",Settings!$B$16,0)</f>
        <v>0</v>
      </c>
      <c r="N372" s="33">
        <f t="shared" si="21"/>
        <v>8</v>
      </c>
      <c r="O372" s="34">
        <f>N372*Settings!$B$17</f>
        <v>0</v>
      </c>
      <c r="P372" s="34">
        <f>IFERROR(VLOOKUP(C372,Employees!$A$4:$E$103,5,FALSE),Settings!$B$18)</f>
        <v>100</v>
      </c>
      <c r="Q372" s="34">
        <f t="shared" si="22"/>
        <v>800</v>
      </c>
      <c r="R372" s="34">
        <f>H372*P372*Settings!$B$13</f>
        <v>0</v>
      </c>
      <c r="S372" s="34">
        <f>J372*P372*(Settings!$B$14-1)</f>
        <v>0</v>
      </c>
      <c r="T372" s="34">
        <f>K372*P372*(Settings!$B$15-1)</f>
        <v>0</v>
      </c>
      <c r="U372" s="34">
        <f t="shared" si="23"/>
        <v>800</v>
      </c>
      <c r="V372" s="26" t="str">
        <f>Auto_Roster!O372</f>
        <v>Pending</v>
      </c>
      <c r="W372" s="26" t="e">
        <f ca="1">_xludf.TEXTJOIN("; ",TRUE,Auto_Roster!N372,IF(G372&gt;Settings!$B$19,"Approval required &gt; standard hours",""),IF(AND(F372&lt;&gt;"Off",G372=0),"Missing claimed hours",""))</f>
        <v>#NAME?</v>
      </c>
      <c r="X372" s="7"/>
    </row>
    <row r="373" spans="1:24" x14ac:dyDescent="0.35">
      <c r="A373" s="31">
        <f>Auto_Roster!A373</f>
        <v>46161</v>
      </c>
      <c r="B373" s="31">
        <f>Auto_Roster!B373</f>
        <v>46160</v>
      </c>
      <c r="C373" s="26" t="str">
        <f>Auto_Roster!C373</f>
        <v/>
      </c>
      <c r="D373" s="26" t="str">
        <f>Auto_Roster!D373</f>
        <v/>
      </c>
      <c r="E373" s="26" t="str">
        <f>Auto_Roster!E373</f>
        <v/>
      </c>
      <c r="F373" s="26" t="str">
        <f>Auto_Roster!G373</f>
        <v/>
      </c>
      <c r="G373" s="33">
        <f>Auto_Roster!J373</f>
        <v>0</v>
      </c>
      <c r="H373" s="33">
        <f>IF(G373&gt;Settings!$B$19,G373-Settings!$B$19,0)</f>
        <v>0</v>
      </c>
      <c r="I373" s="33">
        <f t="shared" si="20"/>
        <v>0</v>
      </c>
      <c r="J373" s="33">
        <f>IF(Auto_Roster!M373="Y",G373,0)</f>
        <v>0</v>
      </c>
      <c r="K373" s="33">
        <f>IF(Auto_Roster!L373="Y",G373,0)</f>
        <v>0</v>
      </c>
      <c r="L373" s="26" t="str">
        <f>Auto_Roster!K373</f>
        <v>N</v>
      </c>
      <c r="M373" s="34">
        <f>IF(L373="Y",Settings!$B$16,0)</f>
        <v>0</v>
      </c>
      <c r="N373" s="33">
        <f t="shared" si="21"/>
        <v>0</v>
      </c>
      <c r="O373" s="34">
        <f>N373*Settings!$B$17</f>
        <v>0</v>
      </c>
      <c r="P373" s="34">
        <f>IFERROR(VLOOKUP(C373,Employees!$A$4:$E$103,5,FALSE),Settings!$B$18)</f>
        <v>100</v>
      </c>
      <c r="Q373" s="34">
        <f t="shared" si="22"/>
        <v>0</v>
      </c>
      <c r="R373" s="34">
        <f>H373*P373*Settings!$B$13</f>
        <v>0</v>
      </c>
      <c r="S373" s="34">
        <f>J373*P373*(Settings!$B$14-1)</f>
        <v>0</v>
      </c>
      <c r="T373" s="34">
        <f>K373*P373*(Settings!$B$15-1)</f>
        <v>0</v>
      </c>
      <c r="U373" s="34">
        <f t="shared" si="23"/>
        <v>0</v>
      </c>
      <c r="V373" s="26" t="str">
        <f>Auto_Roster!O373</f>
        <v>Pending</v>
      </c>
      <c r="W373" s="26" t="e">
        <f ca="1">_xludf.TEXTJOIN("; ",TRUE,Auto_Roster!N373,IF(G373&gt;Settings!$B$19,"Approval required &gt; standard hours",""),IF(AND(F373&lt;&gt;"Off",G373=0),"Missing claimed hours",""))</f>
        <v>#NAME?</v>
      </c>
      <c r="X373" s="7"/>
    </row>
    <row r="374" spans="1:24" x14ac:dyDescent="0.35">
      <c r="A374" s="31">
        <f>Auto_Roster!A374</f>
        <v>46161</v>
      </c>
      <c r="B374" s="31">
        <f>Auto_Roster!B374</f>
        <v>46160</v>
      </c>
      <c r="C374" s="26" t="str">
        <f>Auto_Roster!C374</f>
        <v/>
      </c>
      <c r="D374" s="26" t="str">
        <f>Auto_Roster!D374</f>
        <v/>
      </c>
      <c r="E374" s="26" t="str">
        <f>Auto_Roster!E374</f>
        <v/>
      </c>
      <c r="F374" s="26" t="str">
        <f>Auto_Roster!G374</f>
        <v/>
      </c>
      <c r="G374" s="33">
        <f>Auto_Roster!J374</f>
        <v>0</v>
      </c>
      <c r="H374" s="33">
        <f>IF(G374&gt;Settings!$B$19,G374-Settings!$B$19,0)</f>
        <v>0</v>
      </c>
      <c r="I374" s="33">
        <f t="shared" si="20"/>
        <v>0</v>
      </c>
      <c r="J374" s="33">
        <f>IF(Auto_Roster!M374="Y",G374,0)</f>
        <v>0</v>
      </c>
      <c r="K374" s="33">
        <f>IF(Auto_Roster!L374="Y",G374,0)</f>
        <v>0</v>
      </c>
      <c r="L374" s="26" t="str">
        <f>Auto_Roster!K374</f>
        <v>N</v>
      </c>
      <c r="M374" s="34">
        <f>IF(L374="Y",Settings!$B$16,0)</f>
        <v>0</v>
      </c>
      <c r="N374" s="33">
        <f t="shared" si="21"/>
        <v>0</v>
      </c>
      <c r="O374" s="34">
        <f>N374*Settings!$B$17</f>
        <v>0</v>
      </c>
      <c r="P374" s="34">
        <f>IFERROR(VLOOKUP(C374,Employees!$A$4:$E$103,5,FALSE),Settings!$B$18)</f>
        <v>100</v>
      </c>
      <c r="Q374" s="34">
        <f t="shared" si="22"/>
        <v>0</v>
      </c>
      <c r="R374" s="34">
        <f>H374*P374*Settings!$B$13</f>
        <v>0</v>
      </c>
      <c r="S374" s="34">
        <f>J374*P374*(Settings!$B$14-1)</f>
        <v>0</v>
      </c>
      <c r="T374" s="34">
        <f>K374*P374*(Settings!$B$15-1)</f>
        <v>0</v>
      </c>
      <c r="U374" s="34">
        <f t="shared" si="23"/>
        <v>0</v>
      </c>
      <c r="V374" s="26" t="str">
        <f>Auto_Roster!O374</f>
        <v>Pending</v>
      </c>
      <c r="W374" s="26" t="e">
        <f ca="1">_xludf.TEXTJOIN("; ",TRUE,Auto_Roster!N374,IF(G374&gt;Settings!$B$19,"Approval required &gt; standard hours",""),IF(AND(F374&lt;&gt;"Off",G374=0),"Missing claimed hours",""))</f>
        <v>#NAME?</v>
      </c>
      <c r="X374" s="7"/>
    </row>
    <row r="375" spans="1:24" x14ac:dyDescent="0.35">
      <c r="A375" s="31">
        <f>Auto_Roster!A375</f>
        <v>46161</v>
      </c>
      <c r="B375" s="31">
        <f>Auto_Roster!B375</f>
        <v>46160</v>
      </c>
      <c r="C375" s="26" t="str">
        <f>Auto_Roster!C375</f>
        <v/>
      </c>
      <c r="D375" s="26" t="str">
        <f>Auto_Roster!D375</f>
        <v/>
      </c>
      <c r="E375" s="26" t="str">
        <f>Auto_Roster!E375</f>
        <v/>
      </c>
      <c r="F375" s="26" t="str">
        <f>Auto_Roster!G375</f>
        <v/>
      </c>
      <c r="G375" s="33">
        <f>Auto_Roster!J375</f>
        <v>0</v>
      </c>
      <c r="H375" s="33">
        <f>IF(G375&gt;Settings!$B$19,G375-Settings!$B$19,0)</f>
        <v>0</v>
      </c>
      <c r="I375" s="33">
        <f t="shared" si="20"/>
        <v>0</v>
      </c>
      <c r="J375" s="33">
        <f>IF(Auto_Roster!M375="Y",G375,0)</f>
        <v>0</v>
      </c>
      <c r="K375" s="33">
        <f>IF(Auto_Roster!L375="Y",G375,0)</f>
        <v>0</v>
      </c>
      <c r="L375" s="26" t="str">
        <f>Auto_Roster!K375</f>
        <v>N</v>
      </c>
      <c r="M375" s="34">
        <f>IF(L375="Y",Settings!$B$16,0)</f>
        <v>0</v>
      </c>
      <c r="N375" s="33">
        <f t="shared" si="21"/>
        <v>0</v>
      </c>
      <c r="O375" s="34">
        <f>N375*Settings!$B$17</f>
        <v>0</v>
      </c>
      <c r="P375" s="34">
        <f>IFERROR(VLOOKUP(C375,Employees!$A$4:$E$103,5,FALSE),Settings!$B$18)</f>
        <v>100</v>
      </c>
      <c r="Q375" s="34">
        <f t="shared" si="22"/>
        <v>0</v>
      </c>
      <c r="R375" s="34">
        <f>H375*P375*Settings!$B$13</f>
        <v>0</v>
      </c>
      <c r="S375" s="34">
        <f>J375*P375*(Settings!$B$14-1)</f>
        <v>0</v>
      </c>
      <c r="T375" s="34">
        <f>K375*P375*(Settings!$B$15-1)</f>
        <v>0</v>
      </c>
      <c r="U375" s="34">
        <f t="shared" si="23"/>
        <v>0</v>
      </c>
      <c r="V375" s="26" t="str">
        <f>Auto_Roster!O375</f>
        <v>Pending</v>
      </c>
      <c r="W375" s="26" t="e">
        <f ca="1">_xludf.TEXTJOIN("; ",TRUE,Auto_Roster!N375,IF(G375&gt;Settings!$B$19,"Approval required &gt; standard hours",""),IF(AND(F375&lt;&gt;"Off",G375=0),"Missing claimed hours",""))</f>
        <v>#NAME?</v>
      </c>
      <c r="X375" s="7"/>
    </row>
    <row r="376" spans="1:24" x14ac:dyDescent="0.35">
      <c r="A376" s="31">
        <f>Auto_Roster!A376</f>
        <v>46161</v>
      </c>
      <c r="B376" s="31">
        <f>Auto_Roster!B376</f>
        <v>46160</v>
      </c>
      <c r="C376" s="26" t="str">
        <f>Auto_Roster!C376</f>
        <v/>
      </c>
      <c r="D376" s="26" t="str">
        <f>Auto_Roster!D376</f>
        <v/>
      </c>
      <c r="E376" s="26" t="str">
        <f>Auto_Roster!E376</f>
        <v/>
      </c>
      <c r="F376" s="26" t="str">
        <f>Auto_Roster!G376</f>
        <v/>
      </c>
      <c r="G376" s="33">
        <f>Auto_Roster!J376</f>
        <v>0</v>
      </c>
      <c r="H376" s="33">
        <f>IF(G376&gt;Settings!$B$19,G376-Settings!$B$19,0)</f>
        <v>0</v>
      </c>
      <c r="I376" s="33">
        <f t="shared" si="20"/>
        <v>0</v>
      </c>
      <c r="J376" s="33">
        <f>IF(Auto_Roster!M376="Y",G376,0)</f>
        <v>0</v>
      </c>
      <c r="K376" s="33">
        <f>IF(Auto_Roster!L376="Y",G376,0)</f>
        <v>0</v>
      </c>
      <c r="L376" s="26" t="str">
        <f>Auto_Roster!K376</f>
        <v>N</v>
      </c>
      <c r="M376" s="34">
        <f>IF(L376="Y",Settings!$B$16,0)</f>
        <v>0</v>
      </c>
      <c r="N376" s="33">
        <f t="shared" si="21"/>
        <v>0</v>
      </c>
      <c r="O376" s="34">
        <f>N376*Settings!$B$17</f>
        <v>0</v>
      </c>
      <c r="P376" s="34">
        <f>IFERROR(VLOOKUP(C376,Employees!$A$4:$E$103,5,FALSE),Settings!$B$18)</f>
        <v>100</v>
      </c>
      <c r="Q376" s="34">
        <f t="shared" si="22"/>
        <v>0</v>
      </c>
      <c r="R376" s="34">
        <f>H376*P376*Settings!$B$13</f>
        <v>0</v>
      </c>
      <c r="S376" s="34">
        <f>J376*P376*(Settings!$B$14-1)</f>
        <v>0</v>
      </c>
      <c r="T376" s="34">
        <f>K376*P376*(Settings!$B$15-1)</f>
        <v>0</v>
      </c>
      <c r="U376" s="34">
        <f t="shared" si="23"/>
        <v>0</v>
      </c>
      <c r="V376" s="26" t="str">
        <f>Auto_Roster!O376</f>
        <v>Pending</v>
      </c>
      <c r="W376" s="26" t="e">
        <f ca="1">_xludf.TEXTJOIN("; ",TRUE,Auto_Roster!N376,IF(G376&gt;Settings!$B$19,"Approval required &gt; standard hours",""),IF(AND(F376&lt;&gt;"Off",G376=0),"Missing claimed hours",""))</f>
        <v>#NAME?</v>
      </c>
      <c r="X376" s="7"/>
    </row>
    <row r="377" spans="1:24" x14ac:dyDescent="0.35">
      <c r="A377" s="31">
        <f>Auto_Roster!A377</f>
        <v>46161</v>
      </c>
      <c r="B377" s="31">
        <f>Auto_Roster!B377</f>
        <v>46160</v>
      </c>
      <c r="C377" s="26" t="str">
        <f>Auto_Roster!C377</f>
        <v/>
      </c>
      <c r="D377" s="26" t="str">
        <f>Auto_Roster!D377</f>
        <v/>
      </c>
      <c r="E377" s="26" t="str">
        <f>Auto_Roster!E377</f>
        <v/>
      </c>
      <c r="F377" s="26" t="str">
        <f>Auto_Roster!G377</f>
        <v/>
      </c>
      <c r="G377" s="33">
        <f>Auto_Roster!J377</f>
        <v>0</v>
      </c>
      <c r="H377" s="33">
        <f>IF(G377&gt;Settings!$B$19,G377-Settings!$B$19,0)</f>
        <v>0</v>
      </c>
      <c r="I377" s="33">
        <f t="shared" si="20"/>
        <v>0</v>
      </c>
      <c r="J377" s="33">
        <f>IF(Auto_Roster!M377="Y",G377,0)</f>
        <v>0</v>
      </c>
      <c r="K377" s="33">
        <f>IF(Auto_Roster!L377="Y",G377,0)</f>
        <v>0</v>
      </c>
      <c r="L377" s="26" t="str">
        <f>Auto_Roster!K377</f>
        <v>N</v>
      </c>
      <c r="M377" s="34">
        <f>IF(L377="Y",Settings!$B$16,0)</f>
        <v>0</v>
      </c>
      <c r="N377" s="33">
        <f t="shared" si="21"/>
        <v>0</v>
      </c>
      <c r="O377" s="34">
        <f>N377*Settings!$B$17</f>
        <v>0</v>
      </c>
      <c r="P377" s="34">
        <f>IFERROR(VLOOKUP(C377,Employees!$A$4:$E$103,5,FALSE),Settings!$B$18)</f>
        <v>100</v>
      </c>
      <c r="Q377" s="34">
        <f t="shared" si="22"/>
        <v>0</v>
      </c>
      <c r="R377" s="34">
        <f>H377*P377*Settings!$B$13</f>
        <v>0</v>
      </c>
      <c r="S377" s="34">
        <f>J377*P377*(Settings!$B$14-1)</f>
        <v>0</v>
      </c>
      <c r="T377" s="34">
        <f>K377*P377*(Settings!$B$15-1)</f>
        <v>0</v>
      </c>
      <c r="U377" s="34">
        <f t="shared" si="23"/>
        <v>0</v>
      </c>
      <c r="V377" s="26" t="str">
        <f>Auto_Roster!O377</f>
        <v>Pending</v>
      </c>
      <c r="W377" s="26" t="e">
        <f ca="1">_xludf.TEXTJOIN("; ",TRUE,Auto_Roster!N377,IF(G377&gt;Settings!$B$19,"Approval required &gt; standard hours",""),IF(AND(F377&lt;&gt;"Off",G377=0),"Missing claimed hours",""))</f>
        <v>#NAME?</v>
      </c>
      <c r="X377" s="7"/>
    </row>
    <row r="378" spans="1:24" x14ac:dyDescent="0.35">
      <c r="A378" s="31">
        <f>Auto_Roster!A378</f>
        <v>46161</v>
      </c>
      <c r="B378" s="31">
        <f>Auto_Roster!B378</f>
        <v>46160</v>
      </c>
      <c r="C378" s="26" t="str">
        <f>Auto_Roster!C378</f>
        <v/>
      </c>
      <c r="D378" s="26" t="str">
        <f>Auto_Roster!D378</f>
        <v/>
      </c>
      <c r="E378" s="26" t="str">
        <f>Auto_Roster!E378</f>
        <v/>
      </c>
      <c r="F378" s="26" t="str">
        <f>Auto_Roster!G378</f>
        <v/>
      </c>
      <c r="G378" s="33">
        <f>Auto_Roster!J378</f>
        <v>0</v>
      </c>
      <c r="H378" s="33">
        <f>IF(G378&gt;Settings!$B$19,G378-Settings!$B$19,0)</f>
        <v>0</v>
      </c>
      <c r="I378" s="33">
        <f t="shared" si="20"/>
        <v>0</v>
      </c>
      <c r="J378" s="33">
        <f>IF(Auto_Roster!M378="Y",G378,0)</f>
        <v>0</v>
      </c>
      <c r="K378" s="33">
        <f>IF(Auto_Roster!L378="Y",G378,0)</f>
        <v>0</v>
      </c>
      <c r="L378" s="26" t="str">
        <f>Auto_Roster!K378</f>
        <v>N</v>
      </c>
      <c r="M378" s="34">
        <f>IF(L378="Y",Settings!$B$16,0)</f>
        <v>0</v>
      </c>
      <c r="N378" s="33">
        <f t="shared" si="21"/>
        <v>0</v>
      </c>
      <c r="O378" s="34">
        <f>N378*Settings!$B$17</f>
        <v>0</v>
      </c>
      <c r="P378" s="34">
        <f>IFERROR(VLOOKUP(C378,Employees!$A$4:$E$103,5,FALSE),Settings!$B$18)</f>
        <v>100</v>
      </c>
      <c r="Q378" s="34">
        <f t="shared" si="22"/>
        <v>0</v>
      </c>
      <c r="R378" s="34">
        <f>H378*P378*Settings!$B$13</f>
        <v>0</v>
      </c>
      <c r="S378" s="34">
        <f>J378*P378*(Settings!$B$14-1)</f>
        <v>0</v>
      </c>
      <c r="T378" s="34">
        <f>K378*P378*(Settings!$B$15-1)</f>
        <v>0</v>
      </c>
      <c r="U378" s="34">
        <f t="shared" si="23"/>
        <v>0</v>
      </c>
      <c r="V378" s="26" t="str">
        <f>Auto_Roster!O378</f>
        <v>Pending</v>
      </c>
      <c r="W378" s="26" t="e">
        <f ca="1">_xludf.TEXTJOIN("; ",TRUE,Auto_Roster!N378,IF(G378&gt;Settings!$B$19,"Approval required &gt; standard hours",""),IF(AND(F378&lt;&gt;"Off",G378=0),"Missing claimed hours",""))</f>
        <v>#NAME?</v>
      </c>
      <c r="X378" s="7"/>
    </row>
    <row r="379" spans="1:24" x14ac:dyDescent="0.35">
      <c r="A379" s="31">
        <f>Auto_Roster!A379</f>
        <v>46161</v>
      </c>
      <c r="B379" s="31">
        <f>Auto_Roster!B379</f>
        <v>46160</v>
      </c>
      <c r="C379" s="26" t="str">
        <f>Auto_Roster!C379</f>
        <v/>
      </c>
      <c r="D379" s="26" t="str">
        <f>Auto_Roster!D379</f>
        <v/>
      </c>
      <c r="E379" s="26" t="str">
        <f>Auto_Roster!E379</f>
        <v/>
      </c>
      <c r="F379" s="26" t="str">
        <f>Auto_Roster!G379</f>
        <v/>
      </c>
      <c r="G379" s="33">
        <f>Auto_Roster!J379</f>
        <v>0</v>
      </c>
      <c r="H379" s="33">
        <f>IF(G379&gt;Settings!$B$19,G379-Settings!$B$19,0)</f>
        <v>0</v>
      </c>
      <c r="I379" s="33">
        <f t="shared" si="20"/>
        <v>0</v>
      </c>
      <c r="J379" s="33">
        <f>IF(Auto_Roster!M379="Y",G379,0)</f>
        <v>0</v>
      </c>
      <c r="K379" s="33">
        <f>IF(Auto_Roster!L379="Y",G379,0)</f>
        <v>0</v>
      </c>
      <c r="L379" s="26" t="str">
        <f>Auto_Roster!K379</f>
        <v>N</v>
      </c>
      <c r="M379" s="34">
        <f>IF(L379="Y",Settings!$B$16,0)</f>
        <v>0</v>
      </c>
      <c r="N379" s="33">
        <f t="shared" si="21"/>
        <v>0</v>
      </c>
      <c r="O379" s="34">
        <f>N379*Settings!$B$17</f>
        <v>0</v>
      </c>
      <c r="P379" s="34">
        <f>IFERROR(VLOOKUP(C379,Employees!$A$4:$E$103,5,FALSE),Settings!$B$18)</f>
        <v>100</v>
      </c>
      <c r="Q379" s="34">
        <f t="shared" si="22"/>
        <v>0</v>
      </c>
      <c r="R379" s="34">
        <f>H379*P379*Settings!$B$13</f>
        <v>0</v>
      </c>
      <c r="S379" s="34">
        <f>J379*P379*(Settings!$B$14-1)</f>
        <v>0</v>
      </c>
      <c r="T379" s="34">
        <f>K379*P379*(Settings!$B$15-1)</f>
        <v>0</v>
      </c>
      <c r="U379" s="34">
        <f t="shared" si="23"/>
        <v>0</v>
      </c>
      <c r="V379" s="26" t="str">
        <f>Auto_Roster!O379</f>
        <v>Pending</v>
      </c>
      <c r="W379" s="26" t="e">
        <f ca="1">_xludf.TEXTJOIN("; ",TRUE,Auto_Roster!N379,IF(G379&gt;Settings!$B$19,"Approval required &gt; standard hours",""),IF(AND(F379&lt;&gt;"Off",G379=0),"Missing claimed hours",""))</f>
        <v>#NAME?</v>
      </c>
      <c r="X379" s="7"/>
    </row>
    <row r="380" spans="1:24" x14ac:dyDescent="0.35">
      <c r="A380" s="31">
        <f>Auto_Roster!A380</f>
        <v>46161</v>
      </c>
      <c r="B380" s="31">
        <f>Auto_Roster!B380</f>
        <v>46160</v>
      </c>
      <c r="C380" s="26" t="str">
        <f>Auto_Roster!C380</f>
        <v/>
      </c>
      <c r="D380" s="26" t="str">
        <f>Auto_Roster!D380</f>
        <v/>
      </c>
      <c r="E380" s="26" t="str">
        <f>Auto_Roster!E380</f>
        <v/>
      </c>
      <c r="F380" s="26" t="str">
        <f>Auto_Roster!G380</f>
        <v/>
      </c>
      <c r="G380" s="33">
        <f>Auto_Roster!J380</f>
        <v>0</v>
      </c>
      <c r="H380" s="33">
        <f>IF(G380&gt;Settings!$B$19,G380-Settings!$B$19,0)</f>
        <v>0</v>
      </c>
      <c r="I380" s="33">
        <f t="shared" si="20"/>
        <v>0</v>
      </c>
      <c r="J380" s="33">
        <f>IF(Auto_Roster!M380="Y",G380,0)</f>
        <v>0</v>
      </c>
      <c r="K380" s="33">
        <f>IF(Auto_Roster!L380="Y",G380,0)</f>
        <v>0</v>
      </c>
      <c r="L380" s="26" t="str">
        <f>Auto_Roster!K380</f>
        <v>N</v>
      </c>
      <c r="M380" s="34">
        <f>IF(L380="Y",Settings!$B$16,0)</f>
        <v>0</v>
      </c>
      <c r="N380" s="33">
        <f t="shared" si="21"/>
        <v>0</v>
      </c>
      <c r="O380" s="34">
        <f>N380*Settings!$B$17</f>
        <v>0</v>
      </c>
      <c r="P380" s="34">
        <f>IFERROR(VLOOKUP(C380,Employees!$A$4:$E$103,5,FALSE),Settings!$B$18)</f>
        <v>100</v>
      </c>
      <c r="Q380" s="34">
        <f t="shared" si="22"/>
        <v>0</v>
      </c>
      <c r="R380" s="34">
        <f>H380*P380*Settings!$B$13</f>
        <v>0</v>
      </c>
      <c r="S380" s="34">
        <f>J380*P380*(Settings!$B$14-1)</f>
        <v>0</v>
      </c>
      <c r="T380" s="34">
        <f>K380*P380*(Settings!$B$15-1)</f>
        <v>0</v>
      </c>
      <c r="U380" s="34">
        <f t="shared" si="23"/>
        <v>0</v>
      </c>
      <c r="V380" s="26" t="str">
        <f>Auto_Roster!O380</f>
        <v>Pending</v>
      </c>
      <c r="W380" s="26" t="e">
        <f ca="1">_xludf.TEXTJOIN("; ",TRUE,Auto_Roster!N380,IF(G380&gt;Settings!$B$19,"Approval required &gt; standard hours",""),IF(AND(F380&lt;&gt;"Off",G380=0),"Missing claimed hours",""))</f>
        <v>#NAME?</v>
      </c>
      <c r="X380" s="7"/>
    </row>
    <row r="381" spans="1:24" x14ac:dyDescent="0.35">
      <c r="A381" s="31">
        <f>Auto_Roster!A381</f>
        <v>46161</v>
      </c>
      <c r="B381" s="31">
        <f>Auto_Roster!B381</f>
        <v>46160</v>
      </c>
      <c r="C381" s="26" t="str">
        <f>Auto_Roster!C381</f>
        <v/>
      </c>
      <c r="D381" s="26" t="str">
        <f>Auto_Roster!D381</f>
        <v/>
      </c>
      <c r="E381" s="26" t="str">
        <f>Auto_Roster!E381</f>
        <v/>
      </c>
      <c r="F381" s="26" t="str">
        <f>Auto_Roster!G381</f>
        <v/>
      </c>
      <c r="G381" s="33">
        <f>Auto_Roster!J381</f>
        <v>0</v>
      </c>
      <c r="H381" s="33">
        <f>IF(G381&gt;Settings!$B$19,G381-Settings!$B$19,0)</f>
        <v>0</v>
      </c>
      <c r="I381" s="33">
        <f t="shared" si="20"/>
        <v>0</v>
      </c>
      <c r="J381" s="33">
        <f>IF(Auto_Roster!M381="Y",G381,0)</f>
        <v>0</v>
      </c>
      <c r="K381" s="33">
        <f>IF(Auto_Roster!L381="Y",G381,0)</f>
        <v>0</v>
      </c>
      <c r="L381" s="26" t="str">
        <f>Auto_Roster!K381</f>
        <v>N</v>
      </c>
      <c r="M381" s="34">
        <f>IF(L381="Y",Settings!$B$16,0)</f>
        <v>0</v>
      </c>
      <c r="N381" s="33">
        <f t="shared" si="21"/>
        <v>0</v>
      </c>
      <c r="O381" s="34">
        <f>N381*Settings!$B$17</f>
        <v>0</v>
      </c>
      <c r="P381" s="34">
        <f>IFERROR(VLOOKUP(C381,Employees!$A$4:$E$103,5,FALSE),Settings!$B$18)</f>
        <v>100</v>
      </c>
      <c r="Q381" s="34">
        <f t="shared" si="22"/>
        <v>0</v>
      </c>
      <c r="R381" s="34">
        <f>H381*P381*Settings!$B$13</f>
        <v>0</v>
      </c>
      <c r="S381" s="34">
        <f>J381*P381*(Settings!$B$14-1)</f>
        <v>0</v>
      </c>
      <c r="T381" s="34">
        <f>K381*P381*(Settings!$B$15-1)</f>
        <v>0</v>
      </c>
      <c r="U381" s="34">
        <f t="shared" si="23"/>
        <v>0</v>
      </c>
      <c r="V381" s="26" t="str">
        <f>Auto_Roster!O381</f>
        <v>Pending</v>
      </c>
      <c r="W381" s="26" t="e">
        <f ca="1">_xludf.TEXTJOIN("; ",TRUE,Auto_Roster!N381,IF(G381&gt;Settings!$B$19,"Approval required &gt; standard hours",""),IF(AND(F381&lt;&gt;"Off",G381=0),"Missing claimed hours",""))</f>
        <v>#NAME?</v>
      </c>
      <c r="X381" s="7"/>
    </row>
    <row r="382" spans="1:24" x14ac:dyDescent="0.35">
      <c r="A382" s="31">
        <f>Auto_Roster!A382</f>
        <v>46161</v>
      </c>
      <c r="B382" s="31">
        <f>Auto_Roster!B382</f>
        <v>46160</v>
      </c>
      <c r="C382" s="26" t="str">
        <f>Auto_Roster!C382</f>
        <v/>
      </c>
      <c r="D382" s="26" t="str">
        <f>Auto_Roster!D382</f>
        <v/>
      </c>
      <c r="E382" s="26" t="str">
        <f>Auto_Roster!E382</f>
        <v/>
      </c>
      <c r="F382" s="26" t="str">
        <f>Auto_Roster!G382</f>
        <v/>
      </c>
      <c r="G382" s="33">
        <f>Auto_Roster!J382</f>
        <v>0</v>
      </c>
      <c r="H382" s="33">
        <f>IF(G382&gt;Settings!$B$19,G382-Settings!$B$19,0)</f>
        <v>0</v>
      </c>
      <c r="I382" s="33">
        <f t="shared" si="20"/>
        <v>0</v>
      </c>
      <c r="J382" s="33">
        <f>IF(Auto_Roster!M382="Y",G382,0)</f>
        <v>0</v>
      </c>
      <c r="K382" s="33">
        <f>IF(Auto_Roster!L382="Y",G382,0)</f>
        <v>0</v>
      </c>
      <c r="L382" s="26" t="str">
        <f>Auto_Roster!K382</f>
        <v>N</v>
      </c>
      <c r="M382" s="34">
        <f>IF(L382="Y",Settings!$B$16,0)</f>
        <v>0</v>
      </c>
      <c r="N382" s="33">
        <f t="shared" si="21"/>
        <v>0</v>
      </c>
      <c r="O382" s="34">
        <f>N382*Settings!$B$17</f>
        <v>0</v>
      </c>
      <c r="P382" s="34">
        <f>IFERROR(VLOOKUP(C382,Employees!$A$4:$E$103,5,FALSE),Settings!$B$18)</f>
        <v>100</v>
      </c>
      <c r="Q382" s="34">
        <f t="shared" si="22"/>
        <v>0</v>
      </c>
      <c r="R382" s="34">
        <f>H382*P382*Settings!$B$13</f>
        <v>0</v>
      </c>
      <c r="S382" s="34">
        <f>J382*P382*(Settings!$B$14-1)</f>
        <v>0</v>
      </c>
      <c r="T382" s="34">
        <f>K382*P382*(Settings!$B$15-1)</f>
        <v>0</v>
      </c>
      <c r="U382" s="34">
        <f t="shared" si="23"/>
        <v>0</v>
      </c>
      <c r="V382" s="26" t="str">
        <f>Auto_Roster!O382</f>
        <v>Pending</v>
      </c>
      <c r="W382" s="26" t="e">
        <f ca="1">_xludf.TEXTJOIN("; ",TRUE,Auto_Roster!N382,IF(G382&gt;Settings!$B$19,"Approval required &gt; standard hours",""),IF(AND(F382&lt;&gt;"Off",G382=0),"Missing claimed hours",""))</f>
        <v>#NAME?</v>
      </c>
      <c r="X382" s="7"/>
    </row>
    <row r="383" spans="1:24" x14ac:dyDescent="0.35">
      <c r="A383" s="31">
        <f>Auto_Roster!A383</f>
        <v>46161</v>
      </c>
      <c r="B383" s="31">
        <f>Auto_Roster!B383</f>
        <v>46160</v>
      </c>
      <c r="C383" s="26" t="str">
        <f>Auto_Roster!C383</f>
        <v/>
      </c>
      <c r="D383" s="26" t="str">
        <f>Auto_Roster!D383</f>
        <v/>
      </c>
      <c r="E383" s="26" t="str">
        <f>Auto_Roster!E383</f>
        <v/>
      </c>
      <c r="F383" s="26" t="str">
        <f>Auto_Roster!G383</f>
        <v/>
      </c>
      <c r="G383" s="33">
        <f>Auto_Roster!J383</f>
        <v>0</v>
      </c>
      <c r="H383" s="33">
        <f>IF(G383&gt;Settings!$B$19,G383-Settings!$B$19,0)</f>
        <v>0</v>
      </c>
      <c r="I383" s="33">
        <f t="shared" si="20"/>
        <v>0</v>
      </c>
      <c r="J383" s="33">
        <f>IF(Auto_Roster!M383="Y",G383,0)</f>
        <v>0</v>
      </c>
      <c r="K383" s="33">
        <f>IF(Auto_Roster!L383="Y",G383,0)</f>
        <v>0</v>
      </c>
      <c r="L383" s="26" t="str">
        <f>Auto_Roster!K383</f>
        <v>N</v>
      </c>
      <c r="M383" s="34">
        <f>IF(L383="Y",Settings!$B$16,0)</f>
        <v>0</v>
      </c>
      <c r="N383" s="33">
        <f t="shared" si="21"/>
        <v>0</v>
      </c>
      <c r="O383" s="34">
        <f>N383*Settings!$B$17</f>
        <v>0</v>
      </c>
      <c r="P383" s="34">
        <f>IFERROR(VLOOKUP(C383,Employees!$A$4:$E$103,5,FALSE),Settings!$B$18)</f>
        <v>100</v>
      </c>
      <c r="Q383" s="34">
        <f t="shared" si="22"/>
        <v>0</v>
      </c>
      <c r="R383" s="34">
        <f>H383*P383*Settings!$B$13</f>
        <v>0</v>
      </c>
      <c r="S383" s="34">
        <f>J383*P383*(Settings!$B$14-1)</f>
        <v>0</v>
      </c>
      <c r="T383" s="34">
        <f>K383*P383*(Settings!$B$15-1)</f>
        <v>0</v>
      </c>
      <c r="U383" s="34">
        <f t="shared" si="23"/>
        <v>0</v>
      </c>
      <c r="V383" s="26" t="str">
        <f>Auto_Roster!O383</f>
        <v>Pending</v>
      </c>
      <c r="W383" s="26" t="e">
        <f ca="1">_xludf.TEXTJOIN("; ",TRUE,Auto_Roster!N383,IF(G383&gt;Settings!$B$19,"Approval required &gt; standard hours",""),IF(AND(F383&lt;&gt;"Off",G383=0),"Missing claimed hours",""))</f>
        <v>#NAME?</v>
      </c>
      <c r="X383" s="7"/>
    </row>
    <row r="384" spans="1:24" x14ac:dyDescent="0.35">
      <c r="A384" s="31">
        <f>Auto_Roster!A384</f>
        <v>46162</v>
      </c>
      <c r="B384" s="31">
        <f>Auto_Roster!B384</f>
        <v>46160</v>
      </c>
      <c r="C384" s="26" t="str">
        <f>Auto_Roster!C384</f>
        <v>E001</v>
      </c>
      <c r="D384" s="26" t="str">
        <f>Auto_Roster!D384</f>
        <v>Musiwa Khavalani</v>
      </c>
      <c r="E384" s="26">
        <f>Auto_Roster!E384</f>
        <v>0</v>
      </c>
      <c r="F384" s="26" t="e">
        <f>Auto_Roster!G384</f>
        <v>#N/A</v>
      </c>
      <c r="G384" s="33" t="e">
        <f>Auto_Roster!J384</f>
        <v>#N/A</v>
      </c>
      <c r="H384" s="33" t="e">
        <f>IF(G384&gt;Settings!$B$19,G384-Settings!$B$19,0)</f>
        <v>#N/A</v>
      </c>
      <c r="I384" s="33" t="e">
        <f t="shared" si="20"/>
        <v>#N/A</v>
      </c>
      <c r="J384" s="33">
        <f>IF(Auto_Roster!M384="Y",G384,0)</f>
        <v>0</v>
      </c>
      <c r="K384" s="33">
        <f>IF(Auto_Roster!L384="Y",G384,0)</f>
        <v>0</v>
      </c>
      <c r="L384" s="26" t="str">
        <f>Auto_Roster!K384</f>
        <v>N</v>
      </c>
      <c r="M384" s="34">
        <f>IF(L384="Y",Settings!$B$16,0)</f>
        <v>0</v>
      </c>
      <c r="N384" s="33" t="e">
        <f t="shared" si="21"/>
        <v>#N/A</v>
      </c>
      <c r="O384" s="34" t="e">
        <f>N384*Settings!$B$17</f>
        <v>#N/A</v>
      </c>
      <c r="P384" s="34">
        <f>IFERROR(VLOOKUP(C384,Employees!$A$4:$E$103,5,FALSE),Settings!$B$18)</f>
        <v>100</v>
      </c>
      <c r="Q384" s="34" t="e">
        <f t="shared" si="22"/>
        <v>#N/A</v>
      </c>
      <c r="R384" s="34" t="e">
        <f>H384*P384*Settings!$B$13</f>
        <v>#N/A</v>
      </c>
      <c r="S384" s="34">
        <f>J384*P384*(Settings!$B$14-1)</f>
        <v>0</v>
      </c>
      <c r="T384" s="34">
        <f>K384*P384*(Settings!$B$15-1)</f>
        <v>0</v>
      </c>
      <c r="U384" s="34" t="e">
        <f t="shared" si="23"/>
        <v>#N/A</v>
      </c>
      <c r="V384" s="26" t="str">
        <f>Auto_Roster!O384</f>
        <v>Pending</v>
      </c>
      <c r="W384" s="26" t="e">
        <f ca="1">_xludf.TEXTJOIN("; ",TRUE,Auto_Roster!N384,IF(G384&gt;Settings!$B$19,"Approval required &gt; standard hours",""),IF(AND(F384&lt;&gt;"Off",G384=0),"Missing claimed hours",""))</f>
        <v>#NAME?</v>
      </c>
      <c r="X384" s="7"/>
    </row>
    <row r="385" spans="1:24" x14ac:dyDescent="0.35">
      <c r="A385" s="31">
        <f>Auto_Roster!A385</f>
        <v>46162</v>
      </c>
      <c r="B385" s="31">
        <f>Auto_Roster!B385</f>
        <v>46160</v>
      </c>
      <c r="C385" s="26" t="str">
        <f>Auto_Roster!C385</f>
        <v>E002</v>
      </c>
      <c r="D385" s="26" t="str">
        <f>Auto_Roster!D385</f>
        <v>Mpho  Nembemhia</v>
      </c>
      <c r="E385" s="26" t="str">
        <f>Auto_Roster!E385</f>
        <v>B</v>
      </c>
      <c r="F385" s="26" t="str">
        <f>Auto_Roster!G385</f>
        <v>Night</v>
      </c>
      <c r="G385" s="33">
        <f>Auto_Roster!J385</f>
        <v>8</v>
      </c>
      <c r="H385" s="33">
        <f>IF(G385&gt;Settings!$B$19,G385-Settings!$B$19,0)</f>
        <v>0</v>
      </c>
      <c r="I385" s="33">
        <f t="shared" si="20"/>
        <v>8</v>
      </c>
      <c r="J385" s="33">
        <f>IF(Auto_Roster!M385="Y",G385,0)</f>
        <v>0</v>
      </c>
      <c r="K385" s="33">
        <f>IF(Auto_Roster!L385="Y",G385,0)</f>
        <v>0</v>
      </c>
      <c r="L385" s="26" t="str">
        <f>Auto_Roster!K385</f>
        <v>N</v>
      </c>
      <c r="M385" s="34">
        <f>IF(L385="Y",Settings!$B$16,0)</f>
        <v>0</v>
      </c>
      <c r="N385" s="33">
        <f t="shared" si="21"/>
        <v>8</v>
      </c>
      <c r="O385" s="34">
        <f>N385*Settings!$B$17</f>
        <v>0</v>
      </c>
      <c r="P385" s="34">
        <f>IFERROR(VLOOKUP(C385,Employees!$A$4:$E$103,5,FALSE),Settings!$B$18)</f>
        <v>100</v>
      </c>
      <c r="Q385" s="34">
        <f t="shared" si="22"/>
        <v>800</v>
      </c>
      <c r="R385" s="34">
        <f>H385*P385*Settings!$B$13</f>
        <v>0</v>
      </c>
      <c r="S385" s="34">
        <f>J385*P385*(Settings!$B$14-1)</f>
        <v>0</v>
      </c>
      <c r="T385" s="34">
        <f>K385*P385*(Settings!$B$15-1)</f>
        <v>0</v>
      </c>
      <c r="U385" s="34">
        <f t="shared" si="23"/>
        <v>800</v>
      </c>
      <c r="V385" s="26" t="str">
        <f>Auto_Roster!O385</f>
        <v>Pending</v>
      </c>
      <c r="W385" s="26" t="e">
        <f ca="1">_xludf.TEXTJOIN("; ",TRUE,Auto_Roster!N385,IF(G385&gt;Settings!$B$19,"Approval required &gt; standard hours",""),IF(AND(F385&lt;&gt;"Off",G385=0),"Missing claimed hours",""))</f>
        <v>#NAME?</v>
      </c>
      <c r="X385" s="7"/>
    </row>
    <row r="386" spans="1:24" x14ac:dyDescent="0.35">
      <c r="A386" s="31">
        <f>Auto_Roster!A386</f>
        <v>46162</v>
      </c>
      <c r="B386" s="31">
        <f>Auto_Roster!B386</f>
        <v>46160</v>
      </c>
      <c r="C386" s="26" t="str">
        <f>Auto_Roster!C386</f>
        <v>E003</v>
      </c>
      <c r="D386" s="26" t="str">
        <f>Auto_Roster!D386</f>
        <v>Dimpho Makhafola</v>
      </c>
      <c r="E386" s="26" t="str">
        <f>Auto_Roster!E386</f>
        <v>C</v>
      </c>
      <c r="F386" s="26" t="str">
        <f>Auto_Roster!G386</f>
        <v>Evening</v>
      </c>
      <c r="G386" s="33">
        <f>Auto_Roster!J386</f>
        <v>8</v>
      </c>
      <c r="H386" s="33">
        <f>IF(G386&gt;Settings!$B$19,G386-Settings!$B$19,0)</f>
        <v>0</v>
      </c>
      <c r="I386" s="33">
        <f t="shared" si="20"/>
        <v>8</v>
      </c>
      <c r="J386" s="33">
        <f>IF(Auto_Roster!M386="Y",G386,0)</f>
        <v>0</v>
      </c>
      <c r="K386" s="33">
        <f>IF(Auto_Roster!L386="Y",G386,0)</f>
        <v>0</v>
      </c>
      <c r="L386" s="26" t="str">
        <f>Auto_Roster!K386</f>
        <v>N</v>
      </c>
      <c r="M386" s="34">
        <f>IF(L386="Y",Settings!$B$16,0)</f>
        <v>0</v>
      </c>
      <c r="N386" s="33">
        <f t="shared" si="21"/>
        <v>0</v>
      </c>
      <c r="O386" s="34">
        <f>N386*Settings!$B$17</f>
        <v>0</v>
      </c>
      <c r="P386" s="34">
        <f>IFERROR(VLOOKUP(C386,Employees!$A$4:$E$103,5,FALSE),Settings!$B$18)</f>
        <v>100</v>
      </c>
      <c r="Q386" s="34">
        <f t="shared" si="22"/>
        <v>800</v>
      </c>
      <c r="R386" s="34">
        <f>H386*P386*Settings!$B$13</f>
        <v>0</v>
      </c>
      <c r="S386" s="34">
        <f>J386*P386*(Settings!$B$14-1)</f>
        <v>0</v>
      </c>
      <c r="T386" s="34">
        <f>K386*P386*(Settings!$B$15-1)</f>
        <v>0</v>
      </c>
      <c r="U386" s="34">
        <f t="shared" si="23"/>
        <v>800</v>
      </c>
      <c r="V386" s="26" t="str">
        <f>Auto_Roster!O386</f>
        <v>Pending</v>
      </c>
      <c r="W386" s="26" t="e">
        <f ca="1">_xludf.TEXTJOIN("; ",TRUE,Auto_Roster!N386,IF(G386&gt;Settings!$B$19,"Approval required &gt; standard hours",""),IF(AND(F386&lt;&gt;"Off",G386=0),"Missing claimed hours",""))</f>
        <v>#NAME?</v>
      </c>
      <c r="X386" s="7"/>
    </row>
    <row r="387" spans="1:24" x14ac:dyDescent="0.35">
      <c r="A387" s="31">
        <f>Auto_Roster!A387</f>
        <v>46162</v>
      </c>
      <c r="B387" s="31">
        <f>Auto_Roster!B387</f>
        <v>46160</v>
      </c>
      <c r="C387" s="26" t="str">
        <f>Auto_Roster!C387</f>
        <v>E004</v>
      </c>
      <c r="D387" s="26" t="str">
        <f>Auto_Roster!D387</f>
        <v>Bashii Fall</v>
      </c>
      <c r="E387" s="26" t="str">
        <f>Auto_Roster!E387</f>
        <v>D</v>
      </c>
      <c r="F387" s="26" t="str">
        <f>Auto_Roster!G387</f>
        <v>Day</v>
      </c>
      <c r="G387" s="33">
        <f>Auto_Roster!J387</f>
        <v>8</v>
      </c>
      <c r="H387" s="33">
        <f>IF(G387&gt;Settings!$B$19,G387-Settings!$B$19,0)</f>
        <v>0</v>
      </c>
      <c r="I387" s="33">
        <f t="shared" si="20"/>
        <v>8</v>
      </c>
      <c r="J387" s="33">
        <f>IF(Auto_Roster!M387="Y",G387,0)</f>
        <v>0</v>
      </c>
      <c r="K387" s="33">
        <f>IF(Auto_Roster!L387="Y",G387,0)</f>
        <v>0</v>
      </c>
      <c r="L387" s="26" t="str">
        <f>Auto_Roster!K387</f>
        <v>N</v>
      </c>
      <c r="M387" s="34">
        <f>IF(L387="Y",Settings!$B$16,0)</f>
        <v>0</v>
      </c>
      <c r="N387" s="33">
        <f t="shared" si="21"/>
        <v>0</v>
      </c>
      <c r="O387" s="34">
        <f>N387*Settings!$B$17</f>
        <v>0</v>
      </c>
      <c r="P387" s="34">
        <f>IFERROR(VLOOKUP(C387,Employees!$A$4:$E$103,5,FALSE),Settings!$B$18)</f>
        <v>100</v>
      </c>
      <c r="Q387" s="34">
        <f t="shared" si="22"/>
        <v>800</v>
      </c>
      <c r="R387" s="34">
        <f>H387*P387*Settings!$B$13</f>
        <v>0</v>
      </c>
      <c r="S387" s="34">
        <f>J387*P387*(Settings!$B$14-1)</f>
        <v>0</v>
      </c>
      <c r="T387" s="34">
        <f>K387*P387*(Settings!$B$15-1)</f>
        <v>0</v>
      </c>
      <c r="U387" s="34">
        <f t="shared" si="23"/>
        <v>800</v>
      </c>
      <c r="V387" s="26" t="str">
        <f>Auto_Roster!O387</f>
        <v>Pending</v>
      </c>
      <c r="W387" s="26" t="e">
        <f ca="1">_xludf.TEXTJOIN("; ",TRUE,Auto_Roster!N387,IF(G387&gt;Settings!$B$19,"Approval required &gt; standard hours",""),IF(AND(F387&lt;&gt;"Off",G387=0),"Missing claimed hours",""))</f>
        <v>#NAME?</v>
      </c>
      <c r="X387" s="7"/>
    </row>
    <row r="388" spans="1:24" x14ac:dyDescent="0.35">
      <c r="A388" s="31">
        <f>Auto_Roster!A388</f>
        <v>46162</v>
      </c>
      <c r="B388" s="31">
        <f>Auto_Roster!B388</f>
        <v>46160</v>
      </c>
      <c r="C388" s="26" t="str">
        <f>Auto_Roster!C388</f>
        <v>E005</v>
      </c>
      <c r="D388" s="26" t="str">
        <f>Auto_Roster!D388</f>
        <v>Lesego Aphane</v>
      </c>
      <c r="E388" s="26" t="str">
        <f>Auto_Roster!E388</f>
        <v>A</v>
      </c>
      <c r="F388" s="26" t="str">
        <f>Auto_Roster!G388</f>
        <v>Off</v>
      </c>
      <c r="G388" s="33">
        <f>Auto_Roster!J388</f>
        <v>0</v>
      </c>
      <c r="H388" s="33">
        <f>IF(G388&gt;Settings!$B$19,G388-Settings!$B$19,0)</f>
        <v>0</v>
      </c>
      <c r="I388" s="33">
        <f t="shared" ref="I388:I451" si="24">MAX(0,G388-H388)</f>
        <v>0</v>
      </c>
      <c r="J388" s="33">
        <f>IF(Auto_Roster!M388="Y",G388,0)</f>
        <v>0</v>
      </c>
      <c r="K388" s="33">
        <f>IF(Auto_Roster!L388="Y",G388,0)</f>
        <v>0</v>
      </c>
      <c r="L388" s="26" t="str">
        <f>Auto_Roster!K388</f>
        <v>N</v>
      </c>
      <c r="M388" s="34">
        <f>IF(L388="Y",Settings!$B$16,0)</f>
        <v>0</v>
      </c>
      <c r="N388" s="33">
        <f t="shared" ref="N388:N451" si="25">IF(F388="Night",G388,0)</f>
        <v>0</v>
      </c>
      <c r="O388" s="34">
        <f>N388*Settings!$B$17</f>
        <v>0</v>
      </c>
      <c r="P388" s="34">
        <f>IFERROR(VLOOKUP(C388,Employees!$A$4:$E$103,5,FALSE),Settings!$B$18)</f>
        <v>100</v>
      </c>
      <c r="Q388" s="34">
        <f t="shared" ref="Q388:Q451" si="26">I388*P388</f>
        <v>0</v>
      </c>
      <c r="R388" s="34">
        <f>H388*P388*Settings!$B$13</f>
        <v>0</v>
      </c>
      <c r="S388" s="34">
        <f>J388*P388*(Settings!$B$14-1)</f>
        <v>0</v>
      </c>
      <c r="T388" s="34">
        <f>K388*P388*(Settings!$B$15-1)</f>
        <v>0</v>
      </c>
      <c r="U388" s="34">
        <f t="shared" ref="U388:U451" si="27">SUM(Q388:T388)+M388+O388</f>
        <v>0</v>
      </c>
      <c r="V388" s="26" t="str">
        <f>Auto_Roster!O388</f>
        <v>Pending</v>
      </c>
      <c r="W388" s="26" t="e">
        <f ca="1">_xludf.TEXTJOIN("; ",TRUE,Auto_Roster!N388,IF(G388&gt;Settings!$B$19,"Approval required &gt; standard hours",""),IF(AND(F388&lt;&gt;"Off",G388=0),"Missing claimed hours",""))</f>
        <v>#NAME?</v>
      </c>
      <c r="X388" s="7"/>
    </row>
    <row r="389" spans="1:24" x14ac:dyDescent="0.35">
      <c r="A389" s="31">
        <f>Auto_Roster!A389</f>
        <v>46162</v>
      </c>
      <c r="B389" s="31">
        <f>Auto_Roster!B389</f>
        <v>46160</v>
      </c>
      <c r="C389" s="26" t="str">
        <f>Auto_Roster!C389</f>
        <v>E006</v>
      </c>
      <c r="D389" s="26" t="str">
        <f>Auto_Roster!D389</f>
        <v>Nhalnahla</v>
      </c>
      <c r="E389" s="26" t="str">
        <f>Auto_Roster!E389</f>
        <v>B</v>
      </c>
      <c r="F389" s="26" t="str">
        <f>Auto_Roster!G389</f>
        <v>Night</v>
      </c>
      <c r="G389" s="33">
        <f>Auto_Roster!J389</f>
        <v>8</v>
      </c>
      <c r="H389" s="33">
        <f>IF(G389&gt;Settings!$B$19,G389-Settings!$B$19,0)</f>
        <v>0</v>
      </c>
      <c r="I389" s="33">
        <f t="shared" si="24"/>
        <v>8</v>
      </c>
      <c r="J389" s="33">
        <f>IF(Auto_Roster!M389="Y",G389,0)</f>
        <v>0</v>
      </c>
      <c r="K389" s="33">
        <f>IF(Auto_Roster!L389="Y",G389,0)</f>
        <v>0</v>
      </c>
      <c r="L389" s="26" t="str">
        <f>Auto_Roster!K389</f>
        <v>N</v>
      </c>
      <c r="M389" s="34">
        <f>IF(L389="Y",Settings!$B$16,0)</f>
        <v>0</v>
      </c>
      <c r="N389" s="33">
        <f t="shared" si="25"/>
        <v>8</v>
      </c>
      <c r="O389" s="34">
        <f>N389*Settings!$B$17</f>
        <v>0</v>
      </c>
      <c r="P389" s="34">
        <f>IFERROR(VLOOKUP(C389,Employees!$A$4:$E$103,5,FALSE),Settings!$B$18)</f>
        <v>100</v>
      </c>
      <c r="Q389" s="34">
        <f t="shared" si="26"/>
        <v>800</v>
      </c>
      <c r="R389" s="34">
        <f>H389*P389*Settings!$B$13</f>
        <v>0</v>
      </c>
      <c r="S389" s="34">
        <f>J389*P389*(Settings!$B$14-1)</f>
        <v>0</v>
      </c>
      <c r="T389" s="34">
        <f>K389*P389*(Settings!$B$15-1)</f>
        <v>0</v>
      </c>
      <c r="U389" s="34">
        <f t="shared" si="27"/>
        <v>800</v>
      </c>
      <c r="V389" s="26" t="str">
        <f>Auto_Roster!O389</f>
        <v>Pending</v>
      </c>
      <c r="W389" s="26" t="e">
        <f ca="1">_xludf.TEXTJOIN("; ",TRUE,Auto_Roster!N389,IF(G389&gt;Settings!$B$19,"Approval required &gt; standard hours",""),IF(AND(F389&lt;&gt;"Off",G389=0),"Missing claimed hours",""))</f>
        <v>#NAME?</v>
      </c>
      <c r="X389" s="7"/>
    </row>
    <row r="390" spans="1:24" x14ac:dyDescent="0.35">
      <c r="A390" s="31">
        <f>Auto_Roster!A390</f>
        <v>46162</v>
      </c>
      <c r="B390" s="31">
        <f>Auto_Roster!B390</f>
        <v>46160</v>
      </c>
      <c r="C390" s="26" t="str">
        <f>Auto_Roster!C390</f>
        <v>E007</v>
      </c>
      <c r="D390" s="26" t="str">
        <f>Auto_Roster!D390</f>
        <v>Joe</v>
      </c>
      <c r="E390" s="26" t="str">
        <f>Auto_Roster!E390</f>
        <v>C</v>
      </c>
      <c r="F390" s="26" t="str">
        <f>Auto_Roster!G390</f>
        <v>Evening</v>
      </c>
      <c r="G390" s="33">
        <f>Auto_Roster!J390</f>
        <v>8</v>
      </c>
      <c r="H390" s="33">
        <f>IF(G390&gt;Settings!$B$19,G390-Settings!$B$19,0)</f>
        <v>0</v>
      </c>
      <c r="I390" s="33">
        <f t="shared" si="24"/>
        <v>8</v>
      </c>
      <c r="J390" s="33">
        <f>IF(Auto_Roster!M390="Y",G390,0)</f>
        <v>0</v>
      </c>
      <c r="K390" s="33">
        <f>IF(Auto_Roster!L390="Y",G390,0)</f>
        <v>0</v>
      </c>
      <c r="L390" s="26" t="str">
        <f>Auto_Roster!K390</f>
        <v>N</v>
      </c>
      <c r="M390" s="34">
        <f>IF(L390="Y",Settings!$B$16,0)</f>
        <v>0</v>
      </c>
      <c r="N390" s="33">
        <f t="shared" si="25"/>
        <v>0</v>
      </c>
      <c r="O390" s="34">
        <f>N390*Settings!$B$17</f>
        <v>0</v>
      </c>
      <c r="P390" s="34">
        <f>IFERROR(VLOOKUP(C390,Employees!$A$4:$E$103,5,FALSE),Settings!$B$18)</f>
        <v>100</v>
      </c>
      <c r="Q390" s="34">
        <f t="shared" si="26"/>
        <v>800</v>
      </c>
      <c r="R390" s="34">
        <f>H390*P390*Settings!$B$13</f>
        <v>0</v>
      </c>
      <c r="S390" s="34">
        <f>J390*P390*(Settings!$B$14-1)</f>
        <v>0</v>
      </c>
      <c r="T390" s="34">
        <f>K390*P390*(Settings!$B$15-1)</f>
        <v>0</v>
      </c>
      <c r="U390" s="34">
        <f t="shared" si="27"/>
        <v>800</v>
      </c>
      <c r="V390" s="26" t="str">
        <f>Auto_Roster!O390</f>
        <v>Pending</v>
      </c>
      <c r="W390" s="26" t="e">
        <f ca="1">_xludf.TEXTJOIN("; ",TRUE,Auto_Roster!N390,IF(G390&gt;Settings!$B$19,"Approval required &gt; standard hours",""),IF(AND(F390&lt;&gt;"Off",G390=0),"Missing claimed hours",""))</f>
        <v>#NAME?</v>
      </c>
      <c r="X390" s="7"/>
    </row>
    <row r="391" spans="1:24" x14ac:dyDescent="0.35">
      <c r="A391" s="31">
        <f>Auto_Roster!A391</f>
        <v>46162</v>
      </c>
      <c r="B391" s="31">
        <f>Auto_Roster!B391</f>
        <v>46160</v>
      </c>
      <c r="C391" s="26" t="str">
        <f>Auto_Roster!C391</f>
        <v>E008</v>
      </c>
      <c r="D391" s="26" t="str">
        <f>Auto_Roster!D391</f>
        <v>Tim</v>
      </c>
      <c r="E391" s="26" t="str">
        <f>Auto_Roster!E391</f>
        <v>D</v>
      </c>
      <c r="F391" s="26" t="str">
        <f>Auto_Roster!G391</f>
        <v>Day</v>
      </c>
      <c r="G391" s="33">
        <f>Auto_Roster!J391</f>
        <v>8</v>
      </c>
      <c r="H391" s="33">
        <f>IF(G391&gt;Settings!$B$19,G391-Settings!$B$19,0)</f>
        <v>0</v>
      </c>
      <c r="I391" s="33">
        <f t="shared" si="24"/>
        <v>8</v>
      </c>
      <c r="J391" s="33">
        <f>IF(Auto_Roster!M391="Y",G391,0)</f>
        <v>0</v>
      </c>
      <c r="K391" s="33">
        <f>IF(Auto_Roster!L391="Y",G391,0)</f>
        <v>0</v>
      </c>
      <c r="L391" s="26" t="str">
        <f>Auto_Roster!K391</f>
        <v>N</v>
      </c>
      <c r="M391" s="34">
        <f>IF(L391="Y",Settings!$B$16,0)</f>
        <v>0</v>
      </c>
      <c r="N391" s="33">
        <f t="shared" si="25"/>
        <v>0</v>
      </c>
      <c r="O391" s="34">
        <f>N391*Settings!$B$17</f>
        <v>0</v>
      </c>
      <c r="P391" s="34">
        <f>IFERROR(VLOOKUP(C391,Employees!$A$4:$E$103,5,FALSE),Settings!$B$18)</f>
        <v>100</v>
      </c>
      <c r="Q391" s="34">
        <f t="shared" si="26"/>
        <v>800</v>
      </c>
      <c r="R391" s="34">
        <f>H391*P391*Settings!$B$13</f>
        <v>0</v>
      </c>
      <c r="S391" s="34">
        <f>J391*P391*(Settings!$B$14-1)</f>
        <v>0</v>
      </c>
      <c r="T391" s="34">
        <f>K391*P391*(Settings!$B$15-1)</f>
        <v>0</v>
      </c>
      <c r="U391" s="34">
        <f t="shared" si="27"/>
        <v>800</v>
      </c>
      <c r="V391" s="26" t="str">
        <f>Auto_Roster!O391</f>
        <v>Pending</v>
      </c>
      <c r="W391" s="26" t="e">
        <f ca="1">_xludf.TEXTJOIN("; ",TRUE,Auto_Roster!N391,IF(G391&gt;Settings!$B$19,"Approval required &gt; standard hours",""),IF(AND(F391&lt;&gt;"Off",G391=0),"Missing claimed hours",""))</f>
        <v>#NAME?</v>
      </c>
      <c r="X391" s="7"/>
    </row>
    <row r="392" spans="1:24" x14ac:dyDescent="0.35">
      <c r="A392" s="31">
        <f>Auto_Roster!A392</f>
        <v>46162</v>
      </c>
      <c r="B392" s="31">
        <f>Auto_Roster!B392</f>
        <v>46160</v>
      </c>
      <c r="C392" s="26" t="str">
        <f>Auto_Roster!C392</f>
        <v>E009</v>
      </c>
      <c r="D392" s="26" t="str">
        <f>Auto_Roster!D392</f>
        <v>Frank</v>
      </c>
      <c r="E392" s="26" t="str">
        <f>Auto_Roster!E392</f>
        <v>A</v>
      </c>
      <c r="F392" s="26" t="str">
        <f>Auto_Roster!G392</f>
        <v>Off</v>
      </c>
      <c r="G392" s="33">
        <f>Auto_Roster!J392</f>
        <v>0</v>
      </c>
      <c r="H392" s="33">
        <f>IF(G392&gt;Settings!$B$19,G392-Settings!$B$19,0)</f>
        <v>0</v>
      </c>
      <c r="I392" s="33">
        <f t="shared" si="24"/>
        <v>0</v>
      </c>
      <c r="J392" s="33">
        <f>IF(Auto_Roster!M392="Y",G392,0)</f>
        <v>0</v>
      </c>
      <c r="K392" s="33">
        <f>IF(Auto_Roster!L392="Y",G392,0)</f>
        <v>0</v>
      </c>
      <c r="L392" s="26" t="str">
        <f>Auto_Roster!K392</f>
        <v>N</v>
      </c>
      <c r="M392" s="34">
        <f>IF(L392="Y",Settings!$B$16,0)</f>
        <v>0</v>
      </c>
      <c r="N392" s="33">
        <f t="shared" si="25"/>
        <v>0</v>
      </c>
      <c r="O392" s="34">
        <f>N392*Settings!$B$17</f>
        <v>0</v>
      </c>
      <c r="P392" s="34">
        <f>IFERROR(VLOOKUP(C392,Employees!$A$4:$E$103,5,FALSE),Settings!$B$18)</f>
        <v>100</v>
      </c>
      <c r="Q392" s="34">
        <f t="shared" si="26"/>
        <v>0</v>
      </c>
      <c r="R392" s="34">
        <f>H392*P392*Settings!$B$13</f>
        <v>0</v>
      </c>
      <c r="S392" s="34">
        <f>J392*P392*(Settings!$B$14-1)</f>
        <v>0</v>
      </c>
      <c r="T392" s="34">
        <f>K392*P392*(Settings!$B$15-1)</f>
        <v>0</v>
      </c>
      <c r="U392" s="34">
        <f t="shared" si="27"/>
        <v>0</v>
      </c>
      <c r="V392" s="26" t="str">
        <f>Auto_Roster!O392</f>
        <v>Pending</v>
      </c>
      <c r="W392" s="26" t="e">
        <f ca="1">_xludf.TEXTJOIN("; ",TRUE,Auto_Roster!N392,IF(G392&gt;Settings!$B$19,"Approval required &gt; standard hours",""),IF(AND(F392&lt;&gt;"Off",G392=0),"Missing claimed hours",""))</f>
        <v>#NAME?</v>
      </c>
      <c r="X392" s="7"/>
    </row>
    <row r="393" spans="1:24" x14ac:dyDescent="0.35">
      <c r="A393" s="31">
        <f>Auto_Roster!A393</f>
        <v>46162</v>
      </c>
      <c r="B393" s="31">
        <f>Auto_Roster!B393</f>
        <v>46160</v>
      </c>
      <c r="C393" s="26" t="str">
        <f>Auto_Roster!C393</f>
        <v/>
      </c>
      <c r="D393" s="26" t="str">
        <f>Auto_Roster!D393</f>
        <v/>
      </c>
      <c r="E393" s="26" t="str">
        <f>Auto_Roster!E393</f>
        <v/>
      </c>
      <c r="F393" s="26" t="str">
        <f>Auto_Roster!G393</f>
        <v/>
      </c>
      <c r="G393" s="33">
        <f>Auto_Roster!J393</f>
        <v>0</v>
      </c>
      <c r="H393" s="33">
        <f>IF(G393&gt;Settings!$B$19,G393-Settings!$B$19,0)</f>
        <v>0</v>
      </c>
      <c r="I393" s="33">
        <f t="shared" si="24"/>
        <v>0</v>
      </c>
      <c r="J393" s="33">
        <f>IF(Auto_Roster!M393="Y",G393,0)</f>
        <v>0</v>
      </c>
      <c r="K393" s="33">
        <f>IF(Auto_Roster!L393="Y",G393,0)</f>
        <v>0</v>
      </c>
      <c r="L393" s="26" t="str">
        <f>Auto_Roster!K393</f>
        <v>N</v>
      </c>
      <c r="M393" s="34">
        <f>IF(L393="Y",Settings!$B$16,0)</f>
        <v>0</v>
      </c>
      <c r="N393" s="33">
        <f t="shared" si="25"/>
        <v>0</v>
      </c>
      <c r="O393" s="34">
        <f>N393*Settings!$B$17</f>
        <v>0</v>
      </c>
      <c r="P393" s="34">
        <f>IFERROR(VLOOKUP(C393,Employees!$A$4:$E$103,5,FALSE),Settings!$B$18)</f>
        <v>100</v>
      </c>
      <c r="Q393" s="34">
        <f t="shared" si="26"/>
        <v>0</v>
      </c>
      <c r="R393" s="34">
        <f>H393*P393*Settings!$B$13</f>
        <v>0</v>
      </c>
      <c r="S393" s="34">
        <f>J393*P393*(Settings!$B$14-1)</f>
        <v>0</v>
      </c>
      <c r="T393" s="34">
        <f>K393*P393*(Settings!$B$15-1)</f>
        <v>0</v>
      </c>
      <c r="U393" s="34">
        <f t="shared" si="27"/>
        <v>0</v>
      </c>
      <c r="V393" s="26" t="str">
        <f>Auto_Roster!O393</f>
        <v>Pending</v>
      </c>
      <c r="W393" s="26" t="e">
        <f ca="1">_xludf.TEXTJOIN("; ",TRUE,Auto_Roster!N393,IF(G393&gt;Settings!$B$19,"Approval required &gt; standard hours",""),IF(AND(F393&lt;&gt;"Off",G393=0),"Missing claimed hours",""))</f>
        <v>#NAME?</v>
      </c>
      <c r="X393" s="7"/>
    </row>
    <row r="394" spans="1:24" x14ac:dyDescent="0.35">
      <c r="A394" s="31">
        <f>Auto_Roster!A394</f>
        <v>46162</v>
      </c>
      <c r="B394" s="31">
        <f>Auto_Roster!B394</f>
        <v>46160</v>
      </c>
      <c r="C394" s="26" t="str">
        <f>Auto_Roster!C394</f>
        <v/>
      </c>
      <c r="D394" s="26" t="str">
        <f>Auto_Roster!D394</f>
        <v/>
      </c>
      <c r="E394" s="26" t="str">
        <f>Auto_Roster!E394</f>
        <v/>
      </c>
      <c r="F394" s="26" t="str">
        <f>Auto_Roster!G394</f>
        <v/>
      </c>
      <c r="G394" s="33">
        <f>Auto_Roster!J394</f>
        <v>0</v>
      </c>
      <c r="H394" s="33">
        <f>IF(G394&gt;Settings!$B$19,G394-Settings!$B$19,0)</f>
        <v>0</v>
      </c>
      <c r="I394" s="33">
        <f t="shared" si="24"/>
        <v>0</v>
      </c>
      <c r="J394" s="33">
        <f>IF(Auto_Roster!M394="Y",G394,0)</f>
        <v>0</v>
      </c>
      <c r="K394" s="33">
        <f>IF(Auto_Roster!L394="Y",G394,0)</f>
        <v>0</v>
      </c>
      <c r="L394" s="26" t="str">
        <f>Auto_Roster!K394</f>
        <v>N</v>
      </c>
      <c r="M394" s="34">
        <f>IF(L394="Y",Settings!$B$16,0)</f>
        <v>0</v>
      </c>
      <c r="N394" s="33">
        <f t="shared" si="25"/>
        <v>0</v>
      </c>
      <c r="O394" s="34">
        <f>N394*Settings!$B$17</f>
        <v>0</v>
      </c>
      <c r="P394" s="34">
        <f>IFERROR(VLOOKUP(C394,Employees!$A$4:$E$103,5,FALSE),Settings!$B$18)</f>
        <v>100</v>
      </c>
      <c r="Q394" s="34">
        <f t="shared" si="26"/>
        <v>0</v>
      </c>
      <c r="R394" s="34">
        <f>H394*P394*Settings!$B$13</f>
        <v>0</v>
      </c>
      <c r="S394" s="34">
        <f>J394*P394*(Settings!$B$14-1)</f>
        <v>0</v>
      </c>
      <c r="T394" s="34">
        <f>K394*P394*(Settings!$B$15-1)</f>
        <v>0</v>
      </c>
      <c r="U394" s="34">
        <f t="shared" si="27"/>
        <v>0</v>
      </c>
      <c r="V394" s="26" t="str">
        <f>Auto_Roster!O394</f>
        <v>Pending</v>
      </c>
      <c r="W394" s="26" t="e">
        <f ca="1">_xludf.TEXTJOIN("; ",TRUE,Auto_Roster!N394,IF(G394&gt;Settings!$B$19,"Approval required &gt; standard hours",""),IF(AND(F394&lt;&gt;"Off",G394=0),"Missing claimed hours",""))</f>
        <v>#NAME?</v>
      </c>
      <c r="X394" s="7"/>
    </row>
    <row r="395" spans="1:24" x14ac:dyDescent="0.35">
      <c r="A395" s="31">
        <f>Auto_Roster!A395</f>
        <v>46162</v>
      </c>
      <c r="B395" s="31">
        <f>Auto_Roster!B395</f>
        <v>46160</v>
      </c>
      <c r="C395" s="26" t="str">
        <f>Auto_Roster!C395</f>
        <v/>
      </c>
      <c r="D395" s="26" t="str">
        <f>Auto_Roster!D395</f>
        <v/>
      </c>
      <c r="E395" s="26" t="str">
        <f>Auto_Roster!E395</f>
        <v/>
      </c>
      <c r="F395" s="26" t="str">
        <f>Auto_Roster!G395</f>
        <v/>
      </c>
      <c r="G395" s="33">
        <f>Auto_Roster!J395</f>
        <v>0</v>
      </c>
      <c r="H395" s="33">
        <f>IF(G395&gt;Settings!$B$19,G395-Settings!$B$19,0)</f>
        <v>0</v>
      </c>
      <c r="I395" s="33">
        <f t="shared" si="24"/>
        <v>0</v>
      </c>
      <c r="J395" s="33">
        <f>IF(Auto_Roster!M395="Y",G395,0)</f>
        <v>0</v>
      </c>
      <c r="K395" s="33">
        <f>IF(Auto_Roster!L395="Y",G395,0)</f>
        <v>0</v>
      </c>
      <c r="L395" s="26" t="str">
        <f>Auto_Roster!K395</f>
        <v>N</v>
      </c>
      <c r="M395" s="34">
        <f>IF(L395="Y",Settings!$B$16,0)</f>
        <v>0</v>
      </c>
      <c r="N395" s="33">
        <f t="shared" si="25"/>
        <v>0</v>
      </c>
      <c r="O395" s="34">
        <f>N395*Settings!$B$17</f>
        <v>0</v>
      </c>
      <c r="P395" s="34">
        <f>IFERROR(VLOOKUP(C395,Employees!$A$4:$E$103,5,FALSE),Settings!$B$18)</f>
        <v>100</v>
      </c>
      <c r="Q395" s="34">
        <f t="shared" si="26"/>
        <v>0</v>
      </c>
      <c r="R395" s="34">
        <f>H395*P395*Settings!$B$13</f>
        <v>0</v>
      </c>
      <c r="S395" s="34">
        <f>J395*P395*(Settings!$B$14-1)</f>
        <v>0</v>
      </c>
      <c r="T395" s="34">
        <f>K395*P395*(Settings!$B$15-1)</f>
        <v>0</v>
      </c>
      <c r="U395" s="34">
        <f t="shared" si="27"/>
        <v>0</v>
      </c>
      <c r="V395" s="26" t="str">
        <f>Auto_Roster!O395</f>
        <v>Pending</v>
      </c>
      <c r="W395" s="26" t="e">
        <f ca="1">_xludf.TEXTJOIN("; ",TRUE,Auto_Roster!N395,IF(G395&gt;Settings!$B$19,"Approval required &gt; standard hours",""),IF(AND(F395&lt;&gt;"Off",G395=0),"Missing claimed hours",""))</f>
        <v>#NAME?</v>
      </c>
      <c r="X395" s="7"/>
    </row>
    <row r="396" spans="1:24" x14ac:dyDescent="0.35">
      <c r="A396" s="31">
        <f>Auto_Roster!A396</f>
        <v>46162</v>
      </c>
      <c r="B396" s="31">
        <f>Auto_Roster!B396</f>
        <v>46160</v>
      </c>
      <c r="C396" s="26" t="str">
        <f>Auto_Roster!C396</f>
        <v/>
      </c>
      <c r="D396" s="26" t="str">
        <f>Auto_Roster!D396</f>
        <v/>
      </c>
      <c r="E396" s="26" t="str">
        <f>Auto_Roster!E396</f>
        <v/>
      </c>
      <c r="F396" s="26" t="str">
        <f>Auto_Roster!G396</f>
        <v/>
      </c>
      <c r="G396" s="33">
        <f>Auto_Roster!J396</f>
        <v>0</v>
      </c>
      <c r="H396" s="33">
        <f>IF(G396&gt;Settings!$B$19,G396-Settings!$B$19,0)</f>
        <v>0</v>
      </c>
      <c r="I396" s="33">
        <f t="shared" si="24"/>
        <v>0</v>
      </c>
      <c r="J396" s="33">
        <f>IF(Auto_Roster!M396="Y",G396,0)</f>
        <v>0</v>
      </c>
      <c r="K396" s="33">
        <f>IF(Auto_Roster!L396="Y",G396,0)</f>
        <v>0</v>
      </c>
      <c r="L396" s="26" t="str">
        <f>Auto_Roster!K396</f>
        <v>N</v>
      </c>
      <c r="M396" s="34">
        <f>IF(L396="Y",Settings!$B$16,0)</f>
        <v>0</v>
      </c>
      <c r="N396" s="33">
        <f t="shared" si="25"/>
        <v>0</v>
      </c>
      <c r="O396" s="34">
        <f>N396*Settings!$B$17</f>
        <v>0</v>
      </c>
      <c r="P396" s="34">
        <f>IFERROR(VLOOKUP(C396,Employees!$A$4:$E$103,5,FALSE),Settings!$B$18)</f>
        <v>100</v>
      </c>
      <c r="Q396" s="34">
        <f t="shared" si="26"/>
        <v>0</v>
      </c>
      <c r="R396" s="34">
        <f>H396*P396*Settings!$B$13</f>
        <v>0</v>
      </c>
      <c r="S396" s="34">
        <f>J396*P396*(Settings!$B$14-1)</f>
        <v>0</v>
      </c>
      <c r="T396" s="34">
        <f>K396*P396*(Settings!$B$15-1)</f>
        <v>0</v>
      </c>
      <c r="U396" s="34">
        <f t="shared" si="27"/>
        <v>0</v>
      </c>
      <c r="V396" s="26" t="str">
        <f>Auto_Roster!O396</f>
        <v>Pending</v>
      </c>
      <c r="W396" s="26" t="e">
        <f ca="1">_xludf.TEXTJOIN("; ",TRUE,Auto_Roster!N396,IF(G396&gt;Settings!$B$19,"Approval required &gt; standard hours",""),IF(AND(F396&lt;&gt;"Off",G396=0),"Missing claimed hours",""))</f>
        <v>#NAME?</v>
      </c>
      <c r="X396" s="7"/>
    </row>
    <row r="397" spans="1:24" x14ac:dyDescent="0.35">
      <c r="A397" s="31">
        <f>Auto_Roster!A397</f>
        <v>46162</v>
      </c>
      <c r="B397" s="31">
        <f>Auto_Roster!B397</f>
        <v>46160</v>
      </c>
      <c r="C397" s="26" t="str">
        <f>Auto_Roster!C397</f>
        <v/>
      </c>
      <c r="D397" s="26" t="str">
        <f>Auto_Roster!D397</f>
        <v/>
      </c>
      <c r="E397" s="26" t="str">
        <f>Auto_Roster!E397</f>
        <v/>
      </c>
      <c r="F397" s="26" t="str">
        <f>Auto_Roster!G397</f>
        <v/>
      </c>
      <c r="G397" s="33">
        <f>Auto_Roster!J397</f>
        <v>0</v>
      </c>
      <c r="H397" s="33">
        <f>IF(G397&gt;Settings!$B$19,G397-Settings!$B$19,0)</f>
        <v>0</v>
      </c>
      <c r="I397" s="33">
        <f t="shared" si="24"/>
        <v>0</v>
      </c>
      <c r="J397" s="33">
        <f>IF(Auto_Roster!M397="Y",G397,0)</f>
        <v>0</v>
      </c>
      <c r="K397" s="33">
        <f>IF(Auto_Roster!L397="Y",G397,0)</f>
        <v>0</v>
      </c>
      <c r="L397" s="26" t="str">
        <f>Auto_Roster!K397</f>
        <v>N</v>
      </c>
      <c r="M397" s="34">
        <f>IF(L397="Y",Settings!$B$16,0)</f>
        <v>0</v>
      </c>
      <c r="N397" s="33">
        <f t="shared" si="25"/>
        <v>0</v>
      </c>
      <c r="O397" s="34">
        <f>N397*Settings!$B$17</f>
        <v>0</v>
      </c>
      <c r="P397" s="34">
        <f>IFERROR(VLOOKUP(C397,Employees!$A$4:$E$103,5,FALSE),Settings!$B$18)</f>
        <v>100</v>
      </c>
      <c r="Q397" s="34">
        <f t="shared" si="26"/>
        <v>0</v>
      </c>
      <c r="R397" s="34">
        <f>H397*P397*Settings!$B$13</f>
        <v>0</v>
      </c>
      <c r="S397" s="34">
        <f>J397*P397*(Settings!$B$14-1)</f>
        <v>0</v>
      </c>
      <c r="T397" s="34">
        <f>K397*P397*(Settings!$B$15-1)</f>
        <v>0</v>
      </c>
      <c r="U397" s="34">
        <f t="shared" si="27"/>
        <v>0</v>
      </c>
      <c r="V397" s="26" t="str">
        <f>Auto_Roster!O397</f>
        <v>Pending</v>
      </c>
      <c r="W397" s="26" t="e">
        <f ca="1">_xludf.TEXTJOIN("; ",TRUE,Auto_Roster!N397,IF(G397&gt;Settings!$B$19,"Approval required &gt; standard hours",""),IF(AND(F397&lt;&gt;"Off",G397=0),"Missing claimed hours",""))</f>
        <v>#NAME?</v>
      </c>
      <c r="X397" s="7"/>
    </row>
    <row r="398" spans="1:24" x14ac:dyDescent="0.35">
      <c r="A398" s="31">
        <f>Auto_Roster!A398</f>
        <v>46162</v>
      </c>
      <c r="B398" s="31">
        <f>Auto_Roster!B398</f>
        <v>46160</v>
      </c>
      <c r="C398" s="26" t="str">
        <f>Auto_Roster!C398</f>
        <v/>
      </c>
      <c r="D398" s="26" t="str">
        <f>Auto_Roster!D398</f>
        <v/>
      </c>
      <c r="E398" s="26" t="str">
        <f>Auto_Roster!E398</f>
        <v/>
      </c>
      <c r="F398" s="26" t="str">
        <f>Auto_Roster!G398</f>
        <v/>
      </c>
      <c r="G398" s="33">
        <f>Auto_Roster!J398</f>
        <v>0</v>
      </c>
      <c r="H398" s="33">
        <f>IF(G398&gt;Settings!$B$19,G398-Settings!$B$19,0)</f>
        <v>0</v>
      </c>
      <c r="I398" s="33">
        <f t="shared" si="24"/>
        <v>0</v>
      </c>
      <c r="J398" s="33">
        <f>IF(Auto_Roster!M398="Y",G398,0)</f>
        <v>0</v>
      </c>
      <c r="K398" s="33">
        <f>IF(Auto_Roster!L398="Y",G398,0)</f>
        <v>0</v>
      </c>
      <c r="L398" s="26" t="str">
        <f>Auto_Roster!K398</f>
        <v>N</v>
      </c>
      <c r="M398" s="34">
        <f>IF(L398="Y",Settings!$B$16,0)</f>
        <v>0</v>
      </c>
      <c r="N398" s="33">
        <f t="shared" si="25"/>
        <v>0</v>
      </c>
      <c r="O398" s="34">
        <f>N398*Settings!$B$17</f>
        <v>0</v>
      </c>
      <c r="P398" s="34">
        <f>IFERROR(VLOOKUP(C398,Employees!$A$4:$E$103,5,FALSE),Settings!$B$18)</f>
        <v>100</v>
      </c>
      <c r="Q398" s="34">
        <f t="shared" si="26"/>
        <v>0</v>
      </c>
      <c r="R398" s="34">
        <f>H398*P398*Settings!$B$13</f>
        <v>0</v>
      </c>
      <c r="S398" s="34">
        <f>J398*P398*(Settings!$B$14-1)</f>
        <v>0</v>
      </c>
      <c r="T398" s="34">
        <f>K398*P398*(Settings!$B$15-1)</f>
        <v>0</v>
      </c>
      <c r="U398" s="34">
        <f t="shared" si="27"/>
        <v>0</v>
      </c>
      <c r="V398" s="26" t="str">
        <f>Auto_Roster!O398</f>
        <v>Pending</v>
      </c>
      <c r="W398" s="26" t="e">
        <f ca="1">_xludf.TEXTJOIN("; ",TRUE,Auto_Roster!N398,IF(G398&gt;Settings!$B$19,"Approval required &gt; standard hours",""),IF(AND(F398&lt;&gt;"Off",G398=0),"Missing claimed hours",""))</f>
        <v>#NAME?</v>
      </c>
      <c r="X398" s="7"/>
    </row>
    <row r="399" spans="1:24" x14ac:dyDescent="0.35">
      <c r="A399" s="31">
        <f>Auto_Roster!A399</f>
        <v>46162</v>
      </c>
      <c r="B399" s="31">
        <f>Auto_Roster!B399</f>
        <v>46160</v>
      </c>
      <c r="C399" s="26" t="str">
        <f>Auto_Roster!C399</f>
        <v/>
      </c>
      <c r="D399" s="26" t="str">
        <f>Auto_Roster!D399</f>
        <v/>
      </c>
      <c r="E399" s="26" t="str">
        <f>Auto_Roster!E399</f>
        <v/>
      </c>
      <c r="F399" s="26" t="str">
        <f>Auto_Roster!G399</f>
        <v/>
      </c>
      <c r="G399" s="33">
        <f>Auto_Roster!J399</f>
        <v>0</v>
      </c>
      <c r="H399" s="33">
        <f>IF(G399&gt;Settings!$B$19,G399-Settings!$B$19,0)</f>
        <v>0</v>
      </c>
      <c r="I399" s="33">
        <f t="shared" si="24"/>
        <v>0</v>
      </c>
      <c r="J399" s="33">
        <f>IF(Auto_Roster!M399="Y",G399,0)</f>
        <v>0</v>
      </c>
      <c r="K399" s="33">
        <f>IF(Auto_Roster!L399="Y",G399,0)</f>
        <v>0</v>
      </c>
      <c r="L399" s="26" t="str">
        <f>Auto_Roster!K399</f>
        <v>N</v>
      </c>
      <c r="M399" s="34">
        <f>IF(L399="Y",Settings!$B$16,0)</f>
        <v>0</v>
      </c>
      <c r="N399" s="33">
        <f t="shared" si="25"/>
        <v>0</v>
      </c>
      <c r="O399" s="34">
        <f>N399*Settings!$B$17</f>
        <v>0</v>
      </c>
      <c r="P399" s="34">
        <f>IFERROR(VLOOKUP(C399,Employees!$A$4:$E$103,5,FALSE),Settings!$B$18)</f>
        <v>100</v>
      </c>
      <c r="Q399" s="34">
        <f t="shared" si="26"/>
        <v>0</v>
      </c>
      <c r="R399" s="34">
        <f>H399*P399*Settings!$B$13</f>
        <v>0</v>
      </c>
      <c r="S399" s="34">
        <f>J399*P399*(Settings!$B$14-1)</f>
        <v>0</v>
      </c>
      <c r="T399" s="34">
        <f>K399*P399*(Settings!$B$15-1)</f>
        <v>0</v>
      </c>
      <c r="U399" s="34">
        <f t="shared" si="27"/>
        <v>0</v>
      </c>
      <c r="V399" s="26" t="str">
        <f>Auto_Roster!O399</f>
        <v>Pending</v>
      </c>
      <c r="W399" s="26" t="e">
        <f ca="1">_xludf.TEXTJOIN("; ",TRUE,Auto_Roster!N399,IF(G399&gt;Settings!$B$19,"Approval required &gt; standard hours",""),IF(AND(F399&lt;&gt;"Off",G399=0),"Missing claimed hours",""))</f>
        <v>#NAME?</v>
      </c>
      <c r="X399" s="7"/>
    </row>
    <row r="400" spans="1:24" x14ac:dyDescent="0.35">
      <c r="A400" s="31">
        <f>Auto_Roster!A400</f>
        <v>46162</v>
      </c>
      <c r="B400" s="31">
        <f>Auto_Roster!B400</f>
        <v>46160</v>
      </c>
      <c r="C400" s="26" t="str">
        <f>Auto_Roster!C400</f>
        <v/>
      </c>
      <c r="D400" s="26" t="str">
        <f>Auto_Roster!D400</f>
        <v/>
      </c>
      <c r="E400" s="26" t="str">
        <f>Auto_Roster!E400</f>
        <v/>
      </c>
      <c r="F400" s="26" t="str">
        <f>Auto_Roster!G400</f>
        <v/>
      </c>
      <c r="G400" s="33">
        <f>Auto_Roster!J400</f>
        <v>0</v>
      </c>
      <c r="H400" s="33">
        <f>IF(G400&gt;Settings!$B$19,G400-Settings!$B$19,0)</f>
        <v>0</v>
      </c>
      <c r="I400" s="33">
        <f t="shared" si="24"/>
        <v>0</v>
      </c>
      <c r="J400" s="33">
        <f>IF(Auto_Roster!M400="Y",G400,0)</f>
        <v>0</v>
      </c>
      <c r="K400" s="33">
        <f>IF(Auto_Roster!L400="Y",G400,0)</f>
        <v>0</v>
      </c>
      <c r="L400" s="26" t="str">
        <f>Auto_Roster!K400</f>
        <v>N</v>
      </c>
      <c r="M400" s="34">
        <f>IF(L400="Y",Settings!$B$16,0)</f>
        <v>0</v>
      </c>
      <c r="N400" s="33">
        <f t="shared" si="25"/>
        <v>0</v>
      </c>
      <c r="O400" s="34">
        <f>N400*Settings!$B$17</f>
        <v>0</v>
      </c>
      <c r="P400" s="34">
        <f>IFERROR(VLOOKUP(C400,Employees!$A$4:$E$103,5,FALSE),Settings!$B$18)</f>
        <v>100</v>
      </c>
      <c r="Q400" s="34">
        <f t="shared" si="26"/>
        <v>0</v>
      </c>
      <c r="R400" s="34">
        <f>H400*P400*Settings!$B$13</f>
        <v>0</v>
      </c>
      <c r="S400" s="34">
        <f>J400*P400*(Settings!$B$14-1)</f>
        <v>0</v>
      </c>
      <c r="T400" s="34">
        <f>K400*P400*(Settings!$B$15-1)</f>
        <v>0</v>
      </c>
      <c r="U400" s="34">
        <f t="shared" si="27"/>
        <v>0</v>
      </c>
      <c r="V400" s="26" t="str">
        <f>Auto_Roster!O400</f>
        <v>Pending</v>
      </c>
      <c r="W400" s="26" t="e">
        <f ca="1">_xludf.TEXTJOIN("; ",TRUE,Auto_Roster!N400,IF(G400&gt;Settings!$B$19,"Approval required &gt; standard hours",""),IF(AND(F400&lt;&gt;"Off",G400=0),"Missing claimed hours",""))</f>
        <v>#NAME?</v>
      </c>
      <c r="X400" s="7"/>
    </row>
    <row r="401" spans="1:24" x14ac:dyDescent="0.35">
      <c r="A401" s="31">
        <f>Auto_Roster!A401</f>
        <v>46162</v>
      </c>
      <c r="B401" s="31">
        <f>Auto_Roster!B401</f>
        <v>46160</v>
      </c>
      <c r="C401" s="26" t="str">
        <f>Auto_Roster!C401</f>
        <v/>
      </c>
      <c r="D401" s="26" t="str">
        <f>Auto_Roster!D401</f>
        <v/>
      </c>
      <c r="E401" s="26" t="str">
        <f>Auto_Roster!E401</f>
        <v/>
      </c>
      <c r="F401" s="26" t="str">
        <f>Auto_Roster!G401</f>
        <v/>
      </c>
      <c r="G401" s="33">
        <f>Auto_Roster!J401</f>
        <v>0</v>
      </c>
      <c r="H401" s="33">
        <f>IF(G401&gt;Settings!$B$19,G401-Settings!$B$19,0)</f>
        <v>0</v>
      </c>
      <c r="I401" s="33">
        <f t="shared" si="24"/>
        <v>0</v>
      </c>
      <c r="J401" s="33">
        <f>IF(Auto_Roster!M401="Y",G401,0)</f>
        <v>0</v>
      </c>
      <c r="K401" s="33">
        <f>IF(Auto_Roster!L401="Y",G401,0)</f>
        <v>0</v>
      </c>
      <c r="L401" s="26" t="str">
        <f>Auto_Roster!K401</f>
        <v>N</v>
      </c>
      <c r="M401" s="34">
        <f>IF(L401="Y",Settings!$B$16,0)</f>
        <v>0</v>
      </c>
      <c r="N401" s="33">
        <f t="shared" si="25"/>
        <v>0</v>
      </c>
      <c r="O401" s="34">
        <f>N401*Settings!$B$17</f>
        <v>0</v>
      </c>
      <c r="P401" s="34">
        <f>IFERROR(VLOOKUP(C401,Employees!$A$4:$E$103,5,FALSE),Settings!$B$18)</f>
        <v>100</v>
      </c>
      <c r="Q401" s="34">
        <f t="shared" si="26"/>
        <v>0</v>
      </c>
      <c r="R401" s="34">
        <f>H401*P401*Settings!$B$13</f>
        <v>0</v>
      </c>
      <c r="S401" s="34">
        <f>J401*P401*(Settings!$B$14-1)</f>
        <v>0</v>
      </c>
      <c r="T401" s="34">
        <f>K401*P401*(Settings!$B$15-1)</f>
        <v>0</v>
      </c>
      <c r="U401" s="34">
        <f t="shared" si="27"/>
        <v>0</v>
      </c>
      <c r="V401" s="26" t="str">
        <f>Auto_Roster!O401</f>
        <v>Pending</v>
      </c>
      <c r="W401" s="26" t="e">
        <f ca="1">_xludf.TEXTJOIN("; ",TRUE,Auto_Roster!N401,IF(G401&gt;Settings!$B$19,"Approval required &gt; standard hours",""),IF(AND(F401&lt;&gt;"Off",G401=0),"Missing claimed hours",""))</f>
        <v>#NAME?</v>
      </c>
      <c r="X401" s="7"/>
    </row>
    <row r="402" spans="1:24" x14ac:dyDescent="0.35">
      <c r="A402" s="31">
        <f>Auto_Roster!A402</f>
        <v>46162</v>
      </c>
      <c r="B402" s="31">
        <f>Auto_Roster!B402</f>
        <v>46160</v>
      </c>
      <c r="C402" s="26" t="str">
        <f>Auto_Roster!C402</f>
        <v/>
      </c>
      <c r="D402" s="26" t="str">
        <f>Auto_Roster!D402</f>
        <v/>
      </c>
      <c r="E402" s="26" t="str">
        <f>Auto_Roster!E402</f>
        <v/>
      </c>
      <c r="F402" s="26" t="str">
        <f>Auto_Roster!G402</f>
        <v/>
      </c>
      <c r="G402" s="33">
        <f>Auto_Roster!J402</f>
        <v>0</v>
      </c>
      <c r="H402" s="33">
        <f>IF(G402&gt;Settings!$B$19,G402-Settings!$B$19,0)</f>
        <v>0</v>
      </c>
      <c r="I402" s="33">
        <f t="shared" si="24"/>
        <v>0</v>
      </c>
      <c r="J402" s="33">
        <f>IF(Auto_Roster!M402="Y",G402,0)</f>
        <v>0</v>
      </c>
      <c r="K402" s="33">
        <f>IF(Auto_Roster!L402="Y",G402,0)</f>
        <v>0</v>
      </c>
      <c r="L402" s="26" t="str">
        <f>Auto_Roster!K402</f>
        <v>N</v>
      </c>
      <c r="M402" s="34">
        <f>IF(L402="Y",Settings!$B$16,0)</f>
        <v>0</v>
      </c>
      <c r="N402" s="33">
        <f t="shared" si="25"/>
        <v>0</v>
      </c>
      <c r="O402" s="34">
        <f>N402*Settings!$B$17</f>
        <v>0</v>
      </c>
      <c r="P402" s="34">
        <f>IFERROR(VLOOKUP(C402,Employees!$A$4:$E$103,5,FALSE),Settings!$B$18)</f>
        <v>100</v>
      </c>
      <c r="Q402" s="34">
        <f t="shared" si="26"/>
        <v>0</v>
      </c>
      <c r="R402" s="34">
        <f>H402*P402*Settings!$B$13</f>
        <v>0</v>
      </c>
      <c r="S402" s="34">
        <f>J402*P402*(Settings!$B$14-1)</f>
        <v>0</v>
      </c>
      <c r="T402" s="34">
        <f>K402*P402*(Settings!$B$15-1)</f>
        <v>0</v>
      </c>
      <c r="U402" s="34">
        <f t="shared" si="27"/>
        <v>0</v>
      </c>
      <c r="V402" s="26" t="str">
        <f>Auto_Roster!O402</f>
        <v>Pending</v>
      </c>
      <c r="W402" s="26" t="e">
        <f ca="1">_xludf.TEXTJOIN("; ",TRUE,Auto_Roster!N402,IF(G402&gt;Settings!$B$19,"Approval required &gt; standard hours",""),IF(AND(F402&lt;&gt;"Off",G402=0),"Missing claimed hours",""))</f>
        <v>#NAME?</v>
      </c>
      <c r="X402" s="7"/>
    </row>
    <row r="403" spans="1:24" x14ac:dyDescent="0.35">
      <c r="A403" s="31">
        <f>Auto_Roster!A403</f>
        <v>46162</v>
      </c>
      <c r="B403" s="31">
        <f>Auto_Roster!B403</f>
        <v>46160</v>
      </c>
      <c r="C403" s="26" t="str">
        <f>Auto_Roster!C403</f>
        <v/>
      </c>
      <c r="D403" s="26" t="str">
        <f>Auto_Roster!D403</f>
        <v/>
      </c>
      <c r="E403" s="26" t="str">
        <f>Auto_Roster!E403</f>
        <v/>
      </c>
      <c r="F403" s="26" t="str">
        <f>Auto_Roster!G403</f>
        <v/>
      </c>
      <c r="G403" s="33">
        <f>Auto_Roster!J403</f>
        <v>0</v>
      </c>
      <c r="H403" s="33">
        <f>IF(G403&gt;Settings!$B$19,G403-Settings!$B$19,0)</f>
        <v>0</v>
      </c>
      <c r="I403" s="33">
        <f t="shared" si="24"/>
        <v>0</v>
      </c>
      <c r="J403" s="33">
        <f>IF(Auto_Roster!M403="Y",G403,0)</f>
        <v>0</v>
      </c>
      <c r="K403" s="33">
        <f>IF(Auto_Roster!L403="Y",G403,0)</f>
        <v>0</v>
      </c>
      <c r="L403" s="26" t="str">
        <f>Auto_Roster!K403</f>
        <v>N</v>
      </c>
      <c r="M403" s="34">
        <f>IF(L403="Y",Settings!$B$16,0)</f>
        <v>0</v>
      </c>
      <c r="N403" s="33">
        <f t="shared" si="25"/>
        <v>0</v>
      </c>
      <c r="O403" s="34">
        <f>N403*Settings!$B$17</f>
        <v>0</v>
      </c>
      <c r="P403" s="34">
        <f>IFERROR(VLOOKUP(C403,Employees!$A$4:$E$103,5,FALSE),Settings!$B$18)</f>
        <v>100</v>
      </c>
      <c r="Q403" s="34">
        <f t="shared" si="26"/>
        <v>0</v>
      </c>
      <c r="R403" s="34">
        <f>H403*P403*Settings!$B$13</f>
        <v>0</v>
      </c>
      <c r="S403" s="34">
        <f>J403*P403*(Settings!$B$14-1)</f>
        <v>0</v>
      </c>
      <c r="T403" s="34">
        <f>K403*P403*(Settings!$B$15-1)</f>
        <v>0</v>
      </c>
      <c r="U403" s="34">
        <f t="shared" si="27"/>
        <v>0</v>
      </c>
      <c r="V403" s="26" t="str">
        <f>Auto_Roster!O403</f>
        <v>Pending</v>
      </c>
      <c r="W403" s="26" t="e">
        <f ca="1">_xludf.TEXTJOIN("; ",TRUE,Auto_Roster!N403,IF(G403&gt;Settings!$B$19,"Approval required &gt; standard hours",""),IF(AND(F403&lt;&gt;"Off",G403=0),"Missing claimed hours",""))</f>
        <v>#NAME?</v>
      </c>
      <c r="X403" s="7"/>
    </row>
    <row r="404" spans="1:24" x14ac:dyDescent="0.35">
      <c r="A404" s="31">
        <f>Auto_Roster!A404</f>
        <v>46163</v>
      </c>
      <c r="B404" s="31">
        <f>Auto_Roster!B404</f>
        <v>46160</v>
      </c>
      <c r="C404" s="26" t="str">
        <f>Auto_Roster!C404</f>
        <v>E001</v>
      </c>
      <c r="D404" s="26" t="str">
        <f>Auto_Roster!D404</f>
        <v>Musiwa Khavalani</v>
      </c>
      <c r="E404" s="26">
        <f>Auto_Roster!E404</f>
        <v>0</v>
      </c>
      <c r="F404" s="26" t="e">
        <f>Auto_Roster!G404</f>
        <v>#N/A</v>
      </c>
      <c r="G404" s="33" t="e">
        <f>Auto_Roster!J404</f>
        <v>#N/A</v>
      </c>
      <c r="H404" s="33" t="e">
        <f>IF(G404&gt;Settings!$B$19,G404-Settings!$B$19,0)</f>
        <v>#N/A</v>
      </c>
      <c r="I404" s="33" t="e">
        <f t="shared" si="24"/>
        <v>#N/A</v>
      </c>
      <c r="J404" s="33">
        <f>IF(Auto_Roster!M404="Y",G404,0)</f>
        <v>0</v>
      </c>
      <c r="K404" s="33">
        <f>IF(Auto_Roster!L404="Y",G404,0)</f>
        <v>0</v>
      </c>
      <c r="L404" s="26" t="str">
        <f>Auto_Roster!K404</f>
        <v>N</v>
      </c>
      <c r="M404" s="34">
        <f>IF(L404="Y",Settings!$B$16,0)</f>
        <v>0</v>
      </c>
      <c r="N404" s="33" t="e">
        <f t="shared" si="25"/>
        <v>#N/A</v>
      </c>
      <c r="O404" s="34" t="e">
        <f>N404*Settings!$B$17</f>
        <v>#N/A</v>
      </c>
      <c r="P404" s="34">
        <f>IFERROR(VLOOKUP(C404,Employees!$A$4:$E$103,5,FALSE),Settings!$B$18)</f>
        <v>100</v>
      </c>
      <c r="Q404" s="34" t="e">
        <f t="shared" si="26"/>
        <v>#N/A</v>
      </c>
      <c r="R404" s="34" t="e">
        <f>H404*P404*Settings!$B$13</f>
        <v>#N/A</v>
      </c>
      <c r="S404" s="34">
        <f>J404*P404*(Settings!$B$14-1)</f>
        <v>0</v>
      </c>
      <c r="T404" s="34">
        <f>K404*P404*(Settings!$B$15-1)</f>
        <v>0</v>
      </c>
      <c r="U404" s="34" t="e">
        <f t="shared" si="27"/>
        <v>#N/A</v>
      </c>
      <c r="V404" s="26" t="str">
        <f>Auto_Roster!O404</f>
        <v>Pending</v>
      </c>
      <c r="W404" s="26" t="e">
        <f ca="1">_xludf.TEXTJOIN("; ",TRUE,Auto_Roster!N404,IF(G404&gt;Settings!$B$19,"Approval required &gt; standard hours",""),IF(AND(F404&lt;&gt;"Off",G404=0),"Missing claimed hours",""))</f>
        <v>#NAME?</v>
      </c>
      <c r="X404" s="7"/>
    </row>
    <row r="405" spans="1:24" x14ac:dyDescent="0.35">
      <c r="A405" s="31">
        <f>Auto_Roster!A405</f>
        <v>46163</v>
      </c>
      <c r="B405" s="31">
        <f>Auto_Roster!B405</f>
        <v>46160</v>
      </c>
      <c r="C405" s="26" t="str">
        <f>Auto_Roster!C405</f>
        <v>E002</v>
      </c>
      <c r="D405" s="26" t="str">
        <f>Auto_Roster!D405</f>
        <v>Mpho  Nembemhia</v>
      </c>
      <c r="E405" s="26" t="str">
        <f>Auto_Roster!E405</f>
        <v>B</v>
      </c>
      <c r="F405" s="26" t="str">
        <f>Auto_Roster!G405</f>
        <v>Off</v>
      </c>
      <c r="G405" s="33">
        <f>Auto_Roster!J405</f>
        <v>0</v>
      </c>
      <c r="H405" s="33">
        <f>IF(G405&gt;Settings!$B$19,G405-Settings!$B$19,0)</f>
        <v>0</v>
      </c>
      <c r="I405" s="33">
        <f t="shared" si="24"/>
        <v>0</v>
      </c>
      <c r="J405" s="33">
        <f>IF(Auto_Roster!M405="Y",G405,0)</f>
        <v>0</v>
      </c>
      <c r="K405" s="33">
        <f>IF(Auto_Roster!L405="Y",G405,0)</f>
        <v>0</v>
      </c>
      <c r="L405" s="26" t="str">
        <f>Auto_Roster!K405</f>
        <v>N</v>
      </c>
      <c r="M405" s="34">
        <f>IF(L405="Y",Settings!$B$16,0)</f>
        <v>0</v>
      </c>
      <c r="N405" s="33">
        <f t="shared" si="25"/>
        <v>0</v>
      </c>
      <c r="O405" s="34">
        <f>N405*Settings!$B$17</f>
        <v>0</v>
      </c>
      <c r="P405" s="34">
        <f>IFERROR(VLOOKUP(C405,Employees!$A$4:$E$103,5,FALSE),Settings!$B$18)</f>
        <v>100</v>
      </c>
      <c r="Q405" s="34">
        <f t="shared" si="26"/>
        <v>0</v>
      </c>
      <c r="R405" s="34">
        <f>H405*P405*Settings!$B$13</f>
        <v>0</v>
      </c>
      <c r="S405" s="34">
        <f>J405*P405*(Settings!$B$14-1)</f>
        <v>0</v>
      </c>
      <c r="T405" s="34">
        <f>K405*P405*(Settings!$B$15-1)</f>
        <v>0</v>
      </c>
      <c r="U405" s="34">
        <f t="shared" si="27"/>
        <v>0</v>
      </c>
      <c r="V405" s="26" t="str">
        <f>Auto_Roster!O405</f>
        <v>Pending</v>
      </c>
      <c r="W405" s="26" t="e">
        <f ca="1">_xludf.TEXTJOIN("; ",TRUE,Auto_Roster!N405,IF(G405&gt;Settings!$B$19,"Approval required &gt; standard hours",""),IF(AND(F405&lt;&gt;"Off",G405=0),"Missing claimed hours",""))</f>
        <v>#NAME?</v>
      </c>
      <c r="X405" s="7"/>
    </row>
    <row r="406" spans="1:24" x14ac:dyDescent="0.35">
      <c r="A406" s="31">
        <f>Auto_Roster!A406</f>
        <v>46163</v>
      </c>
      <c r="B406" s="31">
        <f>Auto_Roster!B406</f>
        <v>46160</v>
      </c>
      <c r="C406" s="26" t="str">
        <f>Auto_Roster!C406</f>
        <v>E003</v>
      </c>
      <c r="D406" s="26" t="str">
        <f>Auto_Roster!D406</f>
        <v>Dimpho Makhafola</v>
      </c>
      <c r="E406" s="26" t="str">
        <f>Auto_Roster!E406</f>
        <v>C</v>
      </c>
      <c r="F406" s="26" t="str">
        <f>Auto_Roster!G406</f>
        <v>Evening</v>
      </c>
      <c r="G406" s="33">
        <f>Auto_Roster!J406</f>
        <v>8</v>
      </c>
      <c r="H406" s="33">
        <f>IF(G406&gt;Settings!$B$19,G406-Settings!$B$19,0)</f>
        <v>0</v>
      </c>
      <c r="I406" s="33">
        <f t="shared" si="24"/>
        <v>8</v>
      </c>
      <c r="J406" s="33">
        <f>IF(Auto_Roster!M406="Y",G406,0)</f>
        <v>0</v>
      </c>
      <c r="K406" s="33">
        <f>IF(Auto_Roster!L406="Y",G406,0)</f>
        <v>0</v>
      </c>
      <c r="L406" s="26" t="str">
        <f>Auto_Roster!K406</f>
        <v>N</v>
      </c>
      <c r="M406" s="34">
        <f>IF(L406="Y",Settings!$B$16,0)</f>
        <v>0</v>
      </c>
      <c r="N406" s="33">
        <f t="shared" si="25"/>
        <v>0</v>
      </c>
      <c r="O406" s="34">
        <f>N406*Settings!$B$17</f>
        <v>0</v>
      </c>
      <c r="P406" s="34">
        <f>IFERROR(VLOOKUP(C406,Employees!$A$4:$E$103,5,FALSE),Settings!$B$18)</f>
        <v>100</v>
      </c>
      <c r="Q406" s="34">
        <f t="shared" si="26"/>
        <v>800</v>
      </c>
      <c r="R406" s="34">
        <f>H406*P406*Settings!$B$13</f>
        <v>0</v>
      </c>
      <c r="S406" s="34">
        <f>J406*P406*(Settings!$B$14-1)</f>
        <v>0</v>
      </c>
      <c r="T406" s="34">
        <f>K406*P406*(Settings!$B$15-1)</f>
        <v>0</v>
      </c>
      <c r="U406" s="34">
        <f t="shared" si="27"/>
        <v>800</v>
      </c>
      <c r="V406" s="26" t="str">
        <f>Auto_Roster!O406</f>
        <v>Pending</v>
      </c>
      <c r="W406" s="26" t="e">
        <f ca="1">_xludf.TEXTJOIN("; ",TRUE,Auto_Roster!N406,IF(G406&gt;Settings!$B$19,"Approval required &gt; standard hours",""),IF(AND(F406&lt;&gt;"Off",G406=0),"Missing claimed hours",""))</f>
        <v>#NAME?</v>
      </c>
      <c r="X406" s="7"/>
    </row>
    <row r="407" spans="1:24" x14ac:dyDescent="0.35">
      <c r="A407" s="31">
        <f>Auto_Roster!A407</f>
        <v>46163</v>
      </c>
      <c r="B407" s="31">
        <f>Auto_Roster!B407</f>
        <v>46160</v>
      </c>
      <c r="C407" s="26" t="str">
        <f>Auto_Roster!C407</f>
        <v>E004</v>
      </c>
      <c r="D407" s="26" t="str">
        <f>Auto_Roster!D407</f>
        <v>Bashii Fall</v>
      </c>
      <c r="E407" s="26" t="str">
        <f>Auto_Roster!E407</f>
        <v>D</v>
      </c>
      <c r="F407" s="26" t="str">
        <f>Auto_Roster!G407</f>
        <v>Night</v>
      </c>
      <c r="G407" s="33">
        <f>Auto_Roster!J407</f>
        <v>8</v>
      </c>
      <c r="H407" s="33">
        <f>IF(G407&gt;Settings!$B$19,G407-Settings!$B$19,0)</f>
        <v>0</v>
      </c>
      <c r="I407" s="33">
        <f t="shared" si="24"/>
        <v>8</v>
      </c>
      <c r="J407" s="33">
        <f>IF(Auto_Roster!M407="Y",G407,0)</f>
        <v>0</v>
      </c>
      <c r="K407" s="33">
        <f>IF(Auto_Roster!L407="Y",G407,0)</f>
        <v>0</v>
      </c>
      <c r="L407" s="26" t="str">
        <f>Auto_Roster!K407</f>
        <v>N</v>
      </c>
      <c r="M407" s="34">
        <f>IF(L407="Y",Settings!$B$16,0)</f>
        <v>0</v>
      </c>
      <c r="N407" s="33">
        <f t="shared" si="25"/>
        <v>8</v>
      </c>
      <c r="O407" s="34">
        <f>N407*Settings!$B$17</f>
        <v>0</v>
      </c>
      <c r="P407" s="34">
        <f>IFERROR(VLOOKUP(C407,Employees!$A$4:$E$103,5,FALSE),Settings!$B$18)</f>
        <v>100</v>
      </c>
      <c r="Q407" s="34">
        <f t="shared" si="26"/>
        <v>800</v>
      </c>
      <c r="R407" s="34">
        <f>H407*P407*Settings!$B$13</f>
        <v>0</v>
      </c>
      <c r="S407" s="34">
        <f>J407*P407*(Settings!$B$14-1)</f>
        <v>0</v>
      </c>
      <c r="T407" s="34">
        <f>K407*P407*(Settings!$B$15-1)</f>
        <v>0</v>
      </c>
      <c r="U407" s="34">
        <f t="shared" si="27"/>
        <v>800</v>
      </c>
      <c r="V407" s="26" t="str">
        <f>Auto_Roster!O407</f>
        <v>Pending</v>
      </c>
      <c r="W407" s="26" t="e">
        <f ca="1">_xludf.TEXTJOIN("; ",TRUE,Auto_Roster!N407,IF(G407&gt;Settings!$B$19,"Approval required &gt; standard hours",""),IF(AND(F407&lt;&gt;"Off",G407=0),"Missing claimed hours",""))</f>
        <v>#NAME?</v>
      </c>
      <c r="X407" s="7"/>
    </row>
    <row r="408" spans="1:24" x14ac:dyDescent="0.35">
      <c r="A408" s="31">
        <f>Auto_Roster!A408</f>
        <v>46163</v>
      </c>
      <c r="B408" s="31">
        <f>Auto_Roster!B408</f>
        <v>46160</v>
      </c>
      <c r="C408" s="26" t="str">
        <f>Auto_Roster!C408</f>
        <v>E005</v>
      </c>
      <c r="D408" s="26" t="str">
        <f>Auto_Roster!D408</f>
        <v>Lesego Aphane</v>
      </c>
      <c r="E408" s="26" t="str">
        <f>Auto_Roster!E408</f>
        <v>A</v>
      </c>
      <c r="F408" s="26" t="str">
        <f>Auto_Roster!G408</f>
        <v>Day</v>
      </c>
      <c r="G408" s="33">
        <f>Auto_Roster!J408</f>
        <v>8</v>
      </c>
      <c r="H408" s="33">
        <f>IF(G408&gt;Settings!$B$19,G408-Settings!$B$19,0)</f>
        <v>0</v>
      </c>
      <c r="I408" s="33">
        <f t="shared" si="24"/>
        <v>8</v>
      </c>
      <c r="J408" s="33">
        <f>IF(Auto_Roster!M408="Y",G408,0)</f>
        <v>0</v>
      </c>
      <c r="K408" s="33">
        <f>IF(Auto_Roster!L408="Y",G408,0)</f>
        <v>0</v>
      </c>
      <c r="L408" s="26" t="str">
        <f>Auto_Roster!K408</f>
        <v>N</v>
      </c>
      <c r="M408" s="34">
        <f>IF(L408="Y",Settings!$B$16,0)</f>
        <v>0</v>
      </c>
      <c r="N408" s="33">
        <f t="shared" si="25"/>
        <v>0</v>
      </c>
      <c r="O408" s="34">
        <f>N408*Settings!$B$17</f>
        <v>0</v>
      </c>
      <c r="P408" s="34">
        <f>IFERROR(VLOOKUP(C408,Employees!$A$4:$E$103,5,FALSE),Settings!$B$18)</f>
        <v>100</v>
      </c>
      <c r="Q408" s="34">
        <f t="shared" si="26"/>
        <v>800</v>
      </c>
      <c r="R408" s="34">
        <f>H408*P408*Settings!$B$13</f>
        <v>0</v>
      </c>
      <c r="S408" s="34">
        <f>J408*P408*(Settings!$B$14-1)</f>
        <v>0</v>
      </c>
      <c r="T408" s="34">
        <f>K408*P408*(Settings!$B$15-1)</f>
        <v>0</v>
      </c>
      <c r="U408" s="34">
        <f t="shared" si="27"/>
        <v>800</v>
      </c>
      <c r="V408" s="26" t="str">
        <f>Auto_Roster!O408</f>
        <v>Pending</v>
      </c>
      <c r="W408" s="26" t="e">
        <f ca="1">_xludf.TEXTJOIN("; ",TRUE,Auto_Roster!N408,IF(G408&gt;Settings!$B$19,"Approval required &gt; standard hours",""),IF(AND(F408&lt;&gt;"Off",G408=0),"Missing claimed hours",""))</f>
        <v>#NAME?</v>
      </c>
      <c r="X408" s="7"/>
    </row>
    <row r="409" spans="1:24" x14ac:dyDescent="0.35">
      <c r="A409" s="31">
        <f>Auto_Roster!A409</f>
        <v>46163</v>
      </c>
      <c r="B409" s="31">
        <f>Auto_Roster!B409</f>
        <v>46160</v>
      </c>
      <c r="C409" s="26" t="str">
        <f>Auto_Roster!C409</f>
        <v>E006</v>
      </c>
      <c r="D409" s="26" t="str">
        <f>Auto_Roster!D409</f>
        <v>Nhalnahla</v>
      </c>
      <c r="E409" s="26" t="str">
        <f>Auto_Roster!E409</f>
        <v>B</v>
      </c>
      <c r="F409" s="26" t="str">
        <f>Auto_Roster!G409</f>
        <v>Off</v>
      </c>
      <c r="G409" s="33">
        <f>Auto_Roster!J409</f>
        <v>0</v>
      </c>
      <c r="H409" s="33">
        <f>IF(G409&gt;Settings!$B$19,G409-Settings!$B$19,0)</f>
        <v>0</v>
      </c>
      <c r="I409" s="33">
        <f t="shared" si="24"/>
        <v>0</v>
      </c>
      <c r="J409" s="33">
        <f>IF(Auto_Roster!M409="Y",G409,0)</f>
        <v>0</v>
      </c>
      <c r="K409" s="33">
        <f>IF(Auto_Roster!L409="Y",G409,0)</f>
        <v>0</v>
      </c>
      <c r="L409" s="26" t="str">
        <f>Auto_Roster!K409</f>
        <v>N</v>
      </c>
      <c r="M409" s="34">
        <f>IF(L409="Y",Settings!$B$16,0)</f>
        <v>0</v>
      </c>
      <c r="N409" s="33">
        <f t="shared" si="25"/>
        <v>0</v>
      </c>
      <c r="O409" s="34">
        <f>N409*Settings!$B$17</f>
        <v>0</v>
      </c>
      <c r="P409" s="34">
        <f>IFERROR(VLOOKUP(C409,Employees!$A$4:$E$103,5,FALSE),Settings!$B$18)</f>
        <v>100</v>
      </c>
      <c r="Q409" s="34">
        <f t="shared" si="26"/>
        <v>0</v>
      </c>
      <c r="R409" s="34">
        <f>H409*P409*Settings!$B$13</f>
        <v>0</v>
      </c>
      <c r="S409" s="34">
        <f>J409*P409*(Settings!$B$14-1)</f>
        <v>0</v>
      </c>
      <c r="T409" s="34">
        <f>K409*P409*(Settings!$B$15-1)</f>
        <v>0</v>
      </c>
      <c r="U409" s="34">
        <f t="shared" si="27"/>
        <v>0</v>
      </c>
      <c r="V409" s="26" t="str">
        <f>Auto_Roster!O409</f>
        <v>Pending</v>
      </c>
      <c r="W409" s="26" t="e">
        <f ca="1">_xludf.TEXTJOIN("; ",TRUE,Auto_Roster!N409,IF(G409&gt;Settings!$B$19,"Approval required &gt; standard hours",""),IF(AND(F409&lt;&gt;"Off",G409=0),"Missing claimed hours",""))</f>
        <v>#NAME?</v>
      </c>
      <c r="X409" s="7"/>
    </row>
    <row r="410" spans="1:24" x14ac:dyDescent="0.35">
      <c r="A410" s="31">
        <f>Auto_Roster!A410</f>
        <v>46163</v>
      </c>
      <c r="B410" s="31">
        <f>Auto_Roster!B410</f>
        <v>46160</v>
      </c>
      <c r="C410" s="26" t="str">
        <f>Auto_Roster!C410</f>
        <v>E007</v>
      </c>
      <c r="D410" s="26" t="str">
        <f>Auto_Roster!D410</f>
        <v>Joe</v>
      </c>
      <c r="E410" s="26" t="str">
        <f>Auto_Roster!E410</f>
        <v>C</v>
      </c>
      <c r="F410" s="26" t="str">
        <f>Auto_Roster!G410</f>
        <v>Evening</v>
      </c>
      <c r="G410" s="33">
        <f>Auto_Roster!J410</f>
        <v>8</v>
      </c>
      <c r="H410" s="33">
        <f>IF(G410&gt;Settings!$B$19,G410-Settings!$B$19,0)</f>
        <v>0</v>
      </c>
      <c r="I410" s="33">
        <f t="shared" si="24"/>
        <v>8</v>
      </c>
      <c r="J410" s="33">
        <f>IF(Auto_Roster!M410="Y",G410,0)</f>
        <v>0</v>
      </c>
      <c r="K410" s="33">
        <f>IF(Auto_Roster!L410="Y",G410,0)</f>
        <v>0</v>
      </c>
      <c r="L410" s="26" t="str">
        <f>Auto_Roster!K410</f>
        <v>N</v>
      </c>
      <c r="M410" s="34">
        <f>IF(L410="Y",Settings!$B$16,0)</f>
        <v>0</v>
      </c>
      <c r="N410" s="33">
        <f t="shared" si="25"/>
        <v>0</v>
      </c>
      <c r="O410" s="34">
        <f>N410*Settings!$B$17</f>
        <v>0</v>
      </c>
      <c r="P410" s="34">
        <f>IFERROR(VLOOKUP(C410,Employees!$A$4:$E$103,5,FALSE),Settings!$B$18)</f>
        <v>100</v>
      </c>
      <c r="Q410" s="34">
        <f t="shared" si="26"/>
        <v>800</v>
      </c>
      <c r="R410" s="34">
        <f>H410*P410*Settings!$B$13</f>
        <v>0</v>
      </c>
      <c r="S410" s="34">
        <f>J410*P410*(Settings!$B$14-1)</f>
        <v>0</v>
      </c>
      <c r="T410" s="34">
        <f>K410*P410*(Settings!$B$15-1)</f>
        <v>0</v>
      </c>
      <c r="U410" s="34">
        <f t="shared" si="27"/>
        <v>800</v>
      </c>
      <c r="V410" s="26" t="str">
        <f>Auto_Roster!O410</f>
        <v>Pending</v>
      </c>
      <c r="W410" s="26" t="e">
        <f ca="1">_xludf.TEXTJOIN("; ",TRUE,Auto_Roster!N410,IF(G410&gt;Settings!$B$19,"Approval required &gt; standard hours",""),IF(AND(F410&lt;&gt;"Off",G410=0),"Missing claimed hours",""))</f>
        <v>#NAME?</v>
      </c>
      <c r="X410" s="7"/>
    </row>
    <row r="411" spans="1:24" x14ac:dyDescent="0.35">
      <c r="A411" s="31">
        <f>Auto_Roster!A411</f>
        <v>46163</v>
      </c>
      <c r="B411" s="31">
        <f>Auto_Roster!B411</f>
        <v>46160</v>
      </c>
      <c r="C411" s="26" t="str">
        <f>Auto_Roster!C411</f>
        <v>E008</v>
      </c>
      <c r="D411" s="26" t="str">
        <f>Auto_Roster!D411</f>
        <v>Tim</v>
      </c>
      <c r="E411" s="26" t="str">
        <f>Auto_Roster!E411</f>
        <v>D</v>
      </c>
      <c r="F411" s="26" t="str">
        <f>Auto_Roster!G411</f>
        <v>Night</v>
      </c>
      <c r="G411" s="33">
        <f>Auto_Roster!J411</f>
        <v>8</v>
      </c>
      <c r="H411" s="33">
        <f>IF(G411&gt;Settings!$B$19,G411-Settings!$B$19,0)</f>
        <v>0</v>
      </c>
      <c r="I411" s="33">
        <f t="shared" si="24"/>
        <v>8</v>
      </c>
      <c r="J411" s="33">
        <f>IF(Auto_Roster!M411="Y",G411,0)</f>
        <v>0</v>
      </c>
      <c r="K411" s="33">
        <f>IF(Auto_Roster!L411="Y",G411,0)</f>
        <v>0</v>
      </c>
      <c r="L411" s="26" t="str">
        <f>Auto_Roster!K411</f>
        <v>N</v>
      </c>
      <c r="M411" s="34">
        <f>IF(L411="Y",Settings!$B$16,0)</f>
        <v>0</v>
      </c>
      <c r="N411" s="33">
        <f t="shared" si="25"/>
        <v>8</v>
      </c>
      <c r="O411" s="34">
        <f>N411*Settings!$B$17</f>
        <v>0</v>
      </c>
      <c r="P411" s="34">
        <f>IFERROR(VLOOKUP(C411,Employees!$A$4:$E$103,5,FALSE),Settings!$B$18)</f>
        <v>100</v>
      </c>
      <c r="Q411" s="34">
        <f t="shared" si="26"/>
        <v>800</v>
      </c>
      <c r="R411" s="34">
        <f>H411*P411*Settings!$B$13</f>
        <v>0</v>
      </c>
      <c r="S411" s="34">
        <f>J411*P411*(Settings!$B$14-1)</f>
        <v>0</v>
      </c>
      <c r="T411" s="34">
        <f>K411*P411*(Settings!$B$15-1)</f>
        <v>0</v>
      </c>
      <c r="U411" s="34">
        <f t="shared" si="27"/>
        <v>800</v>
      </c>
      <c r="V411" s="26" t="str">
        <f>Auto_Roster!O411</f>
        <v>Pending</v>
      </c>
      <c r="W411" s="26" t="e">
        <f ca="1">_xludf.TEXTJOIN("; ",TRUE,Auto_Roster!N411,IF(G411&gt;Settings!$B$19,"Approval required &gt; standard hours",""),IF(AND(F411&lt;&gt;"Off",G411=0),"Missing claimed hours",""))</f>
        <v>#NAME?</v>
      </c>
      <c r="X411" s="7"/>
    </row>
    <row r="412" spans="1:24" x14ac:dyDescent="0.35">
      <c r="A412" s="31">
        <f>Auto_Roster!A412</f>
        <v>46163</v>
      </c>
      <c r="B412" s="31">
        <f>Auto_Roster!B412</f>
        <v>46160</v>
      </c>
      <c r="C412" s="26" t="str">
        <f>Auto_Roster!C412</f>
        <v>E009</v>
      </c>
      <c r="D412" s="26" t="str">
        <f>Auto_Roster!D412</f>
        <v>Frank</v>
      </c>
      <c r="E412" s="26" t="str">
        <f>Auto_Roster!E412</f>
        <v>A</v>
      </c>
      <c r="F412" s="26" t="str">
        <f>Auto_Roster!G412</f>
        <v>Day</v>
      </c>
      <c r="G412" s="33">
        <f>Auto_Roster!J412</f>
        <v>8</v>
      </c>
      <c r="H412" s="33">
        <f>IF(G412&gt;Settings!$B$19,G412-Settings!$B$19,0)</f>
        <v>0</v>
      </c>
      <c r="I412" s="33">
        <f t="shared" si="24"/>
        <v>8</v>
      </c>
      <c r="J412" s="33">
        <f>IF(Auto_Roster!M412="Y",G412,0)</f>
        <v>0</v>
      </c>
      <c r="K412" s="33">
        <f>IF(Auto_Roster!L412="Y",G412,0)</f>
        <v>0</v>
      </c>
      <c r="L412" s="26" t="str">
        <f>Auto_Roster!K412</f>
        <v>N</v>
      </c>
      <c r="M412" s="34">
        <f>IF(L412="Y",Settings!$B$16,0)</f>
        <v>0</v>
      </c>
      <c r="N412" s="33">
        <f t="shared" si="25"/>
        <v>0</v>
      </c>
      <c r="O412" s="34">
        <f>N412*Settings!$B$17</f>
        <v>0</v>
      </c>
      <c r="P412" s="34">
        <f>IFERROR(VLOOKUP(C412,Employees!$A$4:$E$103,5,FALSE),Settings!$B$18)</f>
        <v>100</v>
      </c>
      <c r="Q412" s="34">
        <f t="shared" si="26"/>
        <v>800</v>
      </c>
      <c r="R412" s="34">
        <f>H412*P412*Settings!$B$13</f>
        <v>0</v>
      </c>
      <c r="S412" s="34">
        <f>J412*P412*(Settings!$B$14-1)</f>
        <v>0</v>
      </c>
      <c r="T412" s="34">
        <f>K412*P412*(Settings!$B$15-1)</f>
        <v>0</v>
      </c>
      <c r="U412" s="34">
        <f t="shared" si="27"/>
        <v>800</v>
      </c>
      <c r="V412" s="26" t="str">
        <f>Auto_Roster!O412</f>
        <v>Pending</v>
      </c>
      <c r="W412" s="26" t="e">
        <f ca="1">_xludf.TEXTJOIN("; ",TRUE,Auto_Roster!N412,IF(G412&gt;Settings!$B$19,"Approval required &gt; standard hours",""),IF(AND(F412&lt;&gt;"Off",G412=0),"Missing claimed hours",""))</f>
        <v>#NAME?</v>
      </c>
      <c r="X412" s="7"/>
    </row>
    <row r="413" spans="1:24" x14ac:dyDescent="0.35">
      <c r="A413" s="31">
        <f>Auto_Roster!A413</f>
        <v>46163</v>
      </c>
      <c r="B413" s="31">
        <f>Auto_Roster!B413</f>
        <v>46160</v>
      </c>
      <c r="C413" s="26" t="str">
        <f>Auto_Roster!C413</f>
        <v/>
      </c>
      <c r="D413" s="26" t="str">
        <f>Auto_Roster!D413</f>
        <v/>
      </c>
      <c r="E413" s="26" t="str">
        <f>Auto_Roster!E413</f>
        <v/>
      </c>
      <c r="F413" s="26" t="str">
        <f>Auto_Roster!G413</f>
        <v/>
      </c>
      <c r="G413" s="33">
        <f>Auto_Roster!J413</f>
        <v>0</v>
      </c>
      <c r="H413" s="33">
        <f>IF(G413&gt;Settings!$B$19,G413-Settings!$B$19,0)</f>
        <v>0</v>
      </c>
      <c r="I413" s="33">
        <f t="shared" si="24"/>
        <v>0</v>
      </c>
      <c r="J413" s="33">
        <f>IF(Auto_Roster!M413="Y",G413,0)</f>
        <v>0</v>
      </c>
      <c r="K413" s="33">
        <f>IF(Auto_Roster!L413="Y",G413,0)</f>
        <v>0</v>
      </c>
      <c r="L413" s="26" t="str">
        <f>Auto_Roster!K413</f>
        <v>N</v>
      </c>
      <c r="M413" s="34">
        <f>IF(L413="Y",Settings!$B$16,0)</f>
        <v>0</v>
      </c>
      <c r="N413" s="33">
        <f t="shared" si="25"/>
        <v>0</v>
      </c>
      <c r="O413" s="34">
        <f>N413*Settings!$B$17</f>
        <v>0</v>
      </c>
      <c r="P413" s="34">
        <f>IFERROR(VLOOKUP(C413,Employees!$A$4:$E$103,5,FALSE),Settings!$B$18)</f>
        <v>100</v>
      </c>
      <c r="Q413" s="34">
        <f t="shared" si="26"/>
        <v>0</v>
      </c>
      <c r="R413" s="34">
        <f>H413*P413*Settings!$B$13</f>
        <v>0</v>
      </c>
      <c r="S413" s="34">
        <f>J413*P413*(Settings!$B$14-1)</f>
        <v>0</v>
      </c>
      <c r="T413" s="34">
        <f>K413*P413*(Settings!$B$15-1)</f>
        <v>0</v>
      </c>
      <c r="U413" s="34">
        <f t="shared" si="27"/>
        <v>0</v>
      </c>
      <c r="V413" s="26" t="str">
        <f>Auto_Roster!O413</f>
        <v>Pending</v>
      </c>
      <c r="W413" s="26" t="e">
        <f ca="1">_xludf.TEXTJOIN("; ",TRUE,Auto_Roster!N413,IF(G413&gt;Settings!$B$19,"Approval required &gt; standard hours",""),IF(AND(F413&lt;&gt;"Off",G413=0),"Missing claimed hours",""))</f>
        <v>#NAME?</v>
      </c>
      <c r="X413" s="7"/>
    </row>
    <row r="414" spans="1:24" x14ac:dyDescent="0.35">
      <c r="A414" s="31">
        <f>Auto_Roster!A414</f>
        <v>46163</v>
      </c>
      <c r="B414" s="31">
        <f>Auto_Roster!B414</f>
        <v>46160</v>
      </c>
      <c r="C414" s="26" t="str">
        <f>Auto_Roster!C414</f>
        <v/>
      </c>
      <c r="D414" s="26" t="str">
        <f>Auto_Roster!D414</f>
        <v/>
      </c>
      <c r="E414" s="26" t="str">
        <f>Auto_Roster!E414</f>
        <v/>
      </c>
      <c r="F414" s="26" t="str">
        <f>Auto_Roster!G414</f>
        <v/>
      </c>
      <c r="G414" s="33">
        <f>Auto_Roster!J414</f>
        <v>0</v>
      </c>
      <c r="H414" s="33">
        <f>IF(G414&gt;Settings!$B$19,G414-Settings!$B$19,0)</f>
        <v>0</v>
      </c>
      <c r="I414" s="33">
        <f t="shared" si="24"/>
        <v>0</v>
      </c>
      <c r="J414" s="33">
        <f>IF(Auto_Roster!M414="Y",G414,0)</f>
        <v>0</v>
      </c>
      <c r="K414" s="33">
        <f>IF(Auto_Roster!L414="Y",G414,0)</f>
        <v>0</v>
      </c>
      <c r="L414" s="26" t="str">
        <f>Auto_Roster!K414</f>
        <v>N</v>
      </c>
      <c r="M414" s="34">
        <f>IF(L414="Y",Settings!$B$16,0)</f>
        <v>0</v>
      </c>
      <c r="N414" s="33">
        <f t="shared" si="25"/>
        <v>0</v>
      </c>
      <c r="O414" s="34">
        <f>N414*Settings!$B$17</f>
        <v>0</v>
      </c>
      <c r="P414" s="34">
        <f>IFERROR(VLOOKUP(C414,Employees!$A$4:$E$103,5,FALSE),Settings!$B$18)</f>
        <v>100</v>
      </c>
      <c r="Q414" s="34">
        <f t="shared" si="26"/>
        <v>0</v>
      </c>
      <c r="R414" s="34">
        <f>H414*P414*Settings!$B$13</f>
        <v>0</v>
      </c>
      <c r="S414" s="34">
        <f>J414*P414*(Settings!$B$14-1)</f>
        <v>0</v>
      </c>
      <c r="T414" s="34">
        <f>K414*P414*(Settings!$B$15-1)</f>
        <v>0</v>
      </c>
      <c r="U414" s="34">
        <f t="shared" si="27"/>
        <v>0</v>
      </c>
      <c r="V414" s="26" t="str">
        <f>Auto_Roster!O414</f>
        <v>Pending</v>
      </c>
      <c r="W414" s="26" t="e">
        <f ca="1">_xludf.TEXTJOIN("; ",TRUE,Auto_Roster!N414,IF(G414&gt;Settings!$B$19,"Approval required &gt; standard hours",""),IF(AND(F414&lt;&gt;"Off",G414=0),"Missing claimed hours",""))</f>
        <v>#NAME?</v>
      </c>
      <c r="X414" s="7"/>
    </row>
    <row r="415" spans="1:24" x14ac:dyDescent="0.35">
      <c r="A415" s="31">
        <f>Auto_Roster!A415</f>
        <v>46163</v>
      </c>
      <c r="B415" s="31">
        <f>Auto_Roster!B415</f>
        <v>46160</v>
      </c>
      <c r="C415" s="26" t="str">
        <f>Auto_Roster!C415</f>
        <v/>
      </c>
      <c r="D415" s="26" t="str">
        <f>Auto_Roster!D415</f>
        <v/>
      </c>
      <c r="E415" s="26" t="str">
        <f>Auto_Roster!E415</f>
        <v/>
      </c>
      <c r="F415" s="26" t="str">
        <f>Auto_Roster!G415</f>
        <v/>
      </c>
      <c r="G415" s="33">
        <f>Auto_Roster!J415</f>
        <v>0</v>
      </c>
      <c r="H415" s="33">
        <f>IF(G415&gt;Settings!$B$19,G415-Settings!$B$19,0)</f>
        <v>0</v>
      </c>
      <c r="I415" s="33">
        <f t="shared" si="24"/>
        <v>0</v>
      </c>
      <c r="J415" s="33">
        <f>IF(Auto_Roster!M415="Y",G415,0)</f>
        <v>0</v>
      </c>
      <c r="K415" s="33">
        <f>IF(Auto_Roster!L415="Y",G415,0)</f>
        <v>0</v>
      </c>
      <c r="L415" s="26" t="str">
        <f>Auto_Roster!K415</f>
        <v>N</v>
      </c>
      <c r="M415" s="34">
        <f>IF(L415="Y",Settings!$B$16,0)</f>
        <v>0</v>
      </c>
      <c r="N415" s="33">
        <f t="shared" si="25"/>
        <v>0</v>
      </c>
      <c r="O415" s="34">
        <f>N415*Settings!$B$17</f>
        <v>0</v>
      </c>
      <c r="P415" s="34">
        <f>IFERROR(VLOOKUP(C415,Employees!$A$4:$E$103,5,FALSE),Settings!$B$18)</f>
        <v>100</v>
      </c>
      <c r="Q415" s="34">
        <f t="shared" si="26"/>
        <v>0</v>
      </c>
      <c r="R415" s="34">
        <f>H415*P415*Settings!$B$13</f>
        <v>0</v>
      </c>
      <c r="S415" s="34">
        <f>J415*P415*(Settings!$B$14-1)</f>
        <v>0</v>
      </c>
      <c r="T415" s="34">
        <f>K415*P415*(Settings!$B$15-1)</f>
        <v>0</v>
      </c>
      <c r="U415" s="34">
        <f t="shared" si="27"/>
        <v>0</v>
      </c>
      <c r="V415" s="26" t="str">
        <f>Auto_Roster!O415</f>
        <v>Pending</v>
      </c>
      <c r="W415" s="26" t="e">
        <f ca="1">_xludf.TEXTJOIN("; ",TRUE,Auto_Roster!N415,IF(G415&gt;Settings!$B$19,"Approval required &gt; standard hours",""),IF(AND(F415&lt;&gt;"Off",G415=0),"Missing claimed hours",""))</f>
        <v>#NAME?</v>
      </c>
      <c r="X415" s="7"/>
    </row>
    <row r="416" spans="1:24" x14ac:dyDescent="0.35">
      <c r="A416" s="31">
        <f>Auto_Roster!A416</f>
        <v>46163</v>
      </c>
      <c r="B416" s="31">
        <f>Auto_Roster!B416</f>
        <v>46160</v>
      </c>
      <c r="C416" s="26" t="str">
        <f>Auto_Roster!C416</f>
        <v/>
      </c>
      <c r="D416" s="26" t="str">
        <f>Auto_Roster!D416</f>
        <v/>
      </c>
      <c r="E416" s="26" t="str">
        <f>Auto_Roster!E416</f>
        <v/>
      </c>
      <c r="F416" s="26" t="str">
        <f>Auto_Roster!G416</f>
        <v/>
      </c>
      <c r="G416" s="33">
        <f>Auto_Roster!J416</f>
        <v>0</v>
      </c>
      <c r="H416" s="33">
        <f>IF(G416&gt;Settings!$B$19,G416-Settings!$B$19,0)</f>
        <v>0</v>
      </c>
      <c r="I416" s="33">
        <f t="shared" si="24"/>
        <v>0</v>
      </c>
      <c r="J416" s="33">
        <f>IF(Auto_Roster!M416="Y",G416,0)</f>
        <v>0</v>
      </c>
      <c r="K416" s="33">
        <f>IF(Auto_Roster!L416="Y",G416,0)</f>
        <v>0</v>
      </c>
      <c r="L416" s="26" t="str">
        <f>Auto_Roster!K416</f>
        <v>N</v>
      </c>
      <c r="M416" s="34">
        <f>IF(L416="Y",Settings!$B$16,0)</f>
        <v>0</v>
      </c>
      <c r="N416" s="33">
        <f t="shared" si="25"/>
        <v>0</v>
      </c>
      <c r="O416" s="34">
        <f>N416*Settings!$B$17</f>
        <v>0</v>
      </c>
      <c r="P416" s="34">
        <f>IFERROR(VLOOKUP(C416,Employees!$A$4:$E$103,5,FALSE),Settings!$B$18)</f>
        <v>100</v>
      </c>
      <c r="Q416" s="34">
        <f t="shared" si="26"/>
        <v>0</v>
      </c>
      <c r="R416" s="34">
        <f>H416*P416*Settings!$B$13</f>
        <v>0</v>
      </c>
      <c r="S416" s="34">
        <f>J416*P416*(Settings!$B$14-1)</f>
        <v>0</v>
      </c>
      <c r="T416" s="34">
        <f>K416*P416*(Settings!$B$15-1)</f>
        <v>0</v>
      </c>
      <c r="U416" s="34">
        <f t="shared" si="27"/>
        <v>0</v>
      </c>
      <c r="V416" s="26" t="str">
        <f>Auto_Roster!O416</f>
        <v>Pending</v>
      </c>
      <c r="W416" s="26" t="e">
        <f ca="1">_xludf.TEXTJOIN("; ",TRUE,Auto_Roster!N416,IF(G416&gt;Settings!$B$19,"Approval required &gt; standard hours",""),IF(AND(F416&lt;&gt;"Off",G416=0),"Missing claimed hours",""))</f>
        <v>#NAME?</v>
      </c>
      <c r="X416" s="7"/>
    </row>
    <row r="417" spans="1:24" x14ac:dyDescent="0.35">
      <c r="A417" s="31">
        <f>Auto_Roster!A417</f>
        <v>46163</v>
      </c>
      <c r="B417" s="31">
        <f>Auto_Roster!B417</f>
        <v>46160</v>
      </c>
      <c r="C417" s="26" t="str">
        <f>Auto_Roster!C417</f>
        <v/>
      </c>
      <c r="D417" s="26" t="str">
        <f>Auto_Roster!D417</f>
        <v/>
      </c>
      <c r="E417" s="26" t="str">
        <f>Auto_Roster!E417</f>
        <v/>
      </c>
      <c r="F417" s="26" t="str">
        <f>Auto_Roster!G417</f>
        <v/>
      </c>
      <c r="G417" s="33">
        <f>Auto_Roster!J417</f>
        <v>0</v>
      </c>
      <c r="H417" s="33">
        <f>IF(G417&gt;Settings!$B$19,G417-Settings!$B$19,0)</f>
        <v>0</v>
      </c>
      <c r="I417" s="33">
        <f t="shared" si="24"/>
        <v>0</v>
      </c>
      <c r="J417" s="33">
        <f>IF(Auto_Roster!M417="Y",G417,0)</f>
        <v>0</v>
      </c>
      <c r="K417" s="33">
        <f>IF(Auto_Roster!L417="Y",G417,0)</f>
        <v>0</v>
      </c>
      <c r="L417" s="26" t="str">
        <f>Auto_Roster!K417</f>
        <v>N</v>
      </c>
      <c r="M417" s="34">
        <f>IF(L417="Y",Settings!$B$16,0)</f>
        <v>0</v>
      </c>
      <c r="N417" s="33">
        <f t="shared" si="25"/>
        <v>0</v>
      </c>
      <c r="O417" s="34">
        <f>N417*Settings!$B$17</f>
        <v>0</v>
      </c>
      <c r="P417" s="34">
        <f>IFERROR(VLOOKUP(C417,Employees!$A$4:$E$103,5,FALSE),Settings!$B$18)</f>
        <v>100</v>
      </c>
      <c r="Q417" s="34">
        <f t="shared" si="26"/>
        <v>0</v>
      </c>
      <c r="R417" s="34">
        <f>H417*P417*Settings!$B$13</f>
        <v>0</v>
      </c>
      <c r="S417" s="34">
        <f>J417*P417*(Settings!$B$14-1)</f>
        <v>0</v>
      </c>
      <c r="T417" s="34">
        <f>K417*P417*(Settings!$B$15-1)</f>
        <v>0</v>
      </c>
      <c r="U417" s="34">
        <f t="shared" si="27"/>
        <v>0</v>
      </c>
      <c r="V417" s="26" t="str">
        <f>Auto_Roster!O417</f>
        <v>Pending</v>
      </c>
      <c r="W417" s="26" t="e">
        <f ca="1">_xludf.TEXTJOIN("; ",TRUE,Auto_Roster!N417,IF(G417&gt;Settings!$B$19,"Approval required &gt; standard hours",""),IF(AND(F417&lt;&gt;"Off",G417=0),"Missing claimed hours",""))</f>
        <v>#NAME?</v>
      </c>
      <c r="X417" s="7"/>
    </row>
    <row r="418" spans="1:24" x14ac:dyDescent="0.35">
      <c r="A418" s="31">
        <f>Auto_Roster!A418</f>
        <v>46163</v>
      </c>
      <c r="B418" s="31">
        <f>Auto_Roster!B418</f>
        <v>46160</v>
      </c>
      <c r="C418" s="26" t="str">
        <f>Auto_Roster!C418</f>
        <v/>
      </c>
      <c r="D418" s="26" t="str">
        <f>Auto_Roster!D418</f>
        <v/>
      </c>
      <c r="E418" s="26" t="str">
        <f>Auto_Roster!E418</f>
        <v/>
      </c>
      <c r="F418" s="26" t="str">
        <f>Auto_Roster!G418</f>
        <v/>
      </c>
      <c r="G418" s="33">
        <f>Auto_Roster!J418</f>
        <v>0</v>
      </c>
      <c r="H418" s="33">
        <f>IF(G418&gt;Settings!$B$19,G418-Settings!$B$19,0)</f>
        <v>0</v>
      </c>
      <c r="I418" s="33">
        <f t="shared" si="24"/>
        <v>0</v>
      </c>
      <c r="J418" s="33">
        <f>IF(Auto_Roster!M418="Y",G418,0)</f>
        <v>0</v>
      </c>
      <c r="K418" s="33">
        <f>IF(Auto_Roster!L418="Y",G418,0)</f>
        <v>0</v>
      </c>
      <c r="L418" s="26" t="str">
        <f>Auto_Roster!K418</f>
        <v>N</v>
      </c>
      <c r="M418" s="34">
        <f>IF(L418="Y",Settings!$B$16,0)</f>
        <v>0</v>
      </c>
      <c r="N418" s="33">
        <f t="shared" si="25"/>
        <v>0</v>
      </c>
      <c r="O418" s="34">
        <f>N418*Settings!$B$17</f>
        <v>0</v>
      </c>
      <c r="P418" s="34">
        <f>IFERROR(VLOOKUP(C418,Employees!$A$4:$E$103,5,FALSE),Settings!$B$18)</f>
        <v>100</v>
      </c>
      <c r="Q418" s="34">
        <f t="shared" si="26"/>
        <v>0</v>
      </c>
      <c r="R418" s="34">
        <f>H418*P418*Settings!$B$13</f>
        <v>0</v>
      </c>
      <c r="S418" s="34">
        <f>J418*P418*(Settings!$B$14-1)</f>
        <v>0</v>
      </c>
      <c r="T418" s="34">
        <f>K418*P418*(Settings!$B$15-1)</f>
        <v>0</v>
      </c>
      <c r="U418" s="34">
        <f t="shared" si="27"/>
        <v>0</v>
      </c>
      <c r="V418" s="26" t="str">
        <f>Auto_Roster!O418</f>
        <v>Pending</v>
      </c>
      <c r="W418" s="26" t="e">
        <f ca="1">_xludf.TEXTJOIN("; ",TRUE,Auto_Roster!N418,IF(G418&gt;Settings!$B$19,"Approval required &gt; standard hours",""),IF(AND(F418&lt;&gt;"Off",G418=0),"Missing claimed hours",""))</f>
        <v>#NAME?</v>
      </c>
      <c r="X418" s="7"/>
    </row>
    <row r="419" spans="1:24" x14ac:dyDescent="0.35">
      <c r="A419" s="31">
        <f>Auto_Roster!A419</f>
        <v>46163</v>
      </c>
      <c r="B419" s="31">
        <f>Auto_Roster!B419</f>
        <v>46160</v>
      </c>
      <c r="C419" s="26" t="str">
        <f>Auto_Roster!C419</f>
        <v/>
      </c>
      <c r="D419" s="26" t="str">
        <f>Auto_Roster!D419</f>
        <v/>
      </c>
      <c r="E419" s="26" t="str">
        <f>Auto_Roster!E419</f>
        <v/>
      </c>
      <c r="F419" s="26" t="str">
        <f>Auto_Roster!G419</f>
        <v/>
      </c>
      <c r="G419" s="33">
        <f>Auto_Roster!J419</f>
        <v>0</v>
      </c>
      <c r="H419" s="33">
        <f>IF(G419&gt;Settings!$B$19,G419-Settings!$B$19,0)</f>
        <v>0</v>
      </c>
      <c r="I419" s="33">
        <f t="shared" si="24"/>
        <v>0</v>
      </c>
      <c r="J419" s="33">
        <f>IF(Auto_Roster!M419="Y",G419,0)</f>
        <v>0</v>
      </c>
      <c r="K419" s="33">
        <f>IF(Auto_Roster!L419="Y",G419,0)</f>
        <v>0</v>
      </c>
      <c r="L419" s="26" t="str">
        <f>Auto_Roster!K419</f>
        <v>N</v>
      </c>
      <c r="M419" s="34">
        <f>IF(L419="Y",Settings!$B$16,0)</f>
        <v>0</v>
      </c>
      <c r="N419" s="33">
        <f t="shared" si="25"/>
        <v>0</v>
      </c>
      <c r="O419" s="34">
        <f>N419*Settings!$B$17</f>
        <v>0</v>
      </c>
      <c r="P419" s="34">
        <f>IFERROR(VLOOKUP(C419,Employees!$A$4:$E$103,5,FALSE),Settings!$B$18)</f>
        <v>100</v>
      </c>
      <c r="Q419" s="34">
        <f t="shared" si="26"/>
        <v>0</v>
      </c>
      <c r="R419" s="34">
        <f>H419*P419*Settings!$B$13</f>
        <v>0</v>
      </c>
      <c r="S419" s="34">
        <f>J419*P419*(Settings!$B$14-1)</f>
        <v>0</v>
      </c>
      <c r="T419" s="34">
        <f>K419*P419*(Settings!$B$15-1)</f>
        <v>0</v>
      </c>
      <c r="U419" s="34">
        <f t="shared" si="27"/>
        <v>0</v>
      </c>
      <c r="V419" s="26" t="str">
        <f>Auto_Roster!O419</f>
        <v>Pending</v>
      </c>
      <c r="W419" s="26" t="e">
        <f ca="1">_xludf.TEXTJOIN("; ",TRUE,Auto_Roster!N419,IF(G419&gt;Settings!$B$19,"Approval required &gt; standard hours",""),IF(AND(F419&lt;&gt;"Off",G419=0),"Missing claimed hours",""))</f>
        <v>#NAME?</v>
      </c>
      <c r="X419" s="7"/>
    </row>
    <row r="420" spans="1:24" x14ac:dyDescent="0.35">
      <c r="A420" s="31">
        <f>Auto_Roster!A420</f>
        <v>46163</v>
      </c>
      <c r="B420" s="31">
        <f>Auto_Roster!B420</f>
        <v>46160</v>
      </c>
      <c r="C420" s="26" t="str">
        <f>Auto_Roster!C420</f>
        <v/>
      </c>
      <c r="D420" s="26" t="str">
        <f>Auto_Roster!D420</f>
        <v/>
      </c>
      <c r="E420" s="26" t="str">
        <f>Auto_Roster!E420</f>
        <v/>
      </c>
      <c r="F420" s="26" t="str">
        <f>Auto_Roster!G420</f>
        <v/>
      </c>
      <c r="G420" s="33">
        <f>Auto_Roster!J420</f>
        <v>0</v>
      </c>
      <c r="H420" s="33">
        <f>IF(G420&gt;Settings!$B$19,G420-Settings!$B$19,0)</f>
        <v>0</v>
      </c>
      <c r="I420" s="33">
        <f t="shared" si="24"/>
        <v>0</v>
      </c>
      <c r="J420" s="33">
        <f>IF(Auto_Roster!M420="Y",G420,0)</f>
        <v>0</v>
      </c>
      <c r="K420" s="33">
        <f>IF(Auto_Roster!L420="Y",G420,0)</f>
        <v>0</v>
      </c>
      <c r="L420" s="26" t="str">
        <f>Auto_Roster!K420</f>
        <v>N</v>
      </c>
      <c r="M420" s="34">
        <f>IF(L420="Y",Settings!$B$16,0)</f>
        <v>0</v>
      </c>
      <c r="N420" s="33">
        <f t="shared" si="25"/>
        <v>0</v>
      </c>
      <c r="O420" s="34">
        <f>N420*Settings!$B$17</f>
        <v>0</v>
      </c>
      <c r="P420" s="34">
        <f>IFERROR(VLOOKUP(C420,Employees!$A$4:$E$103,5,FALSE),Settings!$B$18)</f>
        <v>100</v>
      </c>
      <c r="Q420" s="34">
        <f t="shared" si="26"/>
        <v>0</v>
      </c>
      <c r="R420" s="34">
        <f>H420*P420*Settings!$B$13</f>
        <v>0</v>
      </c>
      <c r="S420" s="34">
        <f>J420*P420*(Settings!$B$14-1)</f>
        <v>0</v>
      </c>
      <c r="T420" s="34">
        <f>K420*P420*(Settings!$B$15-1)</f>
        <v>0</v>
      </c>
      <c r="U420" s="34">
        <f t="shared" si="27"/>
        <v>0</v>
      </c>
      <c r="V420" s="26" t="str">
        <f>Auto_Roster!O420</f>
        <v>Pending</v>
      </c>
      <c r="W420" s="26" t="e">
        <f ca="1">_xludf.TEXTJOIN("; ",TRUE,Auto_Roster!N420,IF(G420&gt;Settings!$B$19,"Approval required &gt; standard hours",""),IF(AND(F420&lt;&gt;"Off",G420=0),"Missing claimed hours",""))</f>
        <v>#NAME?</v>
      </c>
      <c r="X420" s="7"/>
    </row>
    <row r="421" spans="1:24" x14ac:dyDescent="0.35">
      <c r="A421" s="31">
        <f>Auto_Roster!A421</f>
        <v>46163</v>
      </c>
      <c r="B421" s="31">
        <f>Auto_Roster!B421</f>
        <v>46160</v>
      </c>
      <c r="C421" s="26" t="str">
        <f>Auto_Roster!C421</f>
        <v/>
      </c>
      <c r="D421" s="26" t="str">
        <f>Auto_Roster!D421</f>
        <v/>
      </c>
      <c r="E421" s="26" t="str">
        <f>Auto_Roster!E421</f>
        <v/>
      </c>
      <c r="F421" s="26" t="str">
        <f>Auto_Roster!G421</f>
        <v/>
      </c>
      <c r="G421" s="33">
        <f>Auto_Roster!J421</f>
        <v>0</v>
      </c>
      <c r="H421" s="33">
        <f>IF(G421&gt;Settings!$B$19,G421-Settings!$B$19,0)</f>
        <v>0</v>
      </c>
      <c r="I421" s="33">
        <f t="shared" si="24"/>
        <v>0</v>
      </c>
      <c r="J421" s="33">
        <f>IF(Auto_Roster!M421="Y",G421,0)</f>
        <v>0</v>
      </c>
      <c r="K421" s="33">
        <f>IF(Auto_Roster!L421="Y",G421,0)</f>
        <v>0</v>
      </c>
      <c r="L421" s="26" t="str">
        <f>Auto_Roster!K421</f>
        <v>N</v>
      </c>
      <c r="M421" s="34">
        <f>IF(L421="Y",Settings!$B$16,0)</f>
        <v>0</v>
      </c>
      <c r="N421" s="33">
        <f t="shared" si="25"/>
        <v>0</v>
      </c>
      <c r="O421" s="34">
        <f>N421*Settings!$B$17</f>
        <v>0</v>
      </c>
      <c r="P421" s="34">
        <f>IFERROR(VLOOKUP(C421,Employees!$A$4:$E$103,5,FALSE),Settings!$B$18)</f>
        <v>100</v>
      </c>
      <c r="Q421" s="34">
        <f t="shared" si="26"/>
        <v>0</v>
      </c>
      <c r="R421" s="34">
        <f>H421*P421*Settings!$B$13</f>
        <v>0</v>
      </c>
      <c r="S421" s="34">
        <f>J421*P421*(Settings!$B$14-1)</f>
        <v>0</v>
      </c>
      <c r="T421" s="34">
        <f>K421*P421*(Settings!$B$15-1)</f>
        <v>0</v>
      </c>
      <c r="U421" s="34">
        <f t="shared" si="27"/>
        <v>0</v>
      </c>
      <c r="V421" s="26" t="str">
        <f>Auto_Roster!O421</f>
        <v>Pending</v>
      </c>
      <c r="W421" s="26" t="e">
        <f ca="1">_xludf.TEXTJOIN("; ",TRUE,Auto_Roster!N421,IF(G421&gt;Settings!$B$19,"Approval required &gt; standard hours",""),IF(AND(F421&lt;&gt;"Off",G421=0),"Missing claimed hours",""))</f>
        <v>#NAME?</v>
      </c>
      <c r="X421" s="7"/>
    </row>
    <row r="422" spans="1:24" x14ac:dyDescent="0.35">
      <c r="A422" s="31">
        <f>Auto_Roster!A422</f>
        <v>46163</v>
      </c>
      <c r="B422" s="31">
        <f>Auto_Roster!B422</f>
        <v>46160</v>
      </c>
      <c r="C422" s="26" t="str">
        <f>Auto_Roster!C422</f>
        <v/>
      </c>
      <c r="D422" s="26" t="str">
        <f>Auto_Roster!D422</f>
        <v/>
      </c>
      <c r="E422" s="26" t="str">
        <f>Auto_Roster!E422</f>
        <v/>
      </c>
      <c r="F422" s="26" t="str">
        <f>Auto_Roster!G422</f>
        <v/>
      </c>
      <c r="G422" s="33">
        <f>Auto_Roster!J422</f>
        <v>0</v>
      </c>
      <c r="H422" s="33">
        <f>IF(G422&gt;Settings!$B$19,G422-Settings!$B$19,0)</f>
        <v>0</v>
      </c>
      <c r="I422" s="33">
        <f t="shared" si="24"/>
        <v>0</v>
      </c>
      <c r="J422" s="33">
        <f>IF(Auto_Roster!M422="Y",G422,0)</f>
        <v>0</v>
      </c>
      <c r="K422" s="33">
        <f>IF(Auto_Roster!L422="Y",G422,0)</f>
        <v>0</v>
      </c>
      <c r="L422" s="26" t="str">
        <f>Auto_Roster!K422</f>
        <v>N</v>
      </c>
      <c r="M422" s="34">
        <f>IF(L422="Y",Settings!$B$16,0)</f>
        <v>0</v>
      </c>
      <c r="N422" s="33">
        <f t="shared" si="25"/>
        <v>0</v>
      </c>
      <c r="O422" s="34">
        <f>N422*Settings!$B$17</f>
        <v>0</v>
      </c>
      <c r="P422" s="34">
        <f>IFERROR(VLOOKUP(C422,Employees!$A$4:$E$103,5,FALSE),Settings!$B$18)</f>
        <v>100</v>
      </c>
      <c r="Q422" s="34">
        <f t="shared" si="26"/>
        <v>0</v>
      </c>
      <c r="R422" s="34">
        <f>H422*P422*Settings!$B$13</f>
        <v>0</v>
      </c>
      <c r="S422" s="34">
        <f>J422*P422*(Settings!$B$14-1)</f>
        <v>0</v>
      </c>
      <c r="T422" s="34">
        <f>K422*P422*(Settings!$B$15-1)</f>
        <v>0</v>
      </c>
      <c r="U422" s="34">
        <f t="shared" si="27"/>
        <v>0</v>
      </c>
      <c r="V422" s="26" t="str">
        <f>Auto_Roster!O422</f>
        <v>Pending</v>
      </c>
      <c r="W422" s="26" t="e">
        <f ca="1">_xludf.TEXTJOIN("; ",TRUE,Auto_Roster!N422,IF(G422&gt;Settings!$B$19,"Approval required &gt; standard hours",""),IF(AND(F422&lt;&gt;"Off",G422=0),"Missing claimed hours",""))</f>
        <v>#NAME?</v>
      </c>
      <c r="X422" s="7"/>
    </row>
    <row r="423" spans="1:24" x14ac:dyDescent="0.35">
      <c r="A423" s="31">
        <f>Auto_Roster!A423</f>
        <v>46163</v>
      </c>
      <c r="B423" s="31">
        <f>Auto_Roster!B423</f>
        <v>46160</v>
      </c>
      <c r="C423" s="26" t="str">
        <f>Auto_Roster!C423</f>
        <v/>
      </c>
      <c r="D423" s="26" t="str">
        <f>Auto_Roster!D423</f>
        <v/>
      </c>
      <c r="E423" s="26" t="str">
        <f>Auto_Roster!E423</f>
        <v/>
      </c>
      <c r="F423" s="26" t="str">
        <f>Auto_Roster!G423</f>
        <v/>
      </c>
      <c r="G423" s="33">
        <f>Auto_Roster!J423</f>
        <v>0</v>
      </c>
      <c r="H423" s="33">
        <f>IF(G423&gt;Settings!$B$19,G423-Settings!$B$19,0)</f>
        <v>0</v>
      </c>
      <c r="I423" s="33">
        <f t="shared" si="24"/>
        <v>0</v>
      </c>
      <c r="J423" s="33">
        <f>IF(Auto_Roster!M423="Y",G423,0)</f>
        <v>0</v>
      </c>
      <c r="K423" s="33">
        <f>IF(Auto_Roster!L423="Y",G423,0)</f>
        <v>0</v>
      </c>
      <c r="L423" s="26" t="str">
        <f>Auto_Roster!K423</f>
        <v>N</v>
      </c>
      <c r="M423" s="34">
        <f>IF(L423="Y",Settings!$B$16,0)</f>
        <v>0</v>
      </c>
      <c r="N423" s="33">
        <f t="shared" si="25"/>
        <v>0</v>
      </c>
      <c r="O423" s="34">
        <f>N423*Settings!$B$17</f>
        <v>0</v>
      </c>
      <c r="P423" s="34">
        <f>IFERROR(VLOOKUP(C423,Employees!$A$4:$E$103,5,FALSE),Settings!$B$18)</f>
        <v>100</v>
      </c>
      <c r="Q423" s="34">
        <f t="shared" si="26"/>
        <v>0</v>
      </c>
      <c r="R423" s="34">
        <f>H423*P423*Settings!$B$13</f>
        <v>0</v>
      </c>
      <c r="S423" s="34">
        <f>J423*P423*(Settings!$B$14-1)</f>
        <v>0</v>
      </c>
      <c r="T423" s="34">
        <f>K423*P423*(Settings!$B$15-1)</f>
        <v>0</v>
      </c>
      <c r="U423" s="34">
        <f t="shared" si="27"/>
        <v>0</v>
      </c>
      <c r="V423" s="26" t="str">
        <f>Auto_Roster!O423</f>
        <v>Pending</v>
      </c>
      <c r="W423" s="26" t="e">
        <f ca="1">_xludf.TEXTJOIN("; ",TRUE,Auto_Roster!N423,IF(G423&gt;Settings!$B$19,"Approval required &gt; standard hours",""),IF(AND(F423&lt;&gt;"Off",G423=0),"Missing claimed hours",""))</f>
        <v>#NAME?</v>
      </c>
      <c r="X423" s="7"/>
    </row>
    <row r="424" spans="1:24" x14ac:dyDescent="0.35">
      <c r="A424" s="31">
        <f>Auto_Roster!A424</f>
        <v>46164</v>
      </c>
      <c r="B424" s="31">
        <f>Auto_Roster!B424</f>
        <v>46160</v>
      </c>
      <c r="C424" s="26" t="str">
        <f>Auto_Roster!C424</f>
        <v>E001</v>
      </c>
      <c r="D424" s="26" t="str">
        <f>Auto_Roster!D424</f>
        <v>Musiwa Khavalani</v>
      </c>
      <c r="E424" s="26">
        <f>Auto_Roster!E424</f>
        <v>0</v>
      </c>
      <c r="F424" s="26" t="e">
        <f>Auto_Roster!G424</f>
        <v>#N/A</v>
      </c>
      <c r="G424" s="33" t="e">
        <f>Auto_Roster!J424</f>
        <v>#N/A</v>
      </c>
      <c r="H424" s="33" t="e">
        <f>IF(G424&gt;Settings!$B$19,G424-Settings!$B$19,0)</f>
        <v>#N/A</v>
      </c>
      <c r="I424" s="33" t="e">
        <f t="shared" si="24"/>
        <v>#N/A</v>
      </c>
      <c r="J424" s="33">
        <f>IF(Auto_Roster!M424="Y",G424,0)</f>
        <v>0</v>
      </c>
      <c r="K424" s="33">
        <f>IF(Auto_Roster!L424="Y",G424,0)</f>
        <v>0</v>
      </c>
      <c r="L424" s="26" t="str">
        <f>Auto_Roster!K424</f>
        <v>N</v>
      </c>
      <c r="M424" s="34">
        <f>IF(L424="Y",Settings!$B$16,0)</f>
        <v>0</v>
      </c>
      <c r="N424" s="33" t="e">
        <f t="shared" si="25"/>
        <v>#N/A</v>
      </c>
      <c r="O424" s="34" t="e">
        <f>N424*Settings!$B$17</f>
        <v>#N/A</v>
      </c>
      <c r="P424" s="34">
        <f>IFERROR(VLOOKUP(C424,Employees!$A$4:$E$103,5,FALSE),Settings!$B$18)</f>
        <v>100</v>
      </c>
      <c r="Q424" s="34" t="e">
        <f t="shared" si="26"/>
        <v>#N/A</v>
      </c>
      <c r="R424" s="34" t="e">
        <f>H424*P424*Settings!$B$13</f>
        <v>#N/A</v>
      </c>
      <c r="S424" s="34">
        <f>J424*P424*(Settings!$B$14-1)</f>
        <v>0</v>
      </c>
      <c r="T424" s="34">
        <f>K424*P424*(Settings!$B$15-1)</f>
        <v>0</v>
      </c>
      <c r="U424" s="34" t="e">
        <f t="shared" si="27"/>
        <v>#N/A</v>
      </c>
      <c r="V424" s="26" t="str">
        <f>Auto_Roster!O424</f>
        <v>Pending</v>
      </c>
      <c r="W424" s="26" t="e">
        <f ca="1">_xludf.TEXTJOIN("; ",TRUE,Auto_Roster!N424,IF(G424&gt;Settings!$B$19,"Approval required &gt; standard hours",""),IF(AND(F424&lt;&gt;"Off",G424=0),"Missing claimed hours",""))</f>
        <v>#NAME?</v>
      </c>
      <c r="X424" s="7"/>
    </row>
    <row r="425" spans="1:24" x14ac:dyDescent="0.35">
      <c r="A425" s="31">
        <f>Auto_Roster!A425</f>
        <v>46164</v>
      </c>
      <c r="B425" s="31">
        <f>Auto_Roster!B425</f>
        <v>46160</v>
      </c>
      <c r="C425" s="26" t="str">
        <f>Auto_Roster!C425</f>
        <v>E002</v>
      </c>
      <c r="D425" s="26" t="str">
        <f>Auto_Roster!D425</f>
        <v>Mpho  Nembemhia</v>
      </c>
      <c r="E425" s="26" t="str">
        <f>Auto_Roster!E425</f>
        <v>B</v>
      </c>
      <c r="F425" s="26" t="str">
        <f>Auto_Roster!G425</f>
        <v>Day</v>
      </c>
      <c r="G425" s="33">
        <f>Auto_Roster!J425</f>
        <v>8</v>
      </c>
      <c r="H425" s="33">
        <f>IF(G425&gt;Settings!$B$19,G425-Settings!$B$19,0)</f>
        <v>0</v>
      </c>
      <c r="I425" s="33">
        <f t="shared" si="24"/>
        <v>8</v>
      </c>
      <c r="J425" s="33">
        <f>IF(Auto_Roster!M425="Y",G425,0)</f>
        <v>0</v>
      </c>
      <c r="K425" s="33">
        <f>IF(Auto_Roster!L425="Y",G425,0)</f>
        <v>0</v>
      </c>
      <c r="L425" s="26" t="str">
        <f>Auto_Roster!K425</f>
        <v>N</v>
      </c>
      <c r="M425" s="34">
        <f>IF(L425="Y",Settings!$B$16,0)</f>
        <v>0</v>
      </c>
      <c r="N425" s="33">
        <f t="shared" si="25"/>
        <v>0</v>
      </c>
      <c r="O425" s="34">
        <f>N425*Settings!$B$17</f>
        <v>0</v>
      </c>
      <c r="P425" s="34">
        <f>IFERROR(VLOOKUP(C425,Employees!$A$4:$E$103,5,FALSE),Settings!$B$18)</f>
        <v>100</v>
      </c>
      <c r="Q425" s="34">
        <f t="shared" si="26"/>
        <v>800</v>
      </c>
      <c r="R425" s="34">
        <f>H425*P425*Settings!$B$13</f>
        <v>0</v>
      </c>
      <c r="S425" s="34">
        <f>J425*P425*(Settings!$B$14-1)</f>
        <v>0</v>
      </c>
      <c r="T425" s="34">
        <f>K425*P425*(Settings!$B$15-1)</f>
        <v>0</v>
      </c>
      <c r="U425" s="34">
        <f t="shared" si="27"/>
        <v>800</v>
      </c>
      <c r="V425" s="26" t="str">
        <f>Auto_Roster!O425</f>
        <v>Pending</v>
      </c>
      <c r="W425" s="26" t="e">
        <f ca="1">_xludf.TEXTJOIN("; ",TRUE,Auto_Roster!N425,IF(G425&gt;Settings!$B$19,"Approval required &gt; standard hours",""),IF(AND(F425&lt;&gt;"Off",G425=0),"Missing claimed hours",""))</f>
        <v>#NAME?</v>
      </c>
      <c r="X425" s="7"/>
    </row>
    <row r="426" spans="1:24" x14ac:dyDescent="0.35">
      <c r="A426" s="31">
        <f>Auto_Roster!A426</f>
        <v>46164</v>
      </c>
      <c r="B426" s="31">
        <f>Auto_Roster!B426</f>
        <v>46160</v>
      </c>
      <c r="C426" s="26" t="str">
        <f>Auto_Roster!C426</f>
        <v>E003</v>
      </c>
      <c r="D426" s="26" t="str">
        <f>Auto_Roster!D426</f>
        <v>Dimpho Makhafola</v>
      </c>
      <c r="E426" s="26" t="str">
        <f>Auto_Roster!E426</f>
        <v>C</v>
      </c>
      <c r="F426" s="26" t="str">
        <f>Auto_Roster!G426</f>
        <v>Off</v>
      </c>
      <c r="G426" s="33">
        <f>Auto_Roster!J426</f>
        <v>0</v>
      </c>
      <c r="H426" s="33">
        <f>IF(G426&gt;Settings!$B$19,G426-Settings!$B$19,0)</f>
        <v>0</v>
      </c>
      <c r="I426" s="33">
        <f t="shared" si="24"/>
        <v>0</v>
      </c>
      <c r="J426" s="33">
        <f>IF(Auto_Roster!M426="Y",G426,0)</f>
        <v>0</v>
      </c>
      <c r="K426" s="33">
        <f>IF(Auto_Roster!L426="Y",G426,0)</f>
        <v>0</v>
      </c>
      <c r="L426" s="26" t="str">
        <f>Auto_Roster!K426</f>
        <v>N</v>
      </c>
      <c r="M426" s="34">
        <f>IF(L426="Y",Settings!$B$16,0)</f>
        <v>0</v>
      </c>
      <c r="N426" s="33">
        <f t="shared" si="25"/>
        <v>0</v>
      </c>
      <c r="O426" s="34">
        <f>N426*Settings!$B$17</f>
        <v>0</v>
      </c>
      <c r="P426" s="34">
        <f>IFERROR(VLOOKUP(C426,Employees!$A$4:$E$103,5,FALSE),Settings!$B$18)</f>
        <v>100</v>
      </c>
      <c r="Q426" s="34">
        <f t="shared" si="26"/>
        <v>0</v>
      </c>
      <c r="R426" s="34">
        <f>H426*P426*Settings!$B$13</f>
        <v>0</v>
      </c>
      <c r="S426" s="34">
        <f>J426*P426*(Settings!$B$14-1)</f>
        <v>0</v>
      </c>
      <c r="T426" s="34">
        <f>K426*P426*(Settings!$B$15-1)</f>
        <v>0</v>
      </c>
      <c r="U426" s="34">
        <f t="shared" si="27"/>
        <v>0</v>
      </c>
      <c r="V426" s="26" t="str">
        <f>Auto_Roster!O426</f>
        <v>Pending</v>
      </c>
      <c r="W426" s="26" t="e">
        <f ca="1">_xludf.TEXTJOIN("; ",TRUE,Auto_Roster!N426,IF(G426&gt;Settings!$B$19,"Approval required &gt; standard hours",""),IF(AND(F426&lt;&gt;"Off",G426=0),"Missing claimed hours",""))</f>
        <v>#NAME?</v>
      </c>
      <c r="X426" s="7"/>
    </row>
    <row r="427" spans="1:24" x14ac:dyDescent="0.35">
      <c r="A427" s="31">
        <f>Auto_Roster!A427</f>
        <v>46164</v>
      </c>
      <c r="B427" s="31">
        <f>Auto_Roster!B427</f>
        <v>46160</v>
      </c>
      <c r="C427" s="26" t="str">
        <f>Auto_Roster!C427</f>
        <v>E004</v>
      </c>
      <c r="D427" s="26" t="str">
        <f>Auto_Roster!D427</f>
        <v>Bashii Fall</v>
      </c>
      <c r="E427" s="26" t="str">
        <f>Auto_Roster!E427</f>
        <v>D</v>
      </c>
      <c r="F427" s="26" t="str">
        <f>Auto_Roster!G427</f>
        <v>Night</v>
      </c>
      <c r="G427" s="33">
        <f>Auto_Roster!J427</f>
        <v>8</v>
      </c>
      <c r="H427" s="33">
        <f>IF(G427&gt;Settings!$B$19,G427-Settings!$B$19,0)</f>
        <v>0</v>
      </c>
      <c r="I427" s="33">
        <f t="shared" si="24"/>
        <v>8</v>
      </c>
      <c r="J427" s="33">
        <f>IF(Auto_Roster!M427="Y",G427,0)</f>
        <v>0</v>
      </c>
      <c r="K427" s="33">
        <f>IF(Auto_Roster!L427="Y",G427,0)</f>
        <v>0</v>
      </c>
      <c r="L427" s="26" t="str">
        <f>Auto_Roster!K427</f>
        <v>N</v>
      </c>
      <c r="M427" s="34">
        <f>IF(L427="Y",Settings!$B$16,0)</f>
        <v>0</v>
      </c>
      <c r="N427" s="33">
        <f t="shared" si="25"/>
        <v>8</v>
      </c>
      <c r="O427" s="34">
        <f>N427*Settings!$B$17</f>
        <v>0</v>
      </c>
      <c r="P427" s="34">
        <f>IFERROR(VLOOKUP(C427,Employees!$A$4:$E$103,5,FALSE),Settings!$B$18)</f>
        <v>100</v>
      </c>
      <c r="Q427" s="34">
        <f t="shared" si="26"/>
        <v>800</v>
      </c>
      <c r="R427" s="34">
        <f>H427*P427*Settings!$B$13</f>
        <v>0</v>
      </c>
      <c r="S427" s="34">
        <f>J427*P427*(Settings!$B$14-1)</f>
        <v>0</v>
      </c>
      <c r="T427" s="34">
        <f>K427*P427*(Settings!$B$15-1)</f>
        <v>0</v>
      </c>
      <c r="U427" s="34">
        <f t="shared" si="27"/>
        <v>800</v>
      </c>
      <c r="V427" s="26" t="str">
        <f>Auto_Roster!O427</f>
        <v>Pending</v>
      </c>
      <c r="W427" s="26" t="e">
        <f ca="1">_xludf.TEXTJOIN("; ",TRUE,Auto_Roster!N427,IF(G427&gt;Settings!$B$19,"Approval required &gt; standard hours",""),IF(AND(F427&lt;&gt;"Off",G427=0),"Missing claimed hours",""))</f>
        <v>#NAME?</v>
      </c>
      <c r="X427" s="7"/>
    </row>
    <row r="428" spans="1:24" x14ac:dyDescent="0.35">
      <c r="A428" s="31">
        <f>Auto_Roster!A428</f>
        <v>46164</v>
      </c>
      <c r="B428" s="31">
        <f>Auto_Roster!B428</f>
        <v>46160</v>
      </c>
      <c r="C428" s="26" t="str">
        <f>Auto_Roster!C428</f>
        <v>E005</v>
      </c>
      <c r="D428" s="26" t="str">
        <f>Auto_Roster!D428</f>
        <v>Lesego Aphane</v>
      </c>
      <c r="E428" s="26" t="str">
        <f>Auto_Roster!E428</f>
        <v>A</v>
      </c>
      <c r="F428" s="26" t="str">
        <f>Auto_Roster!G428</f>
        <v>Evening</v>
      </c>
      <c r="G428" s="33">
        <f>Auto_Roster!J428</f>
        <v>8</v>
      </c>
      <c r="H428" s="33">
        <f>IF(G428&gt;Settings!$B$19,G428-Settings!$B$19,0)</f>
        <v>0</v>
      </c>
      <c r="I428" s="33">
        <f t="shared" si="24"/>
        <v>8</v>
      </c>
      <c r="J428" s="33">
        <f>IF(Auto_Roster!M428="Y",G428,0)</f>
        <v>0</v>
      </c>
      <c r="K428" s="33">
        <f>IF(Auto_Roster!L428="Y",G428,0)</f>
        <v>0</v>
      </c>
      <c r="L428" s="26" t="str">
        <f>Auto_Roster!K428</f>
        <v>N</v>
      </c>
      <c r="M428" s="34">
        <f>IF(L428="Y",Settings!$B$16,0)</f>
        <v>0</v>
      </c>
      <c r="N428" s="33">
        <f t="shared" si="25"/>
        <v>0</v>
      </c>
      <c r="O428" s="34">
        <f>N428*Settings!$B$17</f>
        <v>0</v>
      </c>
      <c r="P428" s="34">
        <f>IFERROR(VLOOKUP(C428,Employees!$A$4:$E$103,5,FALSE),Settings!$B$18)</f>
        <v>100</v>
      </c>
      <c r="Q428" s="34">
        <f t="shared" si="26"/>
        <v>800</v>
      </c>
      <c r="R428" s="34">
        <f>H428*P428*Settings!$B$13</f>
        <v>0</v>
      </c>
      <c r="S428" s="34">
        <f>J428*P428*(Settings!$B$14-1)</f>
        <v>0</v>
      </c>
      <c r="T428" s="34">
        <f>K428*P428*(Settings!$B$15-1)</f>
        <v>0</v>
      </c>
      <c r="U428" s="34">
        <f t="shared" si="27"/>
        <v>800</v>
      </c>
      <c r="V428" s="26" t="str">
        <f>Auto_Roster!O428</f>
        <v>Pending</v>
      </c>
      <c r="W428" s="26" t="e">
        <f ca="1">_xludf.TEXTJOIN("; ",TRUE,Auto_Roster!N428,IF(G428&gt;Settings!$B$19,"Approval required &gt; standard hours",""),IF(AND(F428&lt;&gt;"Off",G428=0),"Missing claimed hours",""))</f>
        <v>#NAME?</v>
      </c>
      <c r="X428" s="7"/>
    </row>
    <row r="429" spans="1:24" x14ac:dyDescent="0.35">
      <c r="A429" s="31">
        <f>Auto_Roster!A429</f>
        <v>46164</v>
      </c>
      <c r="B429" s="31">
        <f>Auto_Roster!B429</f>
        <v>46160</v>
      </c>
      <c r="C429" s="26" t="str">
        <f>Auto_Roster!C429</f>
        <v>E006</v>
      </c>
      <c r="D429" s="26" t="str">
        <f>Auto_Roster!D429</f>
        <v>Nhalnahla</v>
      </c>
      <c r="E429" s="26" t="str">
        <f>Auto_Roster!E429</f>
        <v>B</v>
      </c>
      <c r="F429" s="26" t="str">
        <f>Auto_Roster!G429</f>
        <v>Day</v>
      </c>
      <c r="G429" s="33">
        <f>Auto_Roster!J429</f>
        <v>8</v>
      </c>
      <c r="H429" s="33">
        <f>IF(G429&gt;Settings!$B$19,G429-Settings!$B$19,0)</f>
        <v>0</v>
      </c>
      <c r="I429" s="33">
        <f t="shared" si="24"/>
        <v>8</v>
      </c>
      <c r="J429" s="33">
        <f>IF(Auto_Roster!M429="Y",G429,0)</f>
        <v>0</v>
      </c>
      <c r="K429" s="33">
        <f>IF(Auto_Roster!L429="Y",G429,0)</f>
        <v>0</v>
      </c>
      <c r="L429" s="26" t="str">
        <f>Auto_Roster!K429</f>
        <v>N</v>
      </c>
      <c r="M429" s="34">
        <f>IF(L429="Y",Settings!$B$16,0)</f>
        <v>0</v>
      </c>
      <c r="N429" s="33">
        <f t="shared" si="25"/>
        <v>0</v>
      </c>
      <c r="O429" s="34">
        <f>N429*Settings!$B$17</f>
        <v>0</v>
      </c>
      <c r="P429" s="34">
        <f>IFERROR(VLOOKUP(C429,Employees!$A$4:$E$103,5,FALSE),Settings!$B$18)</f>
        <v>100</v>
      </c>
      <c r="Q429" s="34">
        <f t="shared" si="26"/>
        <v>800</v>
      </c>
      <c r="R429" s="34">
        <f>H429*P429*Settings!$B$13</f>
        <v>0</v>
      </c>
      <c r="S429" s="34">
        <f>J429*P429*(Settings!$B$14-1)</f>
        <v>0</v>
      </c>
      <c r="T429" s="34">
        <f>K429*P429*(Settings!$B$15-1)</f>
        <v>0</v>
      </c>
      <c r="U429" s="34">
        <f t="shared" si="27"/>
        <v>800</v>
      </c>
      <c r="V429" s="26" t="str">
        <f>Auto_Roster!O429</f>
        <v>Pending</v>
      </c>
      <c r="W429" s="26" t="e">
        <f ca="1">_xludf.TEXTJOIN("; ",TRUE,Auto_Roster!N429,IF(G429&gt;Settings!$B$19,"Approval required &gt; standard hours",""),IF(AND(F429&lt;&gt;"Off",G429=0),"Missing claimed hours",""))</f>
        <v>#NAME?</v>
      </c>
      <c r="X429" s="7"/>
    </row>
    <row r="430" spans="1:24" x14ac:dyDescent="0.35">
      <c r="A430" s="31">
        <f>Auto_Roster!A430</f>
        <v>46164</v>
      </c>
      <c r="B430" s="31">
        <f>Auto_Roster!B430</f>
        <v>46160</v>
      </c>
      <c r="C430" s="26" t="str">
        <f>Auto_Roster!C430</f>
        <v>E007</v>
      </c>
      <c r="D430" s="26" t="str">
        <f>Auto_Roster!D430</f>
        <v>Joe</v>
      </c>
      <c r="E430" s="26" t="str">
        <f>Auto_Roster!E430</f>
        <v>C</v>
      </c>
      <c r="F430" s="26" t="str">
        <f>Auto_Roster!G430</f>
        <v>Off</v>
      </c>
      <c r="G430" s="33">
        <f>Auto_Roster!J430</f>
        <v>0</v>
      </c>
      <c r="H430" s="33">
        <f>IF(G430&gt;Settings!$B$19,G430-Settings!$B$19,0)</f>
        <v>0</v>
      </c>
      <c r="I430" s="33">
        <f t="shared" si="24"/>
        <v>0</v>
      </c>
      <c r="J430" s="33">
        <f>IF(Auto_Roster!M430="Y",G430,0)</f>
        <v>0</v>
      </c>
      <c r="K430" s="33">
        <f>IF(Auto_Roster!L430="Y",G430,0)</f>
        <v>0</v>
      </c>
      <c r="L430" s="26" t="str">
        <f>Auto_Roster!K430</f>
        <v>N</v>
      </c>
      <c r="M430" s="34">
        <f>IF(L430="Y",Settings!$B$16,0)</f>
        <v>0</v>
      </c>
      <c r="N430" s="33">
        <f t="shared" si="25"/>
        <v>0</v>
      </c>
      <c r="O430" s="34">
        <f>N430*Settings!$B$17</f>
        <v>0</v>
      </c>
      <c r="P430" s="34">
        <f>IFERROR(VLOOKUP(C430,Employees!$A$4:$E$103,5,FALSE),Settings!$B$18)</f>
        <v>100</v>
      </c>
      <c r="Q430" s="34">
        <f t="shared" si="26"/>
        <v>0</v>
      </c>
      <c r="R430" s="34">
        <f>H430*P430*Settings!$B$13</f>
        <v>0</v>
      </c>
      <c r="S430" s="34">
        <f>J430*P430*(Settings!$B$14-1)</f>
        <v>0</v>
      </c>
      <c r="T430" s="34">
        <f>K430*P430*(Settings!$B$15-1)</f>
        <v>0</v>
      </c>
      <c r="U430" s="34">
        <f t="shared" si="27"/>
        <v>0</v>
      </c>
      <c r="V430" s="26" t="str">
        <f>Auto_Roster!O430</f>
        <v>Pending</v>
      </c>
      <c r="W430" s="26" t="e">
        <f ca="1">_xludf.TEXTJOIN("; ",TRUE,Auto_Roster!N430,IF(G430&gt;Settings!$B$19,"Approval required &gt; standard hours",""),IF(AND(F430&lt;&gt;"Off",G430=0),"Missing claimed hours",""))</f>
        <v>#NAME?</v>
      </c>
      <c r="X430" s="7"/>
    </row>
    <row r="431" spans="1:24" x14ac:dyDescent="0.35">
      <c r="A431" s="31">
        <f>Auto_Roster!A431</f>
        <v>46164</v>
      </c>
      <c r="B431" s="31">
        <f>Auto_Roster!B431</f>
        <v>46160</v>
      </c>
      <c r="C431" s="26" t="str">
        <f>Auto_Roster!C431</f>
        <v>E008</v>
      </c>
      <c r="D431" s="26" t="str">
        <f>Auto_Roster!D431</f>
        <v>Tim</v>
      </c>
      <c r="E431" s="26" t="str">
        <f>Auto_Roster!E431</f>
        <v>D</v>
      </c>
      <c r="F431" s="26" t="str">
        <f>Auto_Roster!G431</f>
        <v>Night</v>
      </c>
      <c r="G431" s="33">
        <f>Auto_Roster!J431</f>
        <v>8</v>
      </c>
      <c r="H431" s="33">
        <f>IF(G431&gt;Settings!$B$19,G431-Settings!$B$19,0)</f>
        <v>0</v>
      </c>
      <c r="I431" s="33">
        <f t="shared" si="24"/>
        <v>8</v>
      </c>
      <c r="J431" s="33">
        <f>IF(Auto_Roster!M431="Y",G431,0)</f>
        <v>0</v>
      </c>
      <c r="K431" s="33">
        <f>IF(Auto_Roster!L431="Y",G431,0)</f>
        <v>0</v>
      </c>
      <c r="L431" s="26" t="str">
        <f>Auto_Roster!K431</f>
        <v>N</v>
      </c>
      <c r="M431" s="34">
        <f>IF(L431="Y",Settings!$B$16,0)</f>
        <v>0</v>
      </c>
      <c r="N431" s="33">
        <f t="shared" si="25"/>
        <v>8</v>
      </c>
      <c r="O431" s="34">
        <f>N431*Settings!$B$17</f>
        <v>0</v>
      </c>
      <c r="P431" s="34">
        <f>IFERROR(VLOOKUP(C431,Employees!$A$4:$E$103,5,FALSE),Settings!$B$18)</f>
        <v>100</v>
      </c>
      <c r="Q431" s="34">
        <f t="shared" si="26"/>
        <v>800</v>
      </c>
      <c r="R431" s="34">
        <f>H431*P431*Settings!$B$13</f>
        <v>0</v>
      </c>
      <c r="S431" s="34">
        <f>J431*P431*(Settings!$B$14-1)</f>
        <v>0</v>
      </c>
      <c r="T431" s="34">
        <f>K431*P431*(Settings!$B$15-1)</f>
        <v>0</v>
      </c>
      <c r="U431" s="34">
        <f t="shared" si="27"/>
        <v>800</v>
      </c>
      <c r="V431" s="26" t="str">
        <f>Auto_Roster!O431</f>
        <v>Pending</v>
      </c>
      <c r="W431" s="26" t="e">
        <f ca="1">_xludf.TEXTJOIN("; ",TRUE,Auto_Roster!N431,IF(G431&gt;Settings!$B$19,"Approval required &gt; standard hours",""),IF(AND(F431&lt;&gt;"Off",G431=0),"Missing claimed hours",""))</f>
        <v>#NAME?</v>
      </c>
      <c r="X431" s="7"/>
    </row>
    <row r="432" spans="1:24" x14ac:dyDescent="0.35">
      <c r="A432" s="31">
        <f>Auto_Roster!A432</f>
        <v>46164</v>
      </c>
      <c r="B432" s="31">
        <f>Auto_Roster!B432</f>
        <v>46160</v>
      </c>
      <c r="C432" s="26" t="str">
        <f>Auto_Roster!C432</f>
        <v>E009</v>
      </c>
      <c r="D432" s="26" t="str">
        <f>Auto_Roster!D432</f>
        <v>Frank</v>
      </c>
      <c r="E432" s="26" t="str">
        <f>Auto_Roster!E432</f>
        <v>A</v>
      </c>
      <c r="F432" s="26" t="str">
        <f>Auto_Roster!G432</f>
        <v>Evening</v>
      </c>
      <c r="G432" s="33">
        <f>Auto_Roster!J432</f>
        <v>8</v>
      </c>
      <c r="H432" s="33">
        <f>IF(G432&gt;Settings!$B$19,G432-Settings!$B$19,0)</f>
        <v>0</v>
      </c>
      <c r="I432" s="33">
        <f t="shared" si="24"/>
        <v>8</v>
      </c>
      <c r="J432" s="33">
        <f>IF(Auto_Roster!M432="Y",G432,0)</f>
        <v>0</v>
      </c>
      <c r="K432" s="33">
        <f>IF(Auto_Roster!L432="Y",G432,0)</f>
        <v>0</v>
      </c>
      <c r="L432" s="26" t="str">
        <f>Auto_Roster!K432</f>
        <v>N</v>
      </c>
      <c r="M432" s="34">
        <f>IF(L432="Y",Settings!$B$16,0)</f>
        <v>0</v>
      </c>
      <c r="N432" s="33">
        <f t="shared" si="25"/>
        <v>0</v>
      </c>
      <c r="O432" s="34">
        <f>N432*Settings!$B$17</f>
        <v>0</v>
      </c>
      <c r="P432" s="34">
        <f>IFERROR(VLOOKUP(C432,Employees!$A$4:$E$103,5,FALSE),Settings!$B$18)</f>
        <v>100</v>
      </c>
      <c r="Q432" s="34">
        <f t="shared" si="26"/>
        <v>800</v>
      </c>
      <c r="R432" s="34">
        <f>H432*P432*Settings!$B$13</f>
        <v>0</v>
      </c>
      <c r="S432" s="34">
        <f>J432*P432*(Settings!$B$14-1)</f>
        <v>0</v>
      </c>
      <c r="T432" s="34">
        <f>K432*P432*(Settings!$B$15-1)</f>
        <v>0</v>
      </c>
      <c r="U432" s="34">
        <f t="shared" si="27"/>
        <v>800</v>
      </c>
      <c r="V432" s="26" t="str">
        <f>Auto_Roster!O432</f>
        <v>Pending</v>
      </c>
      <c r="W432" s="26" t="e">
        <f ca="1">_xludf.TEXTJOIN("; ",TRUE,Auto_Roster!N432,IF(G432&gt;Settings!$B$19,"Approval required &gt; standard hours",""),IF(AND(F432&lt;&gt;"Off",G432=0),"Missing claimed hours",""))</f>
        <v>#NAME?</v>
      </c>
      <c r="X432" s="7"/>
    </row>
    <row r="433" spans="1:24" x14ac:dyDescent="0.35">
      <c r="A433" s="31">
        <f>Auto_Roster!A433</f>
        <v>46164</v>
      </c>
      <c r="B433" s="31">
        <f>Auto_Roster!B433</f>
        <v>46160</v>
      </c>
      <c r="C433" s="26" t="str">
        <f>Auto_Roster!C433</f>
        <v/>
      </c>
      <c r="D433" s="26" t="str">
        <f>Auto_Roster!D433</f>
        <v/>
      </c>
      <c r="E433" s="26" t="str">
        <f>Auto_Roster!E433</f>
        <v/>
      </c>
      <c r="F433" s="26" t="str">
        <f>Auto_Roster!G433</f>
        <v/>
      </c>
      <c r="G433" s="33">
        <f>Auto_Roster!J433</f>
        <v>0</v>
      </c>
      <c r="H433" s="33">
        <f>IF(G433&gt;Settings!$B$19,G433-Settings!$B$19,0)</f>
        <v>0</v>
      </c>
      <c r="I433" s="33">
        <f t="shared" si="24"/>
        <v>0</v>
      </c>
      <c r="J433" s="33">
        <f>IF(Auto_Roster!M433="Y",G433,0)</f>
        <v>0</v>
      </c>
      <c r="K433" s="33">
        <f>IF(Auto_Roster!L433="Y",G433,0)</f>
        <v>0</v>
      </c>
      <c r="L433" s="26" t="str">
        <f>Auto_Roster!K433</f>
        <v>N</v>
      </c>
      <c r="M433" s="34">
        <f>IF(L433="Y",Settings!$B$16,0)</f>
        <v>0</v>
      </c>
      <c r="N433" s="33">
        <f t="shared" si="25"/>
        <v>0</v>
      </c>
      <c r="O433" s="34">
        <f>N433*Settings!$B$17</f>
        <v>0</v>
      </c>
      <c r="P433" s="34">
        <f>IFERROR(VLOOKUP(C433,Employees!$A$4:$E$103,5,FALSE),Settings!$B$18)</f>
        <v>100</v>
      </c>
      <c r="Q433" s="34">
        <f t="shared" si="26"/>
        <v>0</v>
      </c>
      <c r="R433" s="34">
        <f>H433*P433*Settings!$B$13</f>
        <v>0</v>
      </c>
      <c r="S433" s="34">
        <f>J433*P433*(Settings!$B$14-1)</f>
        <v>0</v>
      </c>
      <c r="T433" s="34">
        <f>K433*P433*(Settings!$B$15-1)</f>
        <v>0</v>
      </c>
      <c r="U433" s="34">
        <f t="shared" si="27"/>
        <v>0</v>
      </c>
      <c r="V433" s="26" t="str">
        <f>Auto_Roster!O433</f>
        <v>Pending</v>
      </c>
      <c r="W433" s="26" t="e">
        <f ca="1">_xludf.TEXTJOIN("; ",TRUE,Auto_Roster!N433,IF(G433&gt;Settings!$B$19,"Approval required &gt; standard hours",""),IF(AND(F433&lt;&gt;"Off",G433=0),"Missing claimed hours",""))</f>
        <v>#NAME?</v>
      </c>
      <c r="X433" s="7"/>
    </row>
    <row r="434" spans="1:24" x14ac:dyDescent="0.35">
      <c r="A434" s="31">
        <f>Auto_Roster!A434</f>
        <v>46164</v>
      </c>
      <c r="B434" s="31">
        <f>Auto_Roster!B434</f>
        <v>46160</v>
      </c>
      <c r="C434" s="26" t="str">
        <f>Auto_Roster!C434</f>
        <v/>
      </c>
      <c r="D434" s="26" t="str">
        <f>Auto_Roster!D434</f>
        <v/>
      </c>
      <c r="E434" s="26" t="str">
        <f>Auto_Roster!E434</f>
        <v/>
      </c>
      <c r="F434" s="26" t="str">
        <f>Auto_Roster!G434</f>
        <v/>
      </c>
      <c r="G434" s="33">
        <f>Auto_Roster!J434</f>
        <v>0</v>
      </c>
      <c r="H434" s="33">
        <f>IF(G434&gt;Settings!$B$19,G434-Settings!$B$19,0)</f>
        <v>0</v>
      </c>
      <c r="I434" s="33">
        <f t="shared" si="24"/>
        <v>0</v>
      </c>
      <c r="J434" s="33">
        <f>IF(Auto_Roster!M434="Y",G434,0)</f>
        <v>0</v>
      </c>
      <c r="K434" s="33">
        <f>IF(Auto_Roster!L434="Y",G434,0)</f>
        <v>0</v>
      </c>
      <c r="L434" s="26" t="str">
        <f>Auto_Roster!K434</f>
        <v>N</v>
      </c>
      <c r="M434" s="34">
        <f>IF(L434="Y",Settings!$B$16,0)</f>
        <v>0</v>
      </c>
      <c r="N434" s="33">
        <f t="shared" si="25"/>
        <v>0</v>
      </c>
      <c r="O434" s="34">
        <f>N434*Settings!$B$17</f>
        <v>0</v>
      </c>
      <c r="P434" s="34">
        <f>IFERROR(VLOOKUP(C434,Employees!$A$4:$E$103,5,FALSE),Settings!$B$18)</f>
        <v>100</v>
      </c>
      <c r="Q434" s="34">
        <f t="shared" si="26"/>
        <v>0</v>
      </c>
      <c r="R434" s="34">
        <f>H434*P434*Settings!$B$13</f>
        <v>0</v>
      </c>
      <c r="S434" s="34">
        <f>J434*P434*(Settings!$B$14-1)</f>
        <v>0</v>
      </c>
      <c r="T434" s="34">
        <f>K434*P434*(Settings!$B$15-1)</f>
        <v>0</v>
      </c>
      <c r="U434" s="34">
        <f t="shared" si="27"/>
        <v>0</v>
      </c>
      <c r="V434" s="26" t="str">
        <f>Auto_Roster!O434</f>
        <v>Pending</v>
      </c>
      <c r="W434" s="26" t="e">
        <f ca="1">_xludf.TEXTJOIN("; ",TRUE,Auto_Roster!N434,IF(G434&gt;Settings!$B$19,"Approval required &gt; standard hours",""),IF(AND(F434&lt;&gt;"Off",G434=0),"Missing claimed hours",""))</f>
        <v>#NAME?</v>
      </c>
      <c r="X434" s="7"/>
    </row>
    <row r="435" spans="1:24" x14ac:dyDescent="0.35">
      <c r="A435" s="31">
        <f>Auto_Roster!A435</f>
        <v>46164</v>
      </c>
      <c r="B435" s="31">
        <f>Auto_Roster!B435</f>
        <v>46160</v>
      </c>
      <c r="C435" s="26" t="str">
        <f>Auto_Roster!C435</f>
        <v/>
      </c>
      <c r="D435" s="26" t="str">
        <f>Auto_Roster!D435</f>
        <v/>
      </c>
      <c r="E435" s="26" t="str">
        <f>Auto_Roster!E435</f>
        <v/>
      </c>
      <c r="F435" s="26" t="str">
        <f>Auto_Roster!G435</f>
        <v/>
      </c>
      <c r="G435" s="33">
        <f>Auto_Roster!J435</f>
        <v>0</v>
      </c>
      <c r="H435" s="33">
        <f>IF(G435&gt;Settings!$B$19,G435-Settings!$B$19,0)</f>
        <v>0</v>
      </c>
      <c r="I435" s="33">
        <f t="shared" si="24"/>
        <v>0</v>
      </c>
      <c r="J435" s="33">
        <f>IF(Auto_Roster!M435="Y",G435,0)</f>
        <v>0</v>
      </c>
      <c r="K435" s="33">
        <f>IF(Auto_Roster!L435="Y",G435,0)</f>
        <v>0</v>
      </c>
      <c r="L435" s="26" t="str">
        <f>Auto_Roster!K435</f>
        <v>N</v>
      </c>
      <c r="M435" s="34">
        <f>IF(L435="Y",Settings!$B$16,0)</f>
        <v>0</v>
      </c>
      <c r="N435" s="33">
        <f t="shared" si="25"/>
        <v>0</v>
      </c>
      <c r="O435" s="34">
        <f>N435*Settings!$B$17</f>
        <v>0</v>
      </c>
      <c r="P435" s="34">
        <f>IFERROR(VLOOKUP(C435,Employees!$A$4:$E$103,5,FALSE),Settings!$B$18)</f>
        <v>100</v>
      </c>
      <c r="Q435" s="34">
        <f t="shared" si="26"/>
        <v>0</v>
      </c>
      <c r="R435" s="34">
        <f>H435*P435*Settings!$B$13</f>
        <v>0</v>
      </c>
      <c r="S435" s="34">
        <f>J435*P435*(Settings!$B$14-1)</f>
        <v>0</v>
      </c>
      <c r="T435" s="34">
        <f>K435*P435*(Settings!$B$15-1)</f>
        <v>0</v>
      </c>
      <c r="U435" s="34">
        <f t="shared" si="27"/>
        <v>0</v>
      </c>
      <c r="V435" s="26" t="str">
        <f>Auto_Roster!O435</f>
        <v>Pending</v>
      </c>
      <c r="W435" s="26" t="e">
        <f ca="1">_xludf.TEXTJOIN("; ",TRUE,Auto_Roster!N435,IF(G435&gt;Settings!$B$19,"Approval required &gt; standard hours",""),IF(AND(F435&lt;&gt;"Off",G435=0),"Missing claimed hours",""))</f>
        <v>#NAME?</v>
      </c>
      <c r="X435" s="7"/>
    </row>
    <row r="436" spans="1:24" x14ac:dyDescent="0.35">
      <c r="A436" s="31">
        <f>Auto_Roster!A436</f>
        <v>46164</v>
      </c>
      <c r="B436" s="31">
        <f>Auto_Roster!B436</f>
        <v>46160</v>
      </c>
      <c r="C436" s="26" t="str">
        <f>Auto_Roster!C436</f>
        <v/>
      </c>
      <c r="D436" s="26" t="str">
        <f>Auto_Roster!D436</f>
        <v/>
      </c>
      <c r="E436" s="26" t="str">
        <f>Auto_Roster!E436</f>
        <v/>
      </c>
      <c r="F436" s="26" t="str">
        <f>Auto_Roster!G436</f>
        <v/>
      </c>
      <c r="G436" s="33">
        <f>Auto_Roster!J436</f>
        <v>0</v>
      </c>
      <c r="H436" s="33">
        <f>IF(G436&gt;Settings!$B$19,G436-Settings!$B$19,0)</f>
        <v>0</v>
      </c>
      <c r="I436" s="33">
        <f t="shared" si="24"/>
        <v>0</v>
      </c>
      <c r="J436" s="33">
        <f>IF(Auto_Roster!M436="Y",G436,0)</f>
        <v>0</v>
      </c>
      <c r="K436" s="33">
        <f>IF(Auto_Roster!L436="Y",G436,0)</f>
        <v>0</v>
      </c>
      <c r="L436" s="26" t="str">
        <f>Auto_Roster!K436</f>
        <v>N</v>
      </c>
      <c r="M436" s="34">
        <f>IF(L436="Y",Settings!$B$16,0)</f>
        <v>0</v>
      </c>
      <c r="N436" s="33">
        <f t="shared" si="25"/>
        <v>0</v>
      </c>
      <c r="O436" s="34">
        <f>N436*Settings!$B$17</f>
        <v>0</v>
      </c>
      <c r="P436" s="34">
        <f>IFERROR(VLOOKUP(C436,Employees!$A$4:$E$103,5,FALSE),Settings!$B$18)</f>
        <v>100</v>
      </c>
      <c r="Q436" s="34">
        <f t="shared" si="26"/>
        <v>0</v>
      </c>
      <c r="R436" s="34">
        <f>H436*P436*Settings!$B$13</f>
        <v>0</v>
      </c>
      <c r="S436" s="34">
        <f>J436*P436*(Settings!$B$14-1)</f>
        <v>0</v>
      </c>
      <c r="T436" s="34">
        <f>K436*P436*(Settings!$B$15-1)</f>
        <v>0</v>
      </c>
      <c r="U436" s="34">
        <f t="shared" si="27"/>
        <v>0</v>
      </c>
      <c r="V436" s="26" t="str">
        <f>Auto_Roster!O436</f>
        <v>Pending</v>
      </c>
      <c r="W436" s="26" t="e">
        <f ca="1">_xludf.TEXTJOIN("; ",TRUE,Auto_Roster!N436,IF(G436&gt;Settings!$B$19,"Approval required &gt; standard hours",""),IF(AND(F436&lt;&gt;"Off",G436=0),"Missing claimed hours",""))</f>
        <v>#NAME?</v>
      </c>
      <c r="X436" s="7"/>
    </row>
    <row r="437" spans="1:24" x14ac:dyDescent="0.35">
      <c r="A437" s="31">
        <f>Auto_Roster!A437</f>
        <v>46164</v>
      </c>
      <c r="B437" s="31">
        <f>Auto_Roster!B437</f>
        <v>46160</v>
      </c>
      <c r="C437" s="26" t="str">
        <f>Auto_Roster!C437</f>
        <v/>
      </c>
      <c r="D437" s="26" t="str">
        <f>Auto_Roster!D437</f>
        <v/>
      </c>
      <c r="E437" s="26" t="str">
        <f>Auto_Roster!E437</f>
        <v/>
      </c>
      <c r="F437" s="26" t="str">
        <f>Auto_Roster!G437</f>
        <v/>
      </c>
      <c r="G437" s="33">
        <f>Auto_Roster!J437</f>
        <v>0</v>
      </c>
      <c r="H437" s="33">
        <f>IF(G437&gt;Settings!$B$19,G437-Settings!$B$19,0)</f>
        <v>0</v>
      </c>
      <c r="I437" s="33">
        <f t="shared" si="24"/>
        <v>0</v>
      </c>
      <c r="J437" s="33">
        <f>IF(Auto_Roster!M437="Y",G437,0)</f>
        <v>0</v>
      </c>
      <c r="K437" s="33">
        <f>IF(Auto_Roster!L437="Y",G437,0)</f>
        <v>0</v>
      </c>
      <c r="L437" s="26" t="str">
        <f>Auto_Roster!K437</f>
        <v>N</v>
      </c>
      <c r="M437" s="34">
        <f>IF(L437="Y",Settings!$B$16,0)</f>
        <v>0</v>
      </c>
      <c r="N437" s="33">
        <f t="shared" si="25"/>
        <v>0</v>
      </c>
      <c r="O437" s="34">
        <f>N437*Settings!$B$17</f>
        <v>0</v>
      </c>
      <c r="P437" s="34">
        <f>IFERROR(VLOOKUP(C437,Employees!$A$4:$E$103,5,FALSE),Settings!$B$18)</f>
        <v>100</v>
      </c>
      <c r="Q437" s="34">
        <f t="shared" si="26"/>
        <v>0</v>
      </c>
      <c r="R437" s="34">
        <f>H437*P437*Settings!$B$13</f>
        <v>0</v>
      </c>
      <c r="S437" s="34">
        <f>J437*P437*(Settings!$B$14-1)</f>
        <v>0</v>
      </c>
      <c r="T437" s="34">
        <f>K437*P437*(Settings!$B$15-1)</f>
        <v>0</v>
      </c>
      <c r="U437" s="34">
        <f t="shared" si="27"/>
        <v>0</v>
      </c>
      <c r="V437" s="26" t="str">
        <f>Auto_Roster!O437</f>
        <v>Pending</v>
      </c>
      <c r="W437" s="26" t="e">
        <f ca="1">_xludf.TEXTJOIN("; ",TRUE,Auto_Roster!N437,IF(G437&gt;Settings!$B$19,"Approval required &gt; standard hours",""),IF(AND(F437&lt;&gt;"Off",G437=0),"Missing claimed hours",""))</f>
        <v>#NAME?</v>
      </c>
      <c r="X437" s="7"/>
    </row>
    <row r="438" spans="1:24" x14ac:dyDescent="0.35">
      <c r="A438" s="31">
        <f>Auto_Roster!A438</f>
        <v>46164</v>
      </c>
      <c r="B438" s="31">
        <f>Auto_Roster!B438</f>
        <v>46160</v>
      </c>
      <c r="C438" s="26" t="str">
        <f>Auto_Roster!C438</f>
        <v/>
      </c>
      <c r="D438" s="26" t="str">
        <f>Auto_Roster!D438</f>
        <v/>
      </c>
      <c r="E438" s="26" t="str">
        <f>Auto_Roster!E438</f>
        <v/>
      </c>
      <c r="F438" s="26" t="str">
        <f>Auto_Roster!G438</f>
        <v/>
      </c>
      <c r="G438" s="33">
        <f>Auto_Roster!J438</f>
        <v>0</v>
      </c>
      <c r="H438" s="33">
        <f>IF(G438&gt;Settings!$B$19,G438-Settings!$B$19,0)</f>
        <v>0</v>
      </c>
      <c r="I438" s="33">
        <f t="shared" si="24"/>
        <v>0</v>
      </c>
      <c r="J438" s="33">
        <f>IF(Auto_Roster!M438="Y",G438,0)</f>
        <v>0</v>
      </c>
      <c r="K438" s="33">
        <f>IF(Auto_Roster!L438="Y",G438,0)</f>
        <v>0</v>
      </c>
      <c r="L438" s="26" t="str">
        <f>Auto_Roster!K438</f>
        <v>N</v>
      </c>
      <c r="M438" s="34">
        <f>IF(L438="Y",Settings!$B$16,0)</f>
        <v>0</v>
      </c>
      <c r="N438" s="33">
        <f t="shared" si="25"/>
        <v>0</v>
      </c>
      <c r="O438" s="34">
        <f>N438*Settings!$B$17</f>
        <v>0</v>
      </c>
      <c r="P438" s="34">
        <f>IFERROR(VLOOKUP(C438,Employees!$A$4:$E$103,5,FALSE),Settings!$B$18)</f>
        <v>100</v>
      </c>
      <c r="Q438" s="34">
        <f t="shared" si="26"/>
        <v>0</v>
      </c>
      <c r="R438" s="34">
        <f>H438*P438*Settings!$B$13</f>
        <v>0</v>
      </c>
      <c r="S438" s="34">
        <f>J438*P438*(Settings!$B$14-1)</f>
        <v>0</v>
      </c>
      <c r="T438" s="34">
        <f>K438*P438*(Settings!$B$15-1)</f>
        <v>0</v>
      </c>
      <c r="U438" s="34">
        <f t="shared" si="27"/>
        <v>0</v>
      </c>
      <c r="V438" s="26" t="str">
        <f>Auto_Roster!O438</f>
        <v>Pending</v>
      </c>
      <c r="W438" s="26" t="e">
        <f ca="1">_xludf.TEXTJOIN("; ",TRUE,Auto_Roster!N438,IF(G438&gt;Settings!$B$19,"Approval required &gt; standard hours",""),IF(AND(F438&lt;&gt;"Off",G438=0),"Missing claimed hours",""))</f>
        <v>#NAME?</v>
      </c>
      <c r="X438" s="7"/>
    </row>
    <row r="439" spans="1:24" x14ac:dyDescent="0.35">
      <c r="A439" s="31">
        <f>Auto_Roster!A439</f>
        <v>46164</v>
      </c>
      <c r="B439" s="31">
        <f>Auto_Roster!B439</f>
        <v>46160</v>
      </c>
      <c r="C439" s="26" t="str">
        <f>Auto_Roster!C439</f>
        <v/>
      </c>
      <c r="D439" s="26" t="str">
        <f>Auto_Roster!D439</f>
        <v/>
      </c>
      <c r="E439" s="26" t="str">
        <f>Auto_Roster!E439</f>
        <v/>
      </c>
      <c r="F439" s="26" t="str">
        <f>Auto_Roster!G439</f>
        <v/>
      </c>
      <c r="G439" s="33">
        <f>Auto_Roster!J439</f>
        <v>0</v>
      </c>
      <c r="H439" s="33">
        <f>IF(G439&gt;Settings!$B$19,G439-Settings!$B$19,0)</f>
        <v>0</v>
      </c>
      <c r="I439" s="33">
        <f t="shared" si="24"/>
        <v>0</v>
      </c>
      <c r="J439" s="33">
        <f>IF(Auto_Roster!M439="Y",G439,0)</f>
        <v>0</v>
      </c>
      <c r="K439" s="33">
        <f>IF(Auto_Roster!L439="Y",G439,0)</f>
        <v>0</v>
      </c>
      <c r="L439" s="26" t="str">
        <f>Auto_Roster!K439</f>
        <v>N</v>
      </c>
      <c r="M439" s="34">
        <f>IF(L439="Y",Settings!$B$16,0)</f>
        <v>0</v>
      </c>
      <c r="N439" s="33">
        <f t="shared" si="25"/>
        <v>0</v>
      </c>
      <c r="O439" s="34">
        <f>N439*Settings!$B$17</f>
        <v>0</v>
      </c>
      <c r="P439" s="34">
        <f>IFERROR(VLOOKUP(C439,Employees!$A$4:$E$103,5,FALSE),Settings!$B$18)</f>
        <v>100</v>
      </c>
      <c r="Q439" s="34">
        <f t="shared" si="26"/>
        <v>0</v>
      </c>
      <c r="R439" s="34">
        <f>H439*P439*Settings!$B$13</f>
        <v>0</v>
      </c>
      <c r="S439" s="34">
        <f>J439*P439*(Settings!$B$14-1)</f>
        <v>0</v>
      </c>
      <c r="T439" s="34">
        <f>K439*P439*(Settings!$B$15-1)</f>
        <v>0</v>
      </c>
      <c r="U439" s="34">
        <f t="shared" si="27"/>
        <v>0</v>
      </c>
      <c r="V439" s="26" t="str">
        <f>Auto_Roster!O439</f>
        <v>Pending</v>
      </c>
      <c r="W439" s="26" t="e">
        <f ca="1">_xludf.TEXTJOIN("; ",TRUE,Auto_Roster!N439,IF(G439&gt;Settings!$B$19,"Approval required &gt; standard hours",""),IF(AND(F439&lt;&gt;"Off",G439=0),"Missing claimed hours",""))</f>
        <v>#NAME?</v>
      </c>
      <c r="X439" s="7"/>
    </row>
    <row r="440" spans="1:24" x14ac:dyDescent="0.35">
      <c r="A440" s="31">
        <f>Auto_Roster!A440</f>
        <v>46164</v>
      </c>
      <c r="B440" s="31">
        <f>Auto_Roster!B440</f>
        <v>46160</v>
      </c>
      <c r="C440" s="26" t="str">
        <f>Auto_Roster!C440</f>
        <v/>
      </c>
      <c r="D440" s="26" t="str">
        <f>Auto_Roster!D440</f>
        <v/>
      </c>
      <c r="E440" s="26" t="str">
        <f>Auto_Roster!E440</f>
        <v/>
      </c>
      <c r="F440" s="26" t="str">
        <f>Auto_Roster!G440</f>
        <v/>
      </c>
      <c r="G440" s="33">
        <f>Auto_Roster!J440</f>
        <v>0</v>
      </c>
      <c r="H440" s="33">
        <f>IF(G440&gt;Settings!$B$19,G440-Settings!$B$19,0)</f>
        <v>0</v>
      </c>
      <c r="I440" s="33">
        <f t="shared" si="24"/>
        <v>0</v>
      </c>
      <c r="J440" s="33">
        <f>IF(Auto_Roster!M440="Y",G440,0)</f>
        <v>0</v>
      </c>
      <c r="K440" s="33">
        <f>IF(Auto_Roster!L440="Y",G440,0)</f>
        <v>0</v>
      </c>
      <c r="L440" s="26" t="str">
        <f>Auto_Roster!K440</f>
        <v>N</v>
      </c>
      <c r="M440" s="34">
        <f>IF(L440="Y",Settings!$B$16,0)</f>
        <v>0</v>
      </c>
      <c r="N440" s="33">
        <f t="shared" si="25"/>
        <v>0</v>
      </c>
      <c r="O440" s="34">
        <f>N440*Settings!$B$17</f>
        <v>0</v>
      </c>
      <c r="P440" s="34">
        <f>IFERROR(VLOOKUP(C440,Employees!$A$4:$E$103,5,FALSE),Settings!$B$18)</f>
        <v>100</v>
      </c>
      <c r="Q440" s="34">
        <f t="shared" si="26"/>
        <v>0</v>
      </c>
      <c r="R440" s="34">
        <f>H440*P440*Settings!$B$13</f>
        <v>0</v>
      </c>
      <c r="S440" s="34">
        <f>J440*P440*(Settings!$B$14-1)</f>
        <v>0</v>
      </c>
      <c r="T440" s="34">
        <f>K440*P440*(Settings!$B$15-1)</f>
        <v>0</v>
      </c>
      <c r="U440" s="34">
        <f t="shared" si="27"/>
        <v>0</v>
      </c>
      <c r="V440" s="26" t="str">
        <f>Auto_Roster!O440</f>
        <v>Pending</v>
      </c>
      <c r="W440" s="26" t="e">
        <f ca="1">_xludf.TEXTJOIN("; ",TRUE,Auto_Roster!N440,IF(G440&gt;Settings!$B$19,"Approval required &gt; standard hours",""),IF(AND(F440&lt;&gt;"Off",G440=0),"Missing claimed hours",""))</f>
        <v>#NAME?</v>
      </c>
      <c r="X440" s="7"/>
    </row>
    <row r="441" spans="1:24" x14ac:dyDescent="0.35">
      <c r="A441" s="31">
        <f>Auto_Roster!A441</f>
        <v>46164</v>
      </c>
      <c r="B441" s="31">
        <f>Auto_Roster!B441</f>
        <v>46160</v>
      </c>
      <c r="C441" s="26" t="str">
        <f>Auto_Roster!C441</f>
        <v/>
      </c>
      <c r="D441" s="26" t="str">
        <f>Auto_Roster!D441</f>
        <v/>
      </c>
      <c r="E441" s="26" t="str">
        <f>Auto_Roster!E441</f>
        <v/>
      </c>
      <c r="F441" s="26" t="str">
        <f>Auto_Roster!G441</f>
        <v/>
      </c>
      <c r="G441" s="33">
        <f>Auto_Roster!J441</f>
        <v>0</v>
      </c>
      <c r="H441" s="33">
        <f>IF(G441&gt;Settings!$B$19,G441-Settings!$B$19,0)</f>
        <v>0</v>
      </c>
      <c r="I441" s="33">
        <f t="shared" si="24"/>
        <v>0</v>
      </c>
      <c r="J441" s="33">
        <f>IF(Auto_Roster!M441="Y",G441,0)</f>
        <v>0</v>
      </c>
      <c r="K441" s="33">
        <f>IF(Auto_Roster!L441="Y",G441,0)</f>
        <v>0</v>
      </c>
      <c r="L441" s="26" t="str">
        <f>Auto_Roster!K441</f>
        <v>N</v>
      </c>
      <c r="M441" s="34">
        <f>IF(L441="Y",Settings!$B$16,0)</f>
        <v>0</v>
      </c>
      <c r="N441" s="33">
        <f t="shared" si="25"/>
        <v>0</v>
      </c>
      <c r="O441" s="34">
        <f>N441*Settings!$B$17</f>
        <v>0</v>
      </c>
      <c r="P441" s="34">
        <f>IFERROR(VLOOKUP(C441,Employees!$A$4:$E$103,5,FALSE),Settings!$B$18)</f>
        <v>100</v>
      </c>
      <c r="Q441" s="34">
        <f t="shared" si="26"/>
        <v>0</v>
      </c>
      <c r="R441" s="34">
        <f>H441*P441*Settings!$B$13</f>
        <v>0</v>
      </c>
      <c r="S441" s="34">
        <f>J441*P441*(Settings!$B$14-1)</f>
        <v>0</v>
      </c>
      <c r="T441" s="34">
        <f>K441*P441*(Settings!$B$15-1)</f>
        <v>0</v>
      </c>
      <c r="U441" s="34">
        <f t="shared" si="27"/>
        <v>0</v>
      </c>
      <c r="V441" s="26" t="str">
        <f>Auto_Roster!O441</f>
        <v>Pending</v>
      </c>
      <c r="W441" s="26" t="e">
        <f ca="1">_xludf.TEXTJOIN("; ",TRUE,Auto_Roster!N441,IF(G441&gt;Settings!$B$19,"Approval required &gt; standard hours",""),IF(AND(F441&lt;&gt;"Off",G441=0),"Missing claimed hours",""))</f>
        <v>#NAME?</v>
      </c>
      <c r="X441" s="7"/>
    </row>
    <row r="442" spans="1:24" x14ac:dyDescent="0.35">
      <c r="A442" s="31">
        <f>Auto_Roster!A442</f>
        <v>46164</v>
      </c>
      <c r="B442" s="31">
        <f>Auto_Roster!B442</f>
        <v>46160</v>
      </c>
      <c r="C442" s="26" t="str">
        <f>Auto_Roster!C442</f>
        <v/>
      </c>
      <c r="D442" s="26" t="str">
        <f>Auto_Roster!D442</f>
        <v/>
      </c>
      <c r="E442" s="26" t="str">
        <f>Auto_Roster!E442</f>
        <v/>
      </c>
      <c r="F442" s="26" t="str">
        <f>Auto_Roster!G442</f>
        <v/>
      </c>
      <c r="G442" s="33">
        <f>Auto_Roster!J442</f>
        <v>0</v>
      </c>
      <c r="H442" s="33">
        <f>IF(G442&gt;Settings!$B$19,G442-Settings!$B$19,0)</f>
        <v>0</v>
      </c>
      <c r="I442" s="33">
        <f t="shared" si="24"/>
        <v>0</v>
      </c>
      <c r="J442" s="33">
        <f>IF(Auto_Roster!M442="Y",G442,0)</f>
        <v>0</v>
      </c>
      <c r="K442" s="33">
        <f>IF(Auto_Roster!L442="Y",G442,0)</f>
        <v>0</v>
      </c>
      <c r="L442" s="26" t="str">
        <f>Auto_Roster!K442</f>
        <v>N</v>
      </c>
      <c r="M442" s="34">
        <f>IF(L442="Y",Settings!$B$16,0)</f>
        <v>0</v>
      </c>
      <c r="N442" s="33">
        <f t="shared" si="25"/>
        <v>0</v>
      </c>
      <c r="O442" s="34">
        <f>N442*Settings!$B$17</f>
        <v>0</v>
      </c>
      <c r="P442" s="34">
        <f>IFERROR(VLOOKUP(C442,Employees!$A$4:$E$103,5,FALSE),Settings!$B$18)</f>
        <v>100</v>
      </c>
      <c r="Q442" s="34">
        <f t="shared" si="26"/>
        <v>0</v>
      </c>
      <c r="R442" s="34">
        <f>H442*P442*Settings!$B$13</f>
        <v>0</v>
      </c>
      <c r="S442" s="34">
        <f>J442*P442*(Settings!$B$14-1)</f>
        <v>0</v>
      </c>
      <c r="T442" s="34">
        <f>K442*P442*(Settings!$B$15-1)</f>
        <v>0</v>
      </c>
      <c r="U442" s="34">
        <f t="shared" si="27"/>
        <v>0</v>
      </c>
      <c r="V442" s="26" t="str">
        <f>Auto_Roster!O442</f>
        <v>Pending</v>
      </c>
      <c r="W442" s="26" t="e">
        <f ca="1">_xludf.TEXTJOIN("; ",TRUE,Auto_Roster!N442,IF(G442&gt;Settings!$B$19,"Approval required &gt; standard hours",""),IF(AND(F442&lt;&gt;"Off",G442=0),"Missing claimed hours",""))</f>
        <v>#NAME?</v>
      </c>
      <c r="X442" s="7"/>
    </row>
    <row r="443" spans="1:24" x14ac:dyDescent="0.35">
      <c r="A443" s="31">
        <f>Auto_Roster!A443</f>
        <v>46164</v>
      </c>
      <c r="B443" s="31">
        <f>Auto_Roster!B443</f>
        <v>46160</v>
      </c>
      <c r="C443" s="26" t="str">
        <f>Auto_Roster!C443</f>
        <v/>
      </c>
      <c r="D443" s="26" t="str">
        <f>Auto_Roster!D443</f>
        <v/>
      </c>
      <c r="E443" s="26" t="str">
        <f>Auto_Roster!E443</f>
        <v/>
      </c>
      <c r="F443" s="26" t="str">
        <f>Auto_Roster!G443</f>
        <v/>
      </c>
      <c r="G443" s="33">
        <f>Auto_Roster!J443</f>
        <v>0</v>
      </c>
      <c r="H443" s="33">
        <f>IF(G443&gt;Settings!$B$19,G443-Settings!$B$19,0)</f>
        <v>0</v>
      </c>
      <c r="I443" s="33">
        <f t="shared" si="24"/>
        <v>0</v>
      </c>
      <c r="J443" s="33">
        <f>IF(Auto_Roster!M443="Y",G443,0)</f>
        <v>0</v>
      </c>
      <c r="K443" s="33">
        <f>IF(Auto_Roster!L443="Y",G443,0)</f>
        <v>0</v>
      </c>
      <c r="L443" s="26" t="str">
        <f>Auto_Roster!K443</f>
        <v>N</v>
      </c>
      <c r="M443" s="34">
        <f>IF(L443="Y",Settings!$B$16,0)</f>
        <v>0</v>
      </c>
      <c r="N443" s="33">
        <f t="shared" si="25"/>
        <v>0</v>
      </c>
      <c r="O443" s="34">
        <f>N443*Settings!$B$17</f>
        <v>0</v>
      </c>
      <c r="P443" s="34">
        <f>IFERROR(VLOOKUP(C443,Employees!$A$4:$E$103,5,FALSE),Settings!$B$18)</f>
        <v>100</v>
      </c>
      <c r="Q443" s="34">
        <f t="shared" si="26"/>
        <v>0</v>
      </c>
      <c r="R443" s="34">
        <f>H443*P443*Settings!$B$13</f>
        <v>0</v>
      </c>
      <c r="S443" s="34">
        <f>J443*P443*(Settings!$B$14-1)</f>
        <v>0</v>
      </c>
      <c r="T443" s="34">
        <f>K443*P443*(Settings!$B$15-1)</f>
        <v>0</v>
      </c>
      <c r="U443" s="34">
        <f t="shared" si="27"/>
        <v>0</v>
      </c>
      <c r="V443" s="26" t="str">
        <f>Auto_Roster!O443</f>
        <v>Pending</v>
      </c>
      <c r="W443" s="26" t="e">
        <f ca="1">_xludf.TEXTJOIN("; ",TRUE,Auto_Roster!N443,IF(G443&gt;Settings!$B$19,"Approval required &gt; standard hours",""),IF(AND(F443&lt;&gt;"Off",G443=0),"Missing claimed hours",""))</f>
        <v>#NAME?</v>
      </c>
      <c r="X443" s="7"/>
    </row>
    <row r="444" spans="1:24" x14ac:dyDescent="0.35">
      <c r="A444" s="31">
        <f>Auto_Roster!A444</f>
        <v>46165</v>
      </c>
      <c r="B444" s="31">
        <f>Auto_Roster!B444</f>
        <v>46160</v>
      </c>
      <c r="C444" s="26" t="str">
        <f>Auto_Roster!C444</f>
        <v>E001</v>
      </c>
      <c r="D444" s="26" t="str">
        <f>Auto_Roster!D444</f>
        <v>Musiwa Khavalani</v>
      </c>
      <c r="E444" s="26">
        <f>Auto_Roster!E444</f>
        <v>0</v>
      </c>
      <c r="F444" s="26" t="e">
        <f>Auto_Roster!G444</f>
        <v>#N/A</v>
      </c>
      <c r="G444" s="33" t="e">
        <f>Auto_Roster!J444</f>
        <v>#N/A</v>
      </c>
      <c r="H444" s="33" t="e">
        <f>IF(G444&gt;Settings!$B$19,G444-Settings!$B$19,0)</f>
        <v>#N/A</v>
      </c>
      <c r="I444" s="33" t="e">
        <f t="shared" si="24"/>
        <v>#N/A</v>
      </c>
      <c r="J444" s="33">
        <f>IF(Auto_Roster!M444="Y",G444,0)</f>
        <v>0</v>
      </c>
      <c r="K444" s="33">
        <f>IF(Auto_Roster!L444="Y",G444,0)</f>
        <v>0</v>
      </c>
      <c r="L444" s="26" t="str">
        <f>Auto_Roster!K444</f>
        <v>N</v>
      </c>
      <c r="M444" s="34">
        <f>IF(L444="Y",Settings!$B$16,0)</f>
        <v>0</v>
      </c>
      <c r="N444" s="33" t="e">
        <f t="shared" si="25"/>
        <v>#N/A</v>
      </c>
      <c r="O444" s="34" t="e">
        <f>N444*Settings!$B$17</f>
        <v>#N/A</v>
      </c>
      <c r="P444" s="34">
        <f>IFERROR(VLOOKUP(C444,Employees!$A$4:$E$103,5,FALSE),Settings!$B$18)</f>
        <v>100</v>
      </c>
      <c r="Q444" s="34" t="e">
        <f t="shared" si="26"/>
        <v>#N/A</v>
      </c>
      <c r="R444" s="34" t="e">
        <f>H444*P444*Settings!$B$13</f>
        <v>#N/A</v>
      </c>
      <c r="S444" s="34">
        <f>J444*P444*(Settings!$B$14-1)</f>
        <v>0</v>
      </c>
      <c r="T444" s="34">
        <f>K444*P444*(Settings!$B$15-1)</f>
        <v>0</v>
      </c>
      <c r="U444" s="34" t="e">
        <f t="shared" si="27"/>
        <v>#N/A</v>
      </c>
      <c r="V444" s="26" t="str">
        <f>Auto_Roster!O444</f>
        <v>Pending</v>
      </c>
      <c r="W444" s="26" t="e">
        <f ca="1">_xludf.TEXTJOIN("; ",TRUE,Auto_Roster!N444,IF(G444&gt;Settings!$B$19,"Approval required &gt; standard hours",""),IF(AND(F444&lt;&gt;"Off",G444=0),"Missing claimed hours",""))</f>
        <v>#NAME?</v>
      </c>
      <c r="X444" s="7"/>
    </row>
    <row r="445" spans="1:24" x14ac:dyDescent="0.35">
      <c r="A445" s="31">
        <f>Auto_Roster!A445</f>
        <v>46165</v>
      </c>
      <c r="B445" s="31">
        <f>Auto_Roster!B445</f>
        <v>46160</v>
      </c>
      <c r="C445" s="26" t="str">
        <f>Auto_Roster!C445</f>
        <v>E002</v>
      </c>
      <c r="D445" s="26" t="str">
        <f>Auto_Roster!D445</f>
        <v>Mpho  Nembemhia</v>
      </c>
      <c r="E445" s="26" t="str">
        <f>Auto_Roster!E445</f>
        <v>B</v>
      </c>
      <c r="F445" s="26" t="str">
        <f>Auto_Roster!G445</f>
        <v>Evening</v>
      </c>
      <c r="G445" s="33">
        <f>Auto_Roster!J445</f>
        <v>8</v>
      </c>
      <c r="H445" s="33">
        <f>IF(G445&gt;Settings!$B$19,G445-Settings!$B$19,0)</f>
        <v>0</v>
      </c>
      <c r="I445" s="33">
        <f t="shared" si="24"/>
        <v>8</v>
      </c>
      <c r="J445" s="33">
        <f>IF(Auto_Roster!M445="Y",G445,0)</f>
        <v>0</v>
      </c>
      <c r="K445" s="33">
        <f>IF(Auto_Roster!L445="Y",G445,0)</f>
        <v>0</v>
      </c>
      <c r="L445" s="26" t="str">
        <f>Auto_Roster!K445</f>
        <v>N</v>
      </c>
      <c r="M445" s="34">
        <f>IF(L445="Y",Settings!$B$16,0)</f>
        <v>0</v>
      </c>
      <c r="N445" s="33">
        <f t="shared" si="25"/>
        <v>0</v>
      </c>
      <c r="O445" s="34">
        <f>N445*Settings!$B$17</f>
        <v>0</v>
      </c>
      <c r="P445" s="34">
        <f>IFERROR(VLOOKUP(C445,Employees!$A$4:$E$103,5,FALSE),Settings!$B$18)</f>
        <v>100</v>
      </c>
      <c r="Q445" s="34">
        <f t="shared" si="26"/>
        <v>800</v>
      </c>
      <c r="R445" s="34">
        <f>H445*P445*Settings!$B$13</f>
        <v>0</v>
      </c>
      <c r="S445" s="34">
        <f>J445*P445*(Settings!$B$14-1)</f>
        <v>0</v>
      </c>
      <c r="T445" s="34">
        <f>K445*P445*(Settings!$B$15-1)</f>
        <v>0</v>
      </c>
      <c r="U445" s="34">
        <f t="shared" si="27"/>
        <v>800</v>
      </c>
      <c r="V445" s="26" t="str">
        <f>Auto_Roster!O445</f>
        <v>Pending</v>
      </c>
      <c r="W445" s="26" t="e">
        <f ca="1">_xludf.TEXTJOIN("; ",TRUE,Auto_Roster!N445,IF(G445&gt;Settings!$B$19,"Approval required &gt; standard hours",""),IF(AND(F445&lt;&gt;"Off",G445=0),"Missing claimed hours",""))</f>
        <v>#NAME?</v>
      </c>
      <c r="X445" s="7"/>
    </row>
    <row r="446" spans="1:24" x14ac:dyDescent="0.35">
      <c r="A446" s="31">
        <f>Auto_Roster!A446</f>
        <v>46165</v>
      </c>
      <c r="B446" s="31">
        <f>Auto_Roster!B446</f>
        <v>46160</v>
      </c>
      <c r="C446" s="26" t="str">
        <f>Auto_Roster!C446</f>
        <v>E003</v>
      </c>
      <c r="D446" s="26" t="str">
        <f>Auto_Roster!D446</f>
        <v>Dimpho Makhafola</v>
      </c>
      <c r="E446" s="26" t="str">
        <f>Auto_Roster!E446</f>
        <v>C</v>
      </c>
      <c r="F446" s="26" t="str">
        <f>Auto_Roster!G446</f>
        <v>Day</v>
      </c>
      <c r="G446" s="33">
        <f>Auto_Roster!J446</f>
        <v>8</v>
      </c>
      <c r="H446" s="33">
        <f>IF(G446&gt;Settings!$B$19,G446-Settings!$B$19,0)</f>
        <v>0</v>
      </c>
      <c r="I446" s="33">
        <f t="shared" si="24"/>
        <v>8</v>
      </c>
      <c r="J446" s="33">
        <f>IF(Auto_Roster!M446="Y",G446,0)</f>
        <v>0</v>
      </c>
      <c r="K446" s="33">
        <f>IF(Auto_Roster!L446="Y",G446,0)</f>
        <v>0</v>
      </c>
      <c r="L446" s="26" t="str">
        <f>Auto_Roster!K446</f>
        <v>N</v>
      </c>
      <c r="M446" s="34">
        <f>IF(L446="Y",Settings!$B$16,0)</f>
        <v>0</v>
      </c>
      <c r="N446" s="33">
        <f t="shared" si="25"/>
        <v>0</v>
      </c>
      <c r="O446" s="34">
        <f>N446*Settings!$B$17</f>
        <v>0</v>
      </c>
      <c r="P446" s="34">
        <f>IFERROR(VLOOKUP(C446,Employees!$A$4:$E$103,5,FALSE),Settings!$B$18)</f>
        <v>100</v>
      </c>
      <c r="Q446" s="34">
        <f t="shared" si="26"/>
        <v>800</v>
      </c>
      <c r="R446" s="34">
        <f>H446*P446*Settings!$B$13</f>
        <v>0</v>
      </c>
      <c r="S446" s="34">
        <f>J446*P446*(Settings!$B$14-1)</f>
        <v>0</v>
      </c>
      <c r="T446" s="34">
        <f>K446*P446*(Settings!$B$15-1)</f>
        <v>0</v>
      </c>
      <c r="U446" s="34">
        <f t="shared" si="27"/>
        <v>800</v>
      </c>
      <c r="V446" s="26" t="str">
        <f>Auto_Roster!O446</f>
        <v>Pending</v>
      </c>
      <c r="W446" s="26" t="e">
        <f ca="1">_xludf.TEXTJOIN("; ",TRUE,Auto_Roster!N446,IF(G446&gt;Settings!$B$19,"Approval required &gt; standard hours",""),IF(AND(F446&lt;&gt;"Off",G446=0),"Missing claimed hours",""))</f>
        <v>#NAME?</v>
      </c>
      <c r="X446" s="7"/>
    </row>
    <row r="447" spans="1:24" x14ac:dyDescent="0.35">
      <c r="A447" s="31">
        <f>Auto_Roster!A447</f>
        <v>46165</v>
      </c>
      <c r="B447" s="31">
        <f>Auto_Roster!B447</f>
        <v>46160</v>
      </c>
      <c r="C447" s="26" t="str">
        <f>Auto_Roster!C447</f>
        <v>E004</v>
      </c>
      <c r="D447" s="26" t="str">
        <f>Auto_Roster!D447</f>
        <v>Bashii Fall</v>
      </c>
      <c r="E447" s="26" t="str">
        <f>Auto_Roster!E447</f>
        <v>D</v>
      </c>
      <c r="F447" s="26" t="str">
        <f>Auto_Roster!G447</f>
        <v>Off</v>
      </c>
      <c r="G447" s="33">
        <f>Auto_Roster!J447</f>
        <v>0</v>
      </c>
      <c r="H447" s="33">
        <f>IF(G447&gt;Settings!$B$19,G447-Settings!$B$19,0)</f>
        <v>0</v>
      </c>
      <c r="I447" s="33">
        <f t="shared" si="24"/>
        <v>0</v>
      </c>
      <c r="J447" s="33">
        <f>IF(Auto_Roster!M447="Y",G447,0)</f>
        <v>0</v>
      </c>
      <c r="K447" s="33">
        <f>IF(Auto_Roster!L447="Y",G447,0)</f>
        <v>0</v>
      </c>
      <c r="L447" s="26" t="str">
        <f>Auto_Roster!K447</f>
        <v>N</v>
      </c>
      <c r="M447" s="34">
        <f>IF(L447="Y",Settings!$B$16,0)</f>
        <v>0</v>
      </c>
      <c r="N447" s="33">
        <f t="shared" si="25"/>
        <v>0</v>
      </c>
      <c r="O447" s="34">
        <f>N447*Settings!$B$17</f>
        <v>0</v>
      </c>
      <c r="P447" s="34">
        <f>IFERROR(VLOOKUP(C447,Employees!$A$4:$E$103,5,FALSE),Settings!$B$18)</f>
        <v>100</v>
      </c>
      <c r="Q447" s="34">
        <f t="shared" si="26"/>
        <v>0</v>
      </c>
      <c r="R447" s="34">
        <f>H447*P447*Settings!$B$13</f>
        <v>0</v>
      </c>
      <c r="S447" s="34">
        <f>J447*P447*(Settings!$B$14-1)</f>
        <v>0</v>
      </c>
      <c r="T447" s="34">
        <f>K447*P447*(Settings!$B$15-1)</f>
        <v>0</v>
      </c>
      <c r="U447" s="34">
        <f t="shared" si="27"/>
        <v>0</v>
      </c>
      <c r="V447" s="26" t="str">
        <f>Auto_Roster!O447</f>
        <v>Pending</v>
      </c>
      <c r="W447" s="26" t="e">
        <f ca="1">_xludf.TEXTJOIN("; ",TRUE,Auto_Roster!N447,IF(G447&gt;Settings!$B$19,"Approval required &gt; standard hours",""),IF(AND(F447&lt;&gt;"Off",G447=0),"Missing claimed hours",""))</f>
        <v>#NAME?</v>
      </c>
      <c r="X447" s="7"/>
    </row>
    <row r="448" spans="1:24" x14ac:dyDescent="0.35">
      <c r="A448" s="31">
        <f>Auto_Roster!A448</f>
        <v>46165</v>
      </c>
      <c r="B448" s="31">
        <f>Auto_Roster!B448</f>
        <v>46160</v>
      </c>
      <c r="C448" s="26" t="str">
        <f>Auto_Roster!C448</f>
        <v>E005</v>
      </c>
      <c r="D448" s="26" t="str">
        <f>Auto_Roster!D448</f>
        <v>Lesego Aphane</v>
      </c>
      <c r="E448" s="26" t="str">
        <f>Auto_Roster!E448</f>
        <v>A</v>
      </c>
      <c r="F448" s="26" t="str">
        <f>Auto_Roster!G448</f>
        <v>Night</v>
      </c>
      <c r="G448" s="33">
        <f>Auto_Roster!J448</f>
        <v>8</v>
      </c>
      <c r="H448" s="33">
        <f>IF(G448&gt;Settings!$B$19,G448-Settings!$B$19,0)</f>
        <v>0</v>
      </c>
      <c r="I448" s="33">
        <f t="shared" si="24"/>
        <v>8</v>
      </c>
      <c r="J448" s="33">
        <f>IF(Auto_Roster!M448="Y",G448,0)</f>
        <v>0</v>
      </c>
      <c r="K448" s="33">
        <f>IF(Auto_Roster!L448="Y",G448,0)</f>
        <v>0</v>
      </c>
      <c r="L448" s="26" t="str">
        <f>Auto_Roster!K448</f>
        <v>N</v>
      </c>
      <c r="M448" s="34">
        <f>IF(L448="Y",Settings!$B$16,0)</f>
        <v>0</v>
      </c>
      <c r="N448" s="33">
        <f t="shared" si="25"/>
        <v>8</v>
      </c>
      <c r="O448" s="34">
        <f>N448*Settings!$B$17</f>
        <v>0</v>
      </c>
      <c r="P448" s="34">
        <f>IFERROR(VLOOKUP(C448,Employees!$A$4:$E$103,5,FALSE),Settings!$B$18)</f>
        <v>100</v>
      </c>
      <c r="Q448" s="34">
        <f t="shared" si="26"/>
        <v>800</v>
      </c>
      <c r="R448" s="34">
        <f>H448*P448*Settings!$B$13</f>
        <v>0</v>
      </c>
      <c r="S448" s="34">
        <f>J448*P448*(Settings!$B$14-1)</f>
        <v>0</v>
      </c>
      <c r="T448" s="34">
        <f>K448*P448*(Settings!$B$15-1)</f>
        <v>0</v>
      </c>
      <c r="U448" s="34">
        <f t="shared" si="27"/>
        <v>800</v>
      </c>
      <c r="V448" s="26" t="str">
        <f>Auto_Roster!O448</f>
        <v>Pending</v>
      </c>
      <c r="W448" s="26" t="e">
        <f ca="1">_xludf.TEXTJOIN("; ",TRUE,Auto_Roster!N448,IF(G448&gt;Settings!$B$19,"Approval required &gt; standard hours",""),IF(AND(F448&lt;&gt;"Off",G448=0),"Missing claimed hours",""))</f>
        <v>#NAME?</v>
      </c>
      <c r="X448" s="7"/>
    </row>
    <row r="449" spans="1:24" x14ac:dyDescent="0.35">
      <c r="A449" s="31">
        <f>Auto_Roster!A449</f>
        <v>46165</v>
      </c>
      <c r="B449" s="31">
        <f>Auto_Roster!B449</f>
        <v>46160</v>
      </c>
      <c r="C449" s="26" t="str">
        <f>Auto_Roster!C449</f>
        <v>E006</v>
      </c>
      <c r="D449" s="26" t="str">
        <f>Auto_Roster!D449</f>
        <v>Nhalnahla</v>
      </c>
      <c r="E449" s="26" t="str">
        <f>Auto_Roster!E449</f>
        <v>B</v>
      </c>
      <c r="F449" s="26" t="str">
        <f>Auto_Roster!G449</f>
        <v>Evening</v>
      </c>
      <c r="G449" s="33">
        <f>Auto_Roster!J449</f>
        <v>8</v>
      </c>
      <c r="H449" s="33">
        <f>IF(G449&gt;Settings!$B$19,G449-Settings!$B$19,0)</f>
        <v>0</v>
      </c>
      <c r="I449" s="33">
        <f t="shared" si="24"/>
        <v>8</v>
      </c>
      <c r="J449" s="33">
        <f>IF(Auto_Roster!M449="Y",G449,0)</f>
        <v>0</v>
      </c>
      <c r="K449" s="33">
        <f>IF(Auto_Roster!L449="Y",G449,0)</f>
        <v>0</v>
      </c>
      <c r="L449" s="26" t="str">
        <f>Auto_Roster!K449</f>
        <v>N</v>
      </c>
      <c r="M449" s="34">
        <f>IF(L449="Y",Settings!$B$16,0)</f>
        <v>0</v>
      </c>
      <c r="N449" s="33">
        <f t="shared" si="25"/>
        <v>0</v>
      </c>
      <c r="O449" s="34">
        <f>N449*Settings!$B$17</f>
        <v>0</v>
      </c>
      <c r="P449" s="34">
        <f>IFERROR(VLOOKUP(C449,Employees!$A$4:$E$103,5,FALSE),Settings!$B$18)</f>
        <v>100</v>
      </c>
      <c r="Q449" s="34">
        <f t="shared" si="26"/>
        <v>800</v>
      </c>
      <c r="R449" s="34">
        <f>H449*P449*Settings!$B$13</f>
        <v>0</v>
      </c>
      <c r="S449" s="34">
        <f>J449*P449*(Settings!$B$14-1)</f>
        <v>0</v>
      </c>
      <c r="T449" s="34">
        <f>K449*P449*(Settings!$B$15-1)</f>
        <v>0</v>
      </c>
      <c r="U449" s="34">
        <f t="shared" si="27"/>
        <v>800</v>
      </c>
      <c r="V449" s="26" t="str">
        <f>Auto_Roster!O449</f>
        <v>Pending</v>
      </c>
      <c r="W449" s="26" t="e">
        <f ca="1">_xludf.TEXTJOIN("; ",TRUE,Auto_Roster!N449,IF(G449&gt;Settings!$B$19,"Approval required &gt; standard hours",""),IF(AND(F449&lt;&gt;"Off",G449=0),"Missing claimed hours",""))</f>
        <v>#NAME?</v>
      </c>
      <c r="X449" s="7"/>
    </row>
    <row r="450" spans="1:24" x14ac:dyDescent="0.35">
      <c r="A450" s="31">
        <f>Auto_Roster!A450</f>
        <v>46165</v>
      </c>
      <c r="B450" s="31">
        <f>Auto_Roster!B450</f>
        <v>46160</v>
      </c>
      <c r="C450" s="26" t="str">
        <f>Auto_Roster!C450</f>
        <v>E007</v>
      </c>
      <c r="D450" s="26" t="str">
        <f>Auto_Roster!D450</f>
        <v>Joe</v>
      </c>
      <c r="E450" s="26" t="str">
        <f>Auto_Roster!E450</f>
        <v>C</v>
      </c>
      <c r="F450" s="26" t="str">
        <f>Auto_Roster!G450</f>
        <v>Day</v>
      </c>
      <c r="G450" s="33">
        <f>Auto_Roster!J450</f>
        <v>8</v>
      </c>
      <c r="H450" s="33">
        <f>IF(G450&gt;Settings!$B$19,G450-Settings!$B$19,0)</f>
        <v>0</v>
      </c>
      <c r="I450" s="33">
        <f t="shared" si="24"/>
        <v>8</v>
      </c>
      <c r="J450" s="33">
        <f>IF(Auto_Roster!M450="Y",G450,0)</f>
        <v>0</v>
      </c>
      <c r="K450" s="33">
        <f>IF(Auto_Roster!L450="Y",G450,0)</f>
        <v>0</v>
      </c>
      <c r="L450" s="26" t="str">
        <f>Auto_Roster!K450</f>
        <v>N</v>
      </c>
      <c r="M450" s="34">
        <f>IF(L450="Y",Settings!$B$16,0)</f>
        <v>0</v>
      </c>
      <c r="N450" s="33">
        <f t="shared" si="25"/>
        <v>0</v>
      </c>
      <c r="O450" s="34">
        <f>N450*Settings!$B$17</f>
        <v>0</v>
      </c>
      <c r="P450" s="34">
        <f>IFERROR(VLOOKUP(C450,Employees!$A$4:$E$103,5,FALSE),Settings!$B$18)</f>
        <v>100</v>
      </c>
      <c r="Q450" s="34">
        <f t="shared" si="26"/>
        <v>800</v>
      </c>
      <c r="R450" s="34">
        <f>H450*P450*Settings!$B$13</f>
        <v>0</v>
      </c>
      <c r="S450" s="34">
        <f>J450*P450*(Settings!$B$14-1)</f>
        <v>0</v>
      </c>
      <c r="T450" s="34">
        <f>K450*P450*(Settings!$B$15-1)</f>
        <v>0</v>
      </c>
      <c r="U450" s="34">
        <f t="shared" si="27"/>
        <v>800</v>
      </c>
      <c r="V450" s="26" t="str">
        <f>Auto_Roster!O450</f>
        <v>Pending</v>
      </c>
      <c r="W450" s="26" t="e">
        <f ca="1">_xludf.TEXTJOIN("; ",TRUE,Auto_Roster!N450,IF(G450&gt;Settings!$B$19,"Approval required &gt; standard hours",""),IF(AND(F450&lt;&gt;"Off",G450=0),"Missing claimed hours",""))</f>
        <v>#NAME?</v>
      </c>
      <c r="X450" s="7"/>
    </row>
    <row r="451" spans="1:24" x14ac:dyDescent="0.35">
      <c r="A451" s="31">
        <f>Auto_Roster!A451</f>
        <v>46165</v>
      </c>
      <c r="B451" s="31">
        <f>Auto_Roster!B451</f>
        <v>46160</v>
      </c>
      <c r="C451" s="26" t="str">
        <f>Auto_Roster!C451</f>
        <v>E008</v>
      </c>
      <c r="D451" s="26" t="str">
        <f>Auto_Roster!D451</f>
        <v>Tim</v>
      </c>
      <c r="E451" s="26" t="str">
        <f>Auto_Roster!E451</f>
        <v>D</v>
      </c>
      <c r="F451" s="26" t="str">
        <f>Auto_Roster!G451</f>
        <v>Off</v>
      </c>
      <c r="G451" s="33">
        <f>Auto_Roster!J451</f>
        <v>0</v>
      </c>
      <c r="H451" s="33">
        <f>IF(G451&gt;Settings!$B$19,G451-Settings!$B$19,0)</f>
        <v>0</v>
      </c>
      <c r="I451" s="33">
        <f t="shared" si="24"/>
        <v>0</v>
      </c>
      <c r="J451" s="33">
        <f>IF(Auto_Roster!M451="Y",G451,0)</f>
        <v>0</v>
      </c>
      <c r="K451" s="33">
        <f>IF(Auto_Roster!L451="Y",G451,0)</f>
        <v>0</v>
      </c>
      <c r="L451" s="26" t="str">
        <f>Auto_Roster!K451</f>
        <v>N</v>
      </c>
      <c r="M451" s="34">
        <f>IF(L451="Y",Settings!$B$16,0)</f>
        <v>0</v>
      </c>
      <c r="N451" s="33">
        <f t="shared" si="25"/>
        <v>0</v>
      </c>
      <c r="O451" s="34">
        <f>N451*Settings!$B$17</f>
        <v>0</v>
      </c>
      <c r="P451" s="34">
        <f>IFERROR(VLOOKUP(C451,Employees!$A$4:$E$103,5,FALSE),Settings!$B$18)</f>
        <v>100</v>
      </c>
      <c r="Q451" s="34">
        <f t="shared" si="26"/>
        <v>0</v>
      </c>
      <c r="R451" s="34">
        <f>H451*P451*Settings!$B$13</f>
        <v>0</v>
      </c>
      <c r="S451" s="34">
        <f>J451*P451*(Settings!$B$14-1)</f>
        <v>0</v>
      </c>
      <c r="T451" s="34">
        <f>K451*P451*(Settings!$B$15-1)</f>
        <v>0</v>
      </c>
      <c r="U451" s="34">
        <f t="shared" si="27"/>
        <v>0</v>
      </c>
      <c r="V451" s="26" t="str">
        <f>Auto_Roster!O451</f>
        <v>Pending</v>
      </c>
      <c r="W451" s="26" t="e">
        <f ca="1">_xludf.TEXTJOIN("; ",TRUE,Auto_Roster!N451,IF(G451&gt;Settings!$B$19,"Approval required &gt; standard hours",""),IF(AND(F451&lt;&gt;"Off",G451=0),"Missing claimed hours",""))</f>
        <v>#NAME?</v>
      </c>
      <c r="X451" s="7"/>
    </row>
    <row r="452" spans="1:24" x14ac:dyDescent="0.35">
      <c r="A452" s="31">
        <f>Auto_Roster!A452</f>
        <v>46165</v>
      </c>
      <c r="B452" s="31">
        <f>Auto_Roster!B452</f>
        <v>46160</v>
      </c>
      <c r="C452" s="26" t="str">
        <f>Auto_Roster!C452</f>
        <v>E009</v>
      </c>
      <c r="D452" s="26" t="str">
        <f>Auto_Roster!D452</f>
        <v>Frank</v>
      </c>
      <c r="E452" s="26" t="str">
        <f>Auto_Roster!E452</f>
        <v>A</v>
      </c>
      <c r="F452" s="26" t="str">
        <f>Auto_Roster!G452</f>
        <v>Night</v>
      </c>
      <c r="G452" s="33">
        <f>Auto_Roster!J452</f>
        <v>8</v>
      </c>
      <c r="H452" s="33">
        <f>IF(G452&gt;Settings!$B$19,G452-Settings!$B$19,0)</f>
        <v>0</v>
      </c>
      <c r="I452" s="33">
        <f t="shared" ref="I452:I515" si="28">MAX(0,G452-H452)</f>
        <v>8</v>
      </c>
      <c r="J452" s="33">
        <f>IF(Auto_Roster!M452="Y",G452,0)</f>
        <v>0</v>
      </c>
      <c r="K452" s="33">
        <f>IF(Auto_Roster!L452="Y",G452,0)</f>
        <v>0</v>
      </c>
      <c r="L452" s="26" t="str">
        <f>Auto_Roster!K452</f>
        <v>N</v>
      </c>
      <c r="M452" s="34">
        <f>IF(L452="Y",Settings!$B$16,0)</f>
        <v>0</v>
      </c>
      <c r="N452" s="33">
        <f t="shared" ref="N452:N515" si="29">IF(F452="Night",G452,0)</f>
        <v>8</v>
      </c>
      <c r="O452" s="34">
        <f>N452*Settings!$B$17</f>
        <v>0</v>
      </c>
      <c r="P452" s="34">
        <f>IFERROR(VLOOKUP(C452,Employees!$A$4:$E$103,5,FALSE),Settings!$B$18)</f>
        <v>100</v>
      </c>
      <c r="Q452" s="34">
        <f t="shared" ref="Q452:Q515" si="30">I452*P452</f>
        <v>800</v>
      </c>
      <c r="R452" s="34">
        <f>H452*P452*Settings!$B$13</f>
        <v>0</v>
      </c>
      <c r="S452" s="34">
        <f>J452*P452*(Settings!$B$14-1)</f>
        <v>0</v>
      </c>
      <c r="T452" s="34">
        <f>K452*P452*(Settings!$B$15-1)</f>
        <v>0</v>
      </c>
      <c r="U452" s="34">
        <f t="shared" ref="U452:U515" si="31">SUM(Q452:T452)+M452+O452</f>
        <v>800</v>
      </c>
      <c r="V452" s="26" t="str">
        <f>Auto_Roster!O452</f>
        <v>Pending</v>
      </c>
      <c r="W452" s="26" t="e">
        <f ca="1">_xludf.TEXTJOIN("; ",TRUE,Auto_Roster!N452,IF(G452&gt;Settings!$B$19,"Approval required &gt; standard hours",""),IF(AND(F452&lt;&gt;"Off",G452=0),"Missing claimed hours",""))</f>
        <v>#NAME?</v>
      </c>
      <c r="X452" s="7"/>
    </row>
    <row r="453" spans="1:24" x14ac:dyDescent="0.35">
      <c r="A453" s="31">
        <f>Auto_Roster!A453</f>
        <v>46165</v>
      </c>
      <c r="B453" s="31">
        <f>Auto_Roster!B453</f>
        <v>46160</v>
      </c>
      <c r="C453" s="26" t="str">
        <f>Auto_Roster!C453</f>
        <v/>
      </c>
      <c r="D453" s="26" t="str">
        <f>Auto_Roster!D453</f>
        <v/>
      </c>
      <c r="E453" s="26" t="str">
        <f>Auto_Roster!E453</f>
        <v/>
      </c>
      <c r="F453" s="26" t="str">
        <f>Auto_Roster!G453</f>
        <v/>
      </c>
      <c r="G453" s="33">
        <f>Auto_Roster!J453</f>
        <v>0</v>
      </c>
      <c r="H453" s="33">
        <f>IF(G453&gt;Settings!$B$19,G453-Settings!$B$19,0)</f>
        <v>0</v>
      </c>
      <c r="I453" s="33">
        <f t="shared" si="28"/>
        <v>0</v>
      </c>
      <c r="J453" s="33">
        <f>IF(Auto_Roster!M453="Y",G453,0)</f>
        <v>0</v>
      </c>
      <c r="K453" s="33">
        <f>IF(Auto_Roster!L453="Y",G453,0)</f>
        <v>0</v>
      </c>
      <c r="L453" s="26" t="str">
        <f>Auto_Roster!K453</f>
        <v>N</v>
      </c>
      <c r="M453" s="34">
        <f>IF(L453="Y",Settings!$B$16,0)</f>
        <v>0</v>
      </c>
      <c r="N453" s="33">
        <f t="shared" si="29"/>
        <v>0</v>
      </c>
      <c r="O453" s="34">
        <f>N453*Settings!$B$17</f>
        <v>0</v>
      </c>
      <c r="P453" s="34">
        <f>IFERROR(VLOOKUP(C453,Employees!$A$4:$E$103,5,FALSE),Settings!$B$18)</f>
        <v>100</v>
      </c>
      <c r="Q453" s="34">
        <f t="shared" si="30"/>
        <v>0</v>
      </c>
      <c r="R453" s="34">
        <f>H453*P453*Settings!$B$13</f>
        <v>0</v>
      </c>
      <c r="S453" s="34">
        <f>J453*P453*(Settings!$B$14-1)</f>
        <v>0</v>
      </c>
      <c r="T453" s="34">
        <f>K453*P453*(Settings!$B$15-1)</f>
        <v>0</v>
      </c>
      <c r="U453" s="34">
        <f t="shared" si="31"/>
        <v>0</v>
      </c>
      <c r="V453" s="26" t="str">
        <f>Auto_Roster!O453</f>
        <v>Pending</v>
      </c>
      <c r="W453" s="26" t="e">
        <f ca="1">_xludf.TEXTJOIN("; ",TRUE,Auto_Roster!N453,IF(G453&gt;Settings!$B$19,"Approval required &gt; standard hours",""),IF(AND(F453&lt;&gt;"Off",G453=0),"Missing claimed hours",""))</f>
        <v>#NAME?</v>
      </c>
      <c r="X453" s="7"/>
    </row>
    <row r="454" spans="1:24" x14ac:dyDescent="0.35">
      <c r="A454" s="31">
        <f>Auto_Roster!A454</f>
        <v>46165</v>
      </c>
      <c r="B454" s="31">
        <f>Auto_Roster!B454</f>
        <v>46160</v>
      </c>
      <c r="C454" s="26" t="str">
        <f>Auto_Roster!C454</f>
        <v/>
      </c>
      <c r="D454" s="26" t="str">
        <f>Auto_Roster!D454</f>
        <v/>
      </c>
      <c r="E454" s="26" t="str">
        <f>Auto_Roster!E454</f>
        <v/>
      </c>
      <c r="F454" s="26" t="str">
        <f>Auto_Roster!G454</f>
        <v/>
      </c>
      <c r="G454" s="33">
        <f>Auto_Roster!J454</f>
        <v>0</v>
      </c>
      <c r="H454" s="33">
        <f>IF(G454&gt;Settings!$B$19,G454-Settings!$B$19,0)</f>
        <v>0</v>
      </c>
      <c r="I454" s="33">
        <f t="shared" si="28"/>
        <v>0</v>
      </c>
      <c r="J454" s="33">
        <f>IF(Auto_Roster!M454="Y",G454,0)</f>
        <v>0</v>
      </c>
      <c r="K454" s="33">
        <f>IF(Auto_Roster!L454="Y",G454,0)</f>
        <v>0</v>
      </c>
      <c r="L454" s="26" t="str">
        <f>Auto_Roster!K454</f>
        <v>N</v>
      </c>
      <c r="M454" s="34">
        <f>IF(L454="Y",Settings!$B$16,0)</f>
        <v>0</v>
      </c>
      <c r="N454" s="33">
        <f t="shared" si="29"/>
        <v>0</v>
      </c>
      <c r="O454" s="34">
        <f>N454*Settings!$B$17</f>
        <v>0</v>
      </c>
      <c r="P454" s="34">
        <f>IFERROR(VLOOKUP(C454,Employees!$A$4:$E$103,5,FALSE),Settings!$B$18)</f>
        <v>100</v>
      </c>
      <c r="Q454" s="34">
        <f t="shared" si="30"/>
        <v>0</v>
      </c>
      <c r="R454" s="34">
        <f>H454*P454*Settings!$B$13</f>
        <v>0</v>
      </c>
      <c r="S454" s="34">
        <f>J454*P454*(Settings!$B$14-1)</f>
        <v>0</v>
      </c>
      <c r="T454" s="34">
        <f>K454*P454*(Settings!$B$15-1)</f>
        <v>0</v>
      </c>
      <c r="U454" s="34">
        <f t="shared" si="31"/>
        <v>0</v>
      </c>
      <c r="V454" s="26" t="str">
        <f>Auto_Roster!O454</f>
        <v>Pending</v>
      </c>
      <c r="W454" s="26" t="e">
        <f ca="1">_xludf.TEXTJOIN("; ",TRUE,Auto_Roster!N454,IF(G454&gt;Settings!$B$19,"Approval required &gt; standard hours",""),IF(AND(F454&lt;&gt;"Off",G454=0),"Missing claimed hours",""))</f>
        <v>#NAME?</v>
      </c>
      <c r="X454" s="7"/>
    </row>
    <row r="455" spans="1:24" x14ac:dyDescent="0.35">
      <c r="A455" s="31">
        <f>Auto_Roster!A455</f>
        <v>46165</v>
      </c>
      <c r="B455" s="31">
        <f>Auto_Roster!B455</f>
        <v>46160</v>
      </c>
      <c r="C455" s="26" t="str">
        <f>Auto_Roster!C455</f>
        <v/>
      </c>
      <c r="D455" s="26" t="str">
        <f>Auto_Roster!D455</f>
        <v/>
      </c>
      <c r="E455" s="26" t="str">
        <f>Auto_Roster!E455</f>
        <v/>
      </c>
      <c r="F455" s="26" t="str">
        <f>Auto_Roster!G455</f>
        <v/>
      </c>
      <c r="G455" s="33">
        <f>Auto_Roster!J455</f>
        <v>0</v>
      </c>
      <c r="H455" s="33">
        <f>IF(G455&gt;Settings!$B$19,G455-Settings!$B$19,0)</f>
        <v>0</v>
      </c>
      <c r="I455" s="33">
        <f t="shared" si="28"/>
        <v>0</v>
      </c>
      <c r="J455" s="33">
        <f>IF(Auto_Roster!M455="Y",G455,0)</f>
        <v>0</v>
      </c>
      <c r="K455" s="33">
        <f>IF(Auto_Roster!L455="Y",G455,0)</f>
        <v>0</v>
      </c>
      <c r="L455" s="26" t="str">
        <f>Auto_Roster!K455</f>
        <v>N</v>
      </c>
      <c r="M455" s="34">
        <f>IF(L455="Y",Settings!$B$16,0)</f>
        <v>0</v>
      </c>
      <c r="N455" s="33">
        <f t="shared" si="29"/>
        <v>0</v>
      </c>
      <c r="O455" s="34">
        <f>N455*Settings!$B$17</f>
        <v>0</v>
      </c>
      <c r="P455" s="34">
        <f>IFERROR(VLOOKUP(C455,Employees!$A$4:$E$103,5,FALSE),Settings!$B$18)</f>
        <v>100</v>
      </c>
      <c r="Q455" s="34">
        <f t="shared" si="30"/>
        <v>0</v>
      </c>
      <c r="R455" s="34">
        <f>H455*P455*Settings!$B$13</f>
        <v>0</v>
      </c>
      <c r="S455" s="34">
        <f>J455*P455*(Settings!$B$14-1)</f>
        <v>0</v>
      </c>
      <c r="T455" s="34">
        <f>K455*P455*(Settings!$B$15-1)</f>
        <v>0</v>
      </c>
      <c r="U455" s="34">
        <f t="shared" si="31"/>
        <v>0</v>
      </c>
      <c r="V455" s="26" t="str">
        <f>Auto_Roster!O455</f>
        <v>Pending</v>
      </c>
      <c r="W455" s="26" t="e">
        <f ca="1">_xludf.TEXTJOIN("; ",TRUE,Auto_Roster!N455,IF(G455&gt;Settings!$B$19,"Approval required &gt; standard hours",""),IF(AND(F455&lt;&gt;"Off",G455=0),"Missing claimed hours",""))</f>
        <v>#NAME?</v>
      </c>
      <c r="X455" s="7"/>
    </row>
    <row r="456" spans="1:24" x14ac:dyDescent="0.35">
      <c r="A456" s="31">
        <f>Auto_Roster!A456</f>
        <v>46165</v>
      </c>
      <c r="B456" s="31">
        <f>Auto_Roster!B456</f>
        <v>46160</v>
      </c>
      <c r="C456" s="26" t="str">
        <f>Auto_Roster!C456</f>
        <v/>
      </c>
      <c r="D456" s="26" t="str">
        <f>Auto_Roster!D456</f>
        <v/>
      </c>
      <c r="E456" s="26" t="str">
        <f>Auto_Roster!E456</f>
        <v/>
      </c>
      <c r="F456" s="26" t="str">
        <f>Auto_Roster!G456</f>
        <v/>
      </c>
      <c r="G456" s="33">
        <f>Auto_Roster!J456</f>
        <v>0</v>
      </c>
      <c r="H456" s="33">
        <f>IF(G456&gt;Settings!$B$19,G456-Settings!$B$19,0)</f>
        <v>0</v>
      </c>
      <c r="I456" s="33">
        <f t="shared" si="28"/>
        <v>0</v>
      </c>
      <c r="J456" s="33">
        <f>IF(Auto_Roster!M456="Y",G456,0)</f>
        <v>0</v>
      </c>
      <c r="K456" s="33">
        <f>IF(Auto_Roster!L456="Y",G456,0)</f>
        <v>0</v>
      </c>
      <c r="L456" s="26" t="str">
        <f>Auto_Roster!K456</f>
        <v>N</v>
      </c>
      <c r="M456" s="34">
        <f>IF(L456="Y",Settings!$B$16,0)</f>
        <v>0</v>
      </c>
      <c r="N456" s="33">
        <f t="shared" si="29"/>
        <v>0</v>
      </c>
      <c r="O456" s="34">
        <f>N456*Settings!$B$17</f>
        <v>0</v>
      </c>
      <c r="P456" s="34">
        <f>IFERROR(VLOOKUP(C456,Employees!$A$4:$E$103,5,FALSE),Settings!$B$18)</f>
        <v>100</v>
      </c>
      <c r="Q456" s="34">
        <f t="shared" si="30"/>
        <v>0</v>
      </c>
      <c r="R456" s="34">
        <f>H456*P456*Settings!$B$13</f>
        <v>0</v>
      </c>
      <c r="S456" s="34">
        <f>J456*P456*(Settings!$B$14-1)</f>
        <v>0</v>
      </c>
      <c r="T456" s="34">
        <f>K456*P456*(Settings!$B$15-1)</f>
        <v>0</v>
      </c>
      <c r="U456" s="34">
        <f t="shared" si="31"/>
        <v>0</v>
      </c>
      <c r="V456" s="26" t="str">
        <f>Auto_Roster!O456</f>
        <v>Pending</v>
      </c>
      <c r="W456" s="26" t="e">
        <f ca="1">_xludf.TEXTJOIN("; ",TRUE,Auto_Roster!N456,IF(G456&gt;Settings!$B$19,"Approval required &gt; standard hours",""),IF(AND(F456&lt;&gt;"Off",G456=0),"Missing claimed hours",""))</f>
        <v>#NAME?</v>
      </c>
      <c r="X456" s="7"/>
    </row>
    <row r="457" spans="1:24" x14ac:dyDescent="0.35">
      <c r="A457" s="31">
        <f>Auto_Roster!A457</f>
        <v>46165</v>
      </c>
      <c r="B457" s="31">
        <f>Auto_Roster!B457</f>
        <v>46160</v>
      </c>
      <c r="C457" s="26" t="str">
        <f>Auto_Roster!C457</f>
        <v/>
      </c>
      <c r="D457" s="26" t="str">
        <f>Auto_Roster!D457</f>
        <v/>
      </c>
      <c r="E457" s="26" t="str">
        <f>Auto_Roster!E457</f>
        <v/>
      </c>
      <c r="F457" s="26" t="str">
        <f>Auto_Roster!G457</f>
        <v/>
      </c>
      <c r="G457" s="33">
        <f>Auto_Roster!J457</f>
        <v>0</v>
      </c>
      <c r="H457" s="33">
        <f>IF(G457&gt;Settings!$B$19,G457-Settings!$B$19,0)</f>
        <v>0</v>
      </c>
      <c r="I457" s="33">
        <f t="shared" si="28"/>
        <v>0</v>
      </c>
      <c r="J457" s="33">
        <f>IF(Auto_Roster!M457="Y",G457,0)</f>
        <v>0</v>
      </c>
      <c r="K457" s="33">
        <f>IF(Auto_Roster!L457="Y",G457,0)</f>
        <v>0</v>
      </c>
      <c r="L457" s="26" t="str">
        <f>Auto_Roster!K457</f>
        <v>N</v>
      </c>
      <c r="M457" s="34">
        <f>IF(L457="Y",Settings!$B$16,0)</f>
        <v>0</v>
      </c>
      <c r="N457" s="33">
        <f t="shared" si="29"/>
        <v>0</v>
      </c>
      <c r="O457" s="34">
        <f>N457*Settings!$B$17</f>
        <v>0</v>
      </c>
      <c r="P457" s="34">
        <f>IFERROR(VLOOKUP(C457,Employees!$A$4:$E$103,5,FALSE),Settings!$B$18)</f>
        <v>100</v>
      </c>
      <c r="Q457" s="34">
        <f t="shared" si="30"/>
        <v>0</v>
      </c>
      <c r="R457" s="34">
        <f>H457*P457*Settings!$B$13</f>
        <v>0</v>
      </c>
      <c r="S457" s="34">
        <f>J457*P457*(Settings!$B$14-1)</f>
        <v>0</v>
      </c>
      <c r="T457" s="34">
        <f>K457*P457*(Settings!$B$15-1)</f>
        <v>0</v>
      </c>
      <c r="U457" s="34">
        <f t="shared" si="31"/>
        <v>0</v>
      </c>
      <c r="V457" s="26" t="str">
        <f>Auto_Roster!O457</f>
        <v>Pending</v>
      </c>
      <c r="W457" s="26" t="e">
        <f ca="1">_xludf.TEXTJOIN("; ",TRUE,Auto_Roster!N457,IF(G457&gt;Settings!$B$19,"Approval required &gt; standard hours",""),IF(AND(F457&lt;&gt;"Off",G457=0),"Missing claimed hours",""))</f>
        <v>#NAME?</v>
      </c>
      <c r="X457" s="7"/>
    </row>
    <row r="458" spans="1:24" x14ac:dyDescent="0.35">
      <c r="A458" s="31">
        <f>Auto_Roster!A458</f>
        <v>46165</v>
      </c>
      <c r="B458" s="31">
        <f>Auto_Roster!B458</f>
        <v>46160</v>
      </c>
      <c r="C458" s="26" t="str">
        <f>Auto_Roster!C458</f>
        <v/>
      </c>
      <c r="D458" s="26" t="str">
        <f>Auto_Roster!D458</f>
        <v/>
      </c>
      <c r="E458" s="26" t="str">
        <f>Auto_Roster!E458</f>
        <v/>
      </c>
      <c r="F458" s="26" t="str">
        <f>Auto_Roster!G458</f>
        <v/>
      </c>
      <c r="G458" s="33">
        <f>Auto_Roster!J458</f>
        <v>0</v>
      </c>
      <c r="H458" s="33">
        <f>IF(G458&gt;Settings!$B$19,G458-Settings!$B$19,0)</f>
        <v>0</v>
      </c>
      <c r="I458" s="33">
        <f t="shared" si="28"/>
        <v>0</v>
      </c>
      <c r="J458" s="33">
        <f>IF(Auto_Roster!M458="Y",G458,0)</f>
        <v>0</v>
      </c>
      <c r="K458" s="33">
        <f>IF(Auto_Roster!L458="Y",G458,0)</f>
        <v>0</v>
      </c>
      <c r="L458" s="26" t="str">
        <f>Auto_Roster!K458</f>
        <v>N</v>
      </c>
      <c r="M458" s="34">
        <f>IF(L458="Y",Settings!$B$16,0)</f>
        <v>0</v>
      </c>
      <c r="N458" s="33">
        <f t="shared" si="29"/>
        <v>0</v>
      </c>
      <c r="O458" s="34">
        <f>N458*Settings!$B$17</f>
        <v>0</v>
      </c>
      <c r="P458" s="34">
        <f>IFERROR(VLOOKUP(C458,Employees!$A$4:$E$103,5,FALSE),Settings!$B$18)</f>
        <v>100</v>
      </c>
      <c r="Q458" s="34">
        <f t="shared" si="30"/>
        <v>0</v>
      </c>
      <c r="R458" s="34">
        <f>H458*P458*Settings!$B$13</f>
        <v>0</v>
      </c>
      <c r="S458" s="34">
        <f>J458*P458*(Settings!$B$14-1)</f>
        <v>0</v>
      </c>
      <c r="T458" s="34">
        <f>K458*P458*(Settings!$B$15-1)</f>
        <v>0</v>
      </c>
      <c r="U458" s="34">
        <f t="shared" si="31"/>
        <v>0</v>
      </c>
      <c r="V458" s="26" t="str">
        <f>Auto_Roster!O458</f>
        <v>Pending</v>
      </c>
      <c r="W458" s="26" t="e">
        <f ca="1">_xludf.TEXTJOIN("; ",TRUE,Auto_Roster!N458,IF(G458&gt;Settings!$B$19,"Approval required &gt; standard hours",""),IF(AND(F458&lt;&gt;"Off",G458=0),"Missing claimed hours",""))</f>
        <v>#NAME?</v>
      </c>
      <c r="X458" s="7"/>
    </row>
    <row r="459" spans="1:24" x14ac:dyDescent="0.35">
      <c r="A459" s="31">
        <f>Auto_Roster!A459</f>
        <v>46165</v>
      </c>
      <c r="B459" s="31">
        <f>Auto_Roster!B459</f>
        <v>46160</v>
      </c>
      <c r="C459" s="26" t="str">
        <f>Auto_Roster!C459</f>
        <v/>
      </c>
      <c r="D459" s="26" t="str">
        <f>Auto_Roster!D459</f>
        <v/>
      </c>
      <c r="E459" s="26" t="str">
        <f>Auto_Roster!E459</f>
        <v/>
      </c>
      <c r="F459" s="26" t="str">
        <f>Auto_Roster!G459</f>
        <v/>
      </c>
      <c r="G459" s="33">
        <f>Auto_Roster!J459</f>
        <v>0</v>
      </c>
      <c r="H459" s="33">
        <f>IF(G459&gt;Settings!$B$19,G459-Settings!$B$19,0)</f>
        <v>0</v>
      </c>
      <c r="I459" s="33">
        <f t="shared" si="28"/>
        <v>0</v>
      </c>
      <c r="J459" s="33">
        <f>IF(Auto_Roster!M459="Y",G459,0)</f>
        <v>0</v>
      </c>
      <c r="K459" s="33">
        <f>IF(Auto_Roster!L459="Y",G459,0)</f>
        <v>0</v>
      </c>
      <c r="L459" s="26" t="str">
        <f>Auto_Roster!K459</f>
        <v>N</v>
      </c>
      <c r="M459" s="34">
        <f>IF(L459="Y",Settings!$B$16,0)</f>
        <v>0</v>
      </c>
      <c r="N459" s="33">
        <f t="shared" si="29"/>
        <v>0</v>
      </c>
      <c r="O459" s="34">
        <f>N459*Settings!$B$17</f>
        <v>0</v>
      </c>
      <c r="P459" s="34">
        <f>IFERROR(VLOOKUP(C459,Employees!$A$4:$E$103,5,FALSE),Settings!$B$18)</f>
        <v>100</v>
      </c>
      <c r="Q459" s="34">
        <f t="shared" si="30"/>
        <v>0</v>
      </c>
      <c r="R459" s="34">
        <f>H459*P459*Settings!$B$13</f>
        <v>0</v>
      </c>
      <c r="S459" s="34">
        <f>J459*P459*(Settings!$B$14-1)</f>
        <v>0</v>
      </c>
      <c r="T459" s="34">
        <f>K459*P459*(Settings!$B$15-1)</f>
        <v>0</v>
      </c>
      <c r="U459" s="34">
        <f t="shared" si="31"/>
        <v>0</v>
      </c>
      <c r="V459" s="26" t="str">
        <f>Auto_Roster!O459</f>
        <v>Pending</v>
      </c>
      <c r="W459" s="26" t="e">
        <f ca="1">_xludf.TEXTJOIN("; ",TRUE,Auto_Roster!N459,IF(G459&gt;Settings!$B$19,"Approval required &gt; standard hours",""),IF(AND(F459&lt;&gt;"Off",G459=0),"Missing claimed hours",""))</f>
        <v>#NAME?</v>
      </c>
      <c r="X459" s="7"/>
    </row>
    <row r="460" spans="1:24" x14ac:dyDescent="0.35">
      <c r="A460" s="31">
        <f>Auto_Roster!A460</f>
        <v>46165</v>
      </c>
      <c r="B460" s="31">
        <f>Auto_Roster!B460</f>
        <v>46160</v>
      </c>
      <c r="C460" s="26" t="str">
        <f>Auto_Roster!C460</f>
        <v/>
      </c>
      <c r="D460" s="26" t="str">
        <f>Auto_Roster!D460</f>
        <v/>
      </c>
      <c r="E460" s="26" t="str">
        <f>Auto_Roster!E460</f>
        <v/>
      </c>
      <c r="F460" s="26" t="str">
        <f>Auto_Roster!G460</f>
        <v/>
      </c>
      <c r="G460" s="33">
        <f>Auto_Roster!J460</f>
        <v>0</v>
      </c>
      <c r="H460" s="33">
        <f>IF(G460&gt;Settings!$B$19,G460-Settings!$B$19,0)</f>
        <v>0</v>
      </c>
      <c r="I460" s="33">
        <f t="shared" si="28"/>
        <v>0</v>
      </c>
      <c r="J460" s="33">
        <f>IF(Auto_Roster!M460="Y",G460,0)</f>
        <v>0</v>
      </c>
      <c r="K460" s="33">
        <f>IF(Auto_Roster!L460="Y",G460,0)</f>
        <v>0</v>
      </c>
      <c r="L460" s="26" t="str">
        <f>Auto_Roster!K460</f>
        <v>N</v>
      </c>
      <c r="M460" s="34">
        <f>IF(L460="Y",Settings!$B$16,0)</f>
        <v>0</v>
      </c>
      <c r="N460" s="33">
        <f t="shared" si="29"/>
        <v>0</v>
      </c>
      <c r="O460" s="34">
        <f>N460*Settings!$B$17</f>
        <v>0</v>
      </c>
      <c r="P460" s="34">
        <f>IFERROR(VLOOKUP(C460,Employees!$A$4:$E$103,5,FALSE),Settings!$B$18)</f>
        <v>100</v>
      </c>
      <c r="Q460" s="34">
        <f t="shared" si="30"/>
        <v>0</v>
      </c>
      <c r="R460" s="34">
        <f>H460*P460*Settings!$B$13</f>
        <v>0</v>
      </c>
      <c r="S460" s="34">
        <f>J460*P460*(Settings!$B$14-1)</f>
        <v>0</v>
      </c>
      <c r="T460" s="34">
        <f>K460*P460*(Settings!$B$15-1)</f>
        <v>0</v>
      </c>
      <c r="U460" s="34">
        <f t="shared" si="31"/>
        <v>0</v>
      </c>
      <c r="V460" s="26" t="str">
        <f>Auto_Roster!O460</f>
        <v>Pending</v>
      </c>
      <c r="W460" s="26" t="e">
        <f ca="1">_xludf.TEXTJOIN("; ",TRUE,Auto_Roster!N460,IF(G460&gt;Settings!$B$19,"Approval required &gt; standard hours",""),IF(AND(F460&lt;&gt;"Off",G460=0),"Missing claimed hours",""))</f>
        <v>#NAME?</v>
      </c>
      <c r="X460" s="7"/>
    </row>
    <row r="461" spans="1:24" x14ac:dyDescent="0.35">
      <c r="A461" s="31">
        <f>Auto_Roster!A461</f>
        <v>46165</v>
      </c>
      <c r="B461" s="31">
        <f>Auto_Roster!B461</f>
        <v>46160</v>
      </c>
      <c r="C461" s="26" t="str">
        <f>Auto_Roster!C461</f>
        <v/>
      </c>
      <c r="D461" s="26" t="str">
        <f>Auto_Roster!D461</f>
        <v/>
      </c>
      <c r="E461" s="26" t="str">
        <f>Auto_Roster!E461</f>
        <v/>
      </c>
      <c r="F461" s="26" t="str">
        <f>Auto_Roster!G461</f>
        <v/>
      </c>
      <c r="G461" s="33">
        <f>Auto_Roster!J461</f>
        <v>0</v>
      </c>
      <c r="H461" s="33">
        <f>IF(G461&gt;Settings!$B$19,G461-Settings!$B$19,0)</f>
        <v>0</v>
      </c>
      <c r="I461" s="33">
        <f t="shared" si="28"/>
        <v>0</v>
      </c>
      <c r="J461" s="33">
        <f>IF(Auto_Roster!M461="Y",G461,0)</f>
        <v>0</v>
      </c>
      <c r="K461" s="33">
        <f>IF(Auto_Roster!L461="Y",G461,0)</f>
        <v>0</v>
      </c>
      <c r="L461" s="26" t="str">
        <f>Auto_Roster!K461</f>
        <v>N</v>
      </c>
      <c r="M461" s="34">
        <f>IF(L461="Y",Settings!$B$16,0)</f>
        <v>0</v>
      </c>
      <c r="N461" s="33">
        <f t="shared" si="29"/>
        <v>0</v>
      </c>
      <c r="O461" s="34">
        <f>N461*Settings!$B$17</f>
        <v>0</v>
      </c>
      <c r="P461" s="34">
        <f>IFERROR(VLOOKUP(C461,Employees!$A$4:$E$103,5,FALSE),Settings!$B$18)</f>
        <v>100</v>
      </c>
      <c r="Q461" s="34">
        <f t="shared" si="30"/>
        <v>0</v>
      </c>
      <c r="R461" s="34">
        <f>H461*P461*Settings!$B$13</f>
        <v>0</v>
      </c>
      <c r="S461" s="34">
        <f>J461*P461*(Settings!$B$14-1)</f>
        <v>0</v>
      </c>
      <c r="T461" s="34">
        <f>K461*P461*(Settings!$B$15-1)</f>
        <v>0</v>
      </c>
      <c r="U461" s="34">
        <f t="shared" si="31"/>
        <v>0</v>
      </c>
      <c r="V461" s="26" t="str">
        <f>Auto_Roster!O461</f>
        <v>Pending</v>
      </c>
      <c r="W461" s="26" t="e">
        <f ca="1">_xludf.TEXTJOIN("; ",TRUE,Auto_Roster!N461,IF(G461&gt;Settings!$B$19,"Approval required &gt; standard hours",""),IF(AND(F461&lt;&gt;"Off",G461=0),"Missing claimed hours",""))</f>
        <v>#NAME?</v>
      </c>
      <c r="X461" s="7"/>
    </row>
    <row r="462" spans="1:24" x14ac:dyDescent="0.35">
      <c r="A462" s="31">
        <f>Auto_Roster!A462</f>
        <v>46165</v>
      </c>
      <c r="B462" s="31">
        <f>Auto_Roster!B462</f>
        <v>46160</v>
      </c>
      <c r="C462" s="26" t="str">
        <f>Auto_Roster!C462</f>
        <v/>
      </c>
      <c r="D462" s="26" t="str">
        <f>Auto_Roster!D462</f>
        <v/>
      </c>
      <c r="E462" s="26" t="str">
        <f>Auto_Roster!E462</f>
        <v/>
      </c>
      <c r="F462" s="26" t="str">
        <f>Auto_Roster!G462</f>
        <v/>
      </c>
      <c r="G462" s="33">
        <f>Auto_Roster!J462</f>
        <v>0</v>
      </c>
      <c r="H462" s="33">
        <f>IF(G462&gt;Settings!$B$19,G462-Settings!$B$19,0)</f>
        <v>0</v>
      </c>
      <c r="I462" s="33">
        <f t="shared" si="28"/>
        <v>0</v>
      </c>
      <c r="J462" s="33">
        <f>IF(Auto_Roster!M462="Y",G462,0)</f>
        <v>0</v>
      </c>
      <c r="K462" s="33">
        <f>IF(Auto_Roster!L462="Y",G462,0)</f>
        <v>0</v>
      </c>
      <c r="L462" s="26" t="str">
        <f>Auto_Roster!K462</f>
        <v>N</v>
      </c>
      <c r="M462" s="34">
        <f>IF(L462="Y",Settings!$B$16,0)</f>
        <v>0</v>
      </c>
      <c r="N462" s="33">
        <f t="shared" si="29"/>
        <v>0</v>
      </c>
      <c r="O462" s="34">
        <f>N462*Settings!$B$17</f>
        <v>0</v>
      </c>
      <c r="P462" s="34">
        <f>IFERROR(VLOOKUP(C462,Employees!$A$4:$E$103,5,FALSE),Settings!$B$18)</f>
        <v>100</v>
      </c>
      <c r="Q462" s="34">
        <f t="shared" si="30"/>
        <v>0</v>
      </c>
      <c r="R462" s="34">
        <f>H462*P462*Settings!$B$13</f>
        <v>0</v>
      </c>
      <c r="S462" s="34">
        <f>J462*P462*(Settings!$B$14-1)</f>
        <v>0</v>
      </c>
      <c r="T462" s="34">
        <f>K462*P462*(Settings!$B$15-1)</f>
        <v>0</v>
      </c>
      <c r="U462" s="34">
        <f t="shared" si="31"/>
        <v>0</v>
      </c>
      <c r="V462" s="26" t="str">
        <f>Auto_Roster!O462</f>
        <v>Pending</v>
      </c>
      <c r="W462" s="26" t="e">
        <f ca="1">_xludf.TEXTJOIN("; ",TRUE,Auto_Roster!N462,IF(G462&gt;Settings!$B$19,"Approval required &gt; standard hours",""),IF(AND(F462&lt;&gt;"Off",G462=0),"Missing claimed hours",""))</f>
        <v>#NAME?</v>
      </c>
      <c r="X462" s="7"/>
    </row>
    <row r="463" spans="1:24" x14ac:dyDescent="0.35">
      <c r="A463" s="31">
        <f>Auto_Roster!A463</f>
        <v>46165</v>
      </c>
      <c r="B463" s="31">
        <f>Auto_Roster!B463</f>
        <v>46160</v>
      </c>
      <c r="C463" s="26" t="str">
        <f>Auto_Roster!C463</f>
        <v/>
      </c>
      <c r="D463" s="26" t="str">
        <f>Auto_Roster!D463</f>
        <v/>
      </c>
      <c r="E463" s="26" t="str">
        <f>Auto_Roster!E463</f>
        <v/>
      </c>
      <c r="F463" s="26" t="str">
        <f>Auto_Roster!G463</f>
        <v/>
      </c>
      <c r="G463" s="33">
        <f>Auto_Roster!J463</f>
        <v>0</v>
      </c>
      <c r="H463" s="33">
        <f>IF(G463&gt;Settings!$B$19,G463-Settings!$B$19,0)</f>
        <v>0</v>
      </c>
      <c r="I463" s="33">
        <f t="shared" si="28"/>
        <v>0</v>
      </c>
      <c r="J463" s="33">
        <f>IF(Auto_Roster!M463="Y",G463,0)</f>
        <v>0</v>
      </c>
      <c r="K463" s="33">
        <f>IF(Auto_Roster!L463="Y",G463,0)</f>
        <v>0</v>
      </c>
      <c r="L463" s="26" t="str">
        <f>Auto_Roster!K463</f>
        <v>N</v>
      </c>
      <c r="M463" s="34">
        <f>IF(L463="Y",Settings!$B$16,0)</f>
        <v>0</v>
      </c>
      <c r="N463" s="33">
        <f t="shared" si="29"/>
        <v>0</v>
      </c>
      <c r="O463" s="34">
        <f>N463*Settings!$B$17</f>
        <v>0</v>
      </c>
      <c r="P463" s="34">
        <f>IFERROR(VLOOKUP(C463,Employees!$A$4:$E$103,5,FALSE),Settings!$B$18)</f>
        <v>100</v>
      </c>
      <c r="Q463" s="34">
        <f t="shared" si="30"/>
        <v>0</v>
      </c>
      <c r="R463" s="34">
        <f>H463*P463*Settings!$B$13</f>
        <v>0</v>
      </c>
      <c r="S463" s="34">
        <f>J463*P463*(Settings!$B$14-1)</f>
        <v>0</v>
      </c>
      <c r="T463" s="34">
        <f>K463*P463*(Settings!$B$15-1)</f>
        <v>0</v>
      </c>
      <c r="U463" s="34">
        <f t="shared" si="31"/>
        <v>0</v>
      </c>
      <c r="V463" s="26" t="str">
        <f>Auto_Roster!O463</f>
        <v>Pending</v>
      </c>
      <c r="W463" s="26" t="e">
        <f ca="1">_xludf.TEXTJOIN("; ",TRUE,Auto_Roster!N463,IF(G463&gt;Settings!$B$19,"Approval required &gt; standard hours",""),IF(AND(F463&lt;&gt;"Off",G463=0),"Missing claimed hours",""))</f>
        <v>#NAME?</v>
      </c>
      <c r="X463" s="7"/>
    </row>
    <row r="464" spans="1:24" x14ac:dyDescent="0.35">
      <c r="A464" s="31">
        <f>Auto_Roster!A464</f>
        <v>46166</v>
      </c>
      <c r="B464" s="31">
        <f>Auto_Roster!B464</f>
        <v>46160</v>
      </c>
      <c r="C464" s="26" t="str">
        <f>Auto_Roster!C464</f>
        <v>E001</v>
      </c>
      <c r="D464" s="26" t="str">
        <f>Auto_Roster!D464</f>
        <v>Musiwa Khavalani</v>
      </c>
      <c r="E464" s="26">
        <f>Auto_Roster!E464</f>
        <v>0</v>
      </c>
      <c r="F464" s="26" t="e">
        <f>Auto_Roster!G464</f>
        <v>#N/A</v>
      </c>
      <c r="G464" s="33" t="e">
        <f>Auto_Roster!J464</f>
        <v>#N/A</v>
      </c>
      <c r="H464" s="33" t="e">
        <f>IF(G464&gt;Settings!$B$19,G464-Settings!$B$19,0)</f>
        <v>#N/A</v>
      </c>
      <c r="I464" s="33" t="e">
        <f t="shared" si="28"/>
        <v>#N/A</v>
      </c>
      <c r="J464" s="33" t="e">
        <f>IF(Auto_Roster!M464="Y",G464,0)</f>
        <v>#N/A</v>
      </c>
      <c r="K464" s="33">
        <f>IF(Auto_Roster!L464="Y",G464,0)</f>
        <v>0</v>
      </c>
      <c r="L464" s="26" t="str">
        <f>Auto_Roster!K464</f>
        <v>N</v>
      </c>
      <c r="M464" s="34">
        <f>IF(L464="Y",Settings!$B$16,0)</f>
        <v>0</v>
      </c>
      <c r="N464" s="33" t="e">
        <f t="shared" si="29"/>
        <v>#N/A</v>
      </c>
      <c r="O464" s="34" t="e">
        <f>N464*Settings!$B$17</f>
        <v>#N/A</v>
      </c>
      <c r="P464" s="34">
        <f>IFERROR(VLOOKUP(C464,Employees!$A$4:$E$103,5,FALSE),Settings!$B$18)</f>
        <v>100</v>
      </c>
      <c r="Q464" s="34" t="e">
        <f t="shared" si="30"/>
        <v>#N/A</v>
      </c>
      <c r="R464" s="34" t="e">
        <f>H464*P464*Settings!$B$13</f>
        <v>#N/A</v>
      </c>
      <c r="S464" s="34" t="e">
        <f>J464*P464*(Settings!$B$14-1)</f>
        <v>#N/A</v>
      </c>
      <c r="T464" s="34">
        <f>K464*P464*(Settings!$B$15-1)</f>
        <v>0</v>
      </c>
      <c r="U464" s="34" t="e">
        <f t="shared" si="31"/>
        <v>#N/A</v>
      </c>
      <c r="V464" s="26" t="str">
        <f>Auto_Roster!O464</f>
        <v>Pending</v>
      </c>
      <c r="W464" s="26" t="e">
        <f ca="1">_xludf.TEXTJOIN("; ",TRUE,Auto_Roster!N464,IF(G464&gt;Settings!$B$19,"Approval required &gt; standard hours",""),IF(AND(F464&lt;&gt;"Off",G464=0),"Missing claimed hours",""))</f>
        <v>#NAME?</v>
      </c>
      <c r="X464" s="7"/>
    </row>
    <row r="465" spans="1:24" x14ac:dyDescent="0.35">
      <c r="A465" s="31">
        <f>Auto_Roster!A465</f>
        <v>46166</v>
      </c>
      <c r="B465" s="31">
        <f>Auto_Roster!B465</f>
        <v>46160</v>
      </c>
      <c r="C465" s="26" t="str">
        <f>Auto_Roster!C465</f>
        <v>E002</v>
      </c>
      <c r="D465" s="26" t="str">
        <f>Auto_Roster!D465</f>
        <v>Mpho  Nembemhia</v>
      </c>
      <c r="E465" s="26" t="str">
        <f>Auto_Roster!E465</f>
        <v>B</v>
      </c>
      <c r="F465" s="26" t="str">
        <f>Auto_Roster!G465</f>
        <v>Night</v>
      </c>
      <c r="G465" s="33">
        <f>Auto_Roster!J465</f>
        <v>8</v>
      </c>
      <c r="H465" s="33">
        <f>IF(G465&gt;Settings!$B$19,G465-Settings!$B$19,0)</f>
        <v>0</v>
      </c>
      <c r="I465" s="33">
        <f t="shared" si="28"/>
        <v>8</v>
      </c>
      <c r="J465" s="33">
        <f>IF(Auto_Roster!M465="Y",G465,0)</f>
        <v>8</v>
      </c>
      <c r="K465" s="33">
        <f>IF(Auto_Roster!L465="Y",G465,0)</f>
        <v>0</v>
      </c>
      <c r="L465" s="26" t="str">
        <f>Auto_Roster!K465</f>
        <v>N</v>
      </c>
      <c r="M465" s="34">
        <f>IF(L465="Y",Settings!$B$16,0)</f>
        <v>0</v>
      </c>
      <c r="N465" s="33">
        <f t="shared" si="29"/>
        <v>8</v>
      </c>
      <c r="O465" s="34">
        <f>N465*Settings!$B$17</f>
        <v>0</v>
      </c>
      <c r="P465" s="34">
        <f>IFERROR(VLOOKUP(C465,Employees!$A$4:$E$103,5,FALSE),Settings!$B$18)</f>
        <v>100</v>
      </c>
      <c r="Q465" s="34">
        <f t="shared" si="30"/>
        <v>800</v>
      </c>
      <c r="R465" s="34">
        <f>H465*P465*Settings!$B$13</f>
        <v>0</v>
      </c>
      <c r="S465" s="34">
        <f>J465*P465*(Settings!$B$14-1)</f>
        <v>800</v>
      </c>
      <c r="T465" s="34">
        <f>K465*P465*(Settings!$B$15-1)</f>
        <v>0</v>
      </c>
      <c r="U465" s="34">
        <f t="shared" si="31"/>
        <v>1600</v>
      </c>
      <c r="V465" s="26" t="str">
        <f>Auto_Roster!O465</f>
        <v>Pending</v>
      </c>
      <c r="W465" s="26" t="e">
        <f ca="1">_xludf.TEXTJOIN("; ",TRUE,Auto_Roster!N465,IF(G465&gt;Settings!$B$19,"Approval required &gt; standard hours",""),IF(AND(F465&lt;&gt;"Off",G465=0),"Missing claimed hours",""))</f>
        <v>#NAME?</v>
      </c>
      <c r="X465" s="7"/>
    </row>
    <row r="466" spans="1:24" x14ac:dyDescent="0.35">
      <c r="A466" s="31">
        <f>Auto_Roster!A466</f>
        <v>46166</v>
      </c>
      <c r="B466" s="31">
        <f>Auto_Roster!B466</f>
        <v>46160</v>
      </c>
      <c r="C466" s="26" t="str">
        <f>Auto_Roster!C466</f>
        <v>E003</v>
      </c>
      <c r="D466" s="26" t="str">
        <f>Auto_Roster!D466</f>
        <v>Dimpho Makhafola</v>
      </c>
      <c r="E466" s="26" t="str">
        <f>Auto_Roster!E466</f>
        <v>C</v>
      </c>
      <c r="F466" s="26" t="str">
        <f>Auto_Roster!G466</f>
        <v>Evening</v>
      </c>
      <c r="G466" s="33">
        <f>Auto_Roster!J466</f>
        <v>8</v>
      </c>
      <c r="H466" s="33">
        <f>IF(G466&gt;Settings!$B$19,G466-Settings!$B$19,0)</f>
        <v>0</v>
      </c>
      <c r="I466" s="33">
        <f t="shared" si="28"/>
        <v>8</v>
      </c>
      <c r="J466" s="33">
        <f>IF(Auto_Roster!M466="Y",G466,0)</f>
        <v>8</v>
      </c>
      <c r="K466" s="33">
        <f>IF(Auto_Roster!L466="Y",G466,0)</f>
        <v>0</v>
      </c>
      <c r="L466" s="26" t="str">
        <f>Auto_Roster!K466</f>
        <v>N</v>
      </c>
      <c r="M466" s="34">
        <f>IF(L466="Y",Settings!$B$16,0)</f>
        <v>0</v>
      </c>
      <c r="N466" s="33">
        <f t="shared" si="29"/>
        <v>0</v>
      </c>
      <c r="O466" s="34">
        <f>N466*Settings!$B$17</f>
        <v>0</v>
      </c>
      <c r="P466" s="34">
        <f>IFERROR(VLOOKUP(C466,Employees!$A$4:$E$103,5,FALSE),Settings!$B$18)</f>
        <v>100</v>
      </c>
      <c r="Q466" s="34">
        <f t="shared" si="30"/>
        <v>800</v>
      </c>
      <c r="R466" s="34">
        <f>H466*P466*Settings!$B$13</f>
        <v>0</v>
      </c>
      <c r="S466" s="34">
        <f>J466*P466*(Settings!$B$14-1)</f>
        <v>800</v>
      </c>
      <c r="T466" s="34">
        <f>K466*P466*(Settings!$B$15-1)</f>
        <v>0</v>
      </c>
      <c r="U466" s="34">
        <f t="shared" si="31"/>
        <v>1600</v>
      </c>
      <c r="V466" s="26" t="str">
        <f>Auto_Roster!O466</f>
        <v>Pending</v>
      </c>
      <c r="W466" s="26" t="e">
        <f ca="1">_xludf.TEXTJOIN("; ",TRUE,Auto_Roster!N466,IF(G466&gt;Settings!$B$19,"Approval required &gt; standard hours",""),IF(AND(F466&lt;&gt;"Off",G466=0),"Missing claimed hours",""))</f>
        <v>#NAME?</v>
      </c>
      <c r="X466" s="7"/>
    </row>
    <row r="467" spans="1:24" x14ac:dyDescent="0.35">
      <c r="A467" s="31">
        <f>Auto_Roster!A467</f>
        <v>46166</v>
      </c>
      <c r="B467" s="31">
        <f>Auto_Roster!B467</f>
        <v>46160</v>
      </c>
      <c r="C467" s="26" t="str">
        <f>Auto_Roster!C467</f>
        <v>E004</v>
      </c>
      <c r="D467" s="26" t="str">
        <f>Auto_Roster!D467</f>
        <v>Bashii Fall</v>
      </c>
      <c r="E467" s="26" t="str">
        <f>Auto_Roster!E467</f>
        <v>D</v>
      </c>
      <c r="F467" s="26" t="str">
        <f>Auto_Roster!G467</f>
        <v>Day</v>
      </c>
      <c r="G467" s="33">
        <f>Auto_Roster!J467</f>
        <v>8</v>
      </c>
      <c r="H467" s="33">
        <f>IF(G467&gt;Settings!$B$19,G467-Settings!$B$19,0)</f>
        <v>0</v>
      </c>
      <c r="I467" s="33">
        <f t="shared" si="28"/>
        <v>8</v>
      </c>
      <c r="J467" s="33">
        <f>IF(Auto_Roster!M467="Y",G467,0)</f>
        <v>8</v>
      </c>
      <c r="K467" s="33">
        <f>IF(Auto_Roster!L467="Y",G467,0)</f>
        <v>0</v>
      </c>
      <c r="L467" s="26" t="str">
        <f>Auto_Roster!K467</f>
        <v>N</v>
      </c>
      <c r="M467" s="34">
        <f>IF(L467="Y",Settings!$B$16,0)</f>
        <v>0</v>
      </c>
      <c r="N467" s="33">
        <f t="shared" si="29"/>
        <v>0</v>
      </c>
      <c r="O467" s="34">
        <f>N467*Settings!$B$17</f>
        <v>0</v>
      </c>
      <c r="P467" s="34">
        <f>IFERROR(VLOOKUP(C467,Employees!$A$4:$E$103,5,FALSE),Settings!$B$18)</f>
        <v>100</v>
      </c>
      <c r="Q467" s="34">
        <f t="shared" si="30"/>
        <v>800</v>
      </c>
      <c r="R467" s="34">
        <f>H467*P467*Settings!$B$13</f>
        <v>0</v>
      </c>
      <c r="S467" s="34">
        <f>J467*P467*(Settings!$B$14-1)</f>
        <v>800</v>
      </c>
      <c r="T467" s="34">
        <f>K467*P467*(Settings!$B$15-1)</f>
        <v>0</v>
      </c>
      <c r="U467" s="34">
        <f t="shared" si="31"/>
        <v>1600</v>
      </c>
      <c r="V467" s="26" t="str">
        <f>Auto_Roster!O467</f>
        <v>Pending</v>
      </c>
      <c r="W467" s="26" t="e">
        <f ca="1">_xludf.TEXTJOIN("; ",TRUE,Auto_Roster!N467,IF(G467&gt;Settings!$B$19,"Approval required &gt; standard hours",""),IF(AND(F467&lt;&gt;"Off",G467=0),"Missing claimed hours",""))</f>
        <v>#NAME?</v>
      </c>
      <c r="X467" s="7"/>
    </row>
    <row r="468" spans="1:24" x14ac:dyDescent="0.35">
      <c r="A468" s="31">
        <f>Auto_Roster!A468</f>
        <v>46166</v>
      </c>
      <c r="B468" s="31">
        <f>Auto_Roster!B468</f>
        <v>46160</v>
      </c>
      <c r="C468" s="26" t="str">
        <f>Auto_Roster!C468</f>
        <v>E005</v>
      </c>
      <c r="D468" s="26" t="str">
        <f>Auto_Roster!D468</f>
        <v>Lesego Aphane</v>
      </c>
      <c r="E468" s="26" t="str">
        <f>Auto_Roster!E468</f>
        <v>A</v>
      </c>
      <c r="F468" s="26" t="str">
        <f>Auto_Roster!G468</f>
        <v>Off</v>
      </c>
      <c r="G468" s="33">
        <f>Auto_Roster!J468</f>
        <v>0</v>
      </c>
      <c r="H468" s="33">
        <f>IF(G468&gt;Settings!$B$19,G468-Settings!$B$19,0)</f>
        <v>0</v>
      </c>
      <c r="I468" s="33">
        <f t="shared" si="28"/>
        <v>0</v>
      </c>
      <c r="J468" s="33">
        <f>IF(Auto_Roster!M468="Y",G468,0)</f>
        <v>0</v>
      </c>
      <c r="K468" s="33">
        <f>IF(Auto_Roster!L468="Y",G468,0)</f>
        <v>0</v>
      </c>
      <c r="L468" s="26" t="str">
        <f>Auto_Roster!K468</f>
        <v>N</v>
      </c>
      <c r="M468" s="34">
        <f>IF(L468="Y",Settings!$B$16,0)</f>
        <v>0</v>
      </c>
      <c r="N468" s="33">
        <f t="shared" si="29"/>
        <v>0</v>
      </c>
      <c r="O468" s="34">
        <f>N468*Settings!$B$17</f>
        <v>0</v>
      </c>
      <c r="P468" s="34">
        <f>IFERROR(VLOOKUP(C468,Employees!$A$4:$E$103,5,FALSE),Settings!$B$18)</f>
        <v>100</v>
      </c>
      <c r="Q468" s="34">
        <f t="shared" si="30"/>
        <v>0</v>
      </c>
      <c r="R468" s="34">
        <f>H468*P468*Settings!$B$13</f>
        <v>0</v>
      </c>
      <c r="S468" s="34">
        <f>J468*P468*(Settings!$B$14-1)</f>
        <v>0</v>
      </c>
      <c r="T468" s="34">
        <f>K468*P468*(Settings!$B$15-1)</f>
        <v>0</v>
      </c>
      <c r="U468" s="34">
        <f t="shared" si="31"/>
        <v>0</v>
      </c>
      <c r="V468" s="26" t="str">
        <f>Auto_Roster!O468</f>
        <v>Pending</v>
      </c>
      <c r="W468" s="26" t="e">
        <f ca="1">_xludf.TEXTJOIN("; ",TRUE,Auto_Roster!N468,IF(G468&gt;Settings!$B$19,"Approval required &gt; standard hours",""),IF(AND(F468&lt;&gt;"Off",G468=0),"Missing claimed hours",""))</f>
        <v>#NAME?</v>
      </c>
      <c r="X468" s="7"/>
    </row>
    <row r="469" spans="1:24" x14ac:dyDescent="0.35">
      <c r="A469" s="31">
        <f>Auto_Roster!A469</f>
        <v>46166</v>
      </c>
      <c r="B469" s="31">
        <f>Auto_Roster!B469</f>
        <v>46160</v>
      </c>
      <c r="C469" s="26" t="str">
        <f>Auto_Roster!C469</f>
        <v>E006</v>
      </c>
      <c r="D469" s="26" t="str">
        <f>Auto_Roster!D469</f>
        <v>Nhalnahla</v>
      </c>
      <c r="E469" s="26" t="str">
        <f>Auto_Roster!E469</f>
        <v>B</v>
      </c>
      <c r="F469" s="26" t="str">
        <f>Auto_Roster!G469</f>
        <v>Night</v>
      </c>
      <c r="G469" s="33">
        <f>Auto_Roster!J469</f>
        <v>8</v>
      </c>
      <c r="H469" s="33">
        <f>IF(G469&gt;Settings!$B$19,G469-Settings!$B$19,0)</f>
        <v>0</v>
      </c>
      <c r="I469" s="33">
        <f t="shared" si="28"/>
        <v>8</v>
      </c>
      <c r="J469" s="33">
        <f>IF(Auto_Roster!M469="Y",G469,0)</f>
        <v>8</v>
      </c>
      <c r="K469" s="33">
        <f>IF(Auto_Roster!L469="Y",G469,0)</f>
        <v>0</v>
      </c>
      <c r="L469" s="26" t="str">
        <f>Auto_Roster!K469</f>
        <v>N</v>
      </c>
      <c r="M469" s="34">
        <f>IF(L469="Y",Settings!$B$16,0)</f>
        <v>0</v>
      </c>
      <c r="N469" s="33">
        <f t="shared" si="29"/>
        <v>8</v>
      </c>
      <c r="O469" s="34">
        <f>N469*Settings!$B$17</f>
        <v>0</v>
      </c>
      <c r="P469" s="34">
        <f>IFERROR(VLOOKUP(C469,Employees!$A$4:$E$103,5,FALSE),Settings!$B$18)</f>
        <v>100</v>
      </c>
      <c r="Q469" s="34">
        <f t="shared" si="30"/>
        <v>800</v>
      </c>
      <c r="R469" s="34">
        <f>H469*P469*Settings!$B$13</f>
        <v>0</v>
      </c>
      <c r="S469" s="34">
        <f>J469*P469*(Settings!$B$14-1)</f>
        <v>800</v>
      </c>
      <c r="T469" s="34">
        <f>K469*P469*(Settings!$B$15-1)</f>
        <v>0</v>
      </c>
      <c r="U469" s="34">
        <f t="shared" si="31"/>
        <v>1600</v>
      </c>
      <c r="V469" s="26" t="str">
        <f>Auto_Roster!O469</f>
        <v>Pending</v>
      </c>
      <c r="W469" s="26" t="e">
        <f ca="1">_xludf.TEXTJOIN("; ",TRUE,Auto_Roster!N469,IF(G469&gt;Settings!$B$19,"Approval required &gt; standard hours",""),IF(AND(F469&lt;&gt;"Off",G469=0),"Missing claimed hours",""))</f>
        <v>#NAME?</v>
      </c>
      <c r="X469" s="7"/>
    </row>
    <row r="470" spans="1:24" x14ac:dyDescent="0.35">
      <c r="A470" s="31">
        <f>Auto_Roster!A470</f>
        <v>46166</v>
      </c>
      <c r="B470" s="31">
        <f>Auto_Roster!B470</f>
        <v>46160</v>
      </c>
      <c r="C470" s="26" t="str">
        <f>Auto_Roster!C470</f>
        <v>E007</v>
      </c>
      <c r="D470" s="26" t="str">
        <f>Auto_Roster!D470</f>
        <v>Joe</v>
      </c>
      <c r="E470" s="26" t="str">
        <f>Auto_Roster!E470</f>
        <v>C</v>
      </c>
      <c r="F470" s="26" t="str">
        <f>Auto_Roster!G470</f>
        <v>Evening</v>
      </c>
      <c r="G470" s="33">
        <f>Auto_Roster!J470</f>
        <v>8</v>
      </c>
      <c r="H470" s="33">
        <f>IF(G470&gt;Settings!$B$19,G470-Settings!$B$19,0)</f>
        <v>0</v>
      </c>
      <c r="I470" s="33">
        <f t="shared" si="28"/>
        <v>8</v>
      </c>
      <c r="J470" s="33">
        <f>IF(Auto_Roster!M470="Y",G470,0)</f>
        <v>8</v>
      </c>
      <c r="K470" s="33">
        <f>IF(Auto_Roster!L470="Y",G470,0)</f>
        <v>0</v>
      </c>
      <c r="L470" s="26" t="str">
        <f>Auto_Roster!K470</f>
        <v>N</v>
      </c>
      <c r="M470" s="34">
        <f>IF(L470="Y",Settings!$B$16,0)</f>
        <v>0</v>
      </c>
      <c r="N470" s="33">
        <f t="shared" si="29"/>
        <v>0</v>
      </c>
      <c r="O470" s="34">
        <f>N470*Settings!$B$17</f>
        <v>0</v>
      </c>
      <c r="P470" s="34">
        <f>IFERROR(VLOOKUP(C470,Employees!$A$4:$E$103,5,FALSE),Settings!$B$18)</f>
        <v>100</v>
      </c>
      <c r="Q470" s="34">
        <f t="shared" si="30"/>
        <v>800</v>
      </c>
      <c r="R470" s="34">
        <f>H470*P470*Settings!$B$13</f>
        <v>0</v>
      </c>
      <c r="S470" s="34">
        <f>J470*P470*(Settings!$B$14-1)</f>
        <v>800</v>
      </c>
      <c r="T470" s="34">
        <f>K470*P470*(Settings!$B$15-1)</f>
        <v>0</v>
      </c>
      <c r="U470" s="34">
        <f t="shared" si="31"/>
        <v>1600</v>
      </c>
      <c r="V470" s="26" t="str">
        <f>Auto_Roster!O470</f>
        <v>Pending</v>
      </c>
      <c r="W470" s="26" t="e">
        <f ca="1">_xludf.TEXTJOIN("; ",TRUE,Auto_Roster!N470,IF(G470&gt;Settings!$B$19,"Approval required &gt; standard hours",""),IF(AND(F470&lt;&gt;"Off",G470=0),"Missing claimed hours",""))</f>
        <v>#NAME?</v>
      </c>
      <c r="X470" s="7"/>
    </row>
    <row r="471" spans="1:24" x14ac:dyDescent="0.35">
      <c r="A471" s="31">
        <f>Auto_Roster!A471</f>
        <v>46166</v>
      </c>
      <c r="B471" s="31">
        <f>Auto_Roster!B471</f>
        <v>46160</v>
      </c>
      <c r="C471" s="26" t="str">
        <f>Auto_Roster!C471</f>
        <v>E008</v>
      </c>
      <c r="D471" s="26" t="str">
        <f>Auto_Roster!D471</f>
        <v>Tim</v>
      </c>
      <c r="E471" s="26" t="str">
        <f>Auto_Roster!E471</f>
        <v>D</v>
      </c>
      <c r="F471" s="26" t="str">
        <f>Auto_Roster!G471</f>
        <v>Day</v>
      </c>
      <c r="G471" s="33">
        <f>Auto_Roster!J471</f>
        <v>8</v>
      </c>
      <c r="H471" s="33">
        <f>IF(G471&gt;Settings!$B$19,G471-Settings!$B$19,0)</f>
        <v>0</v>
      </c>
      <c r="I471" s="33">
        <f t="shared" si="28"/>
        <v>8</v>
      </c>
      <c r="J471" s="33">
        <f>IF(Auto_Roster!M471="Y",G471,0)</f>
        <v>8</v>
      </c>
      <c r="K471" s="33">
        <f>IF(Auto_Roster!L471="Y",G471,0)</f>
        <v>0</v>
      </c>
      <c r="L471" s="26" t="str">
        <f>Auto_Roster!K471</f>
        <v>N</v>
      </c>
      <c r="M471" s="34">
        <f>IF(L471="Y",Settings!$B$16,0)</f>
        <v>0</v>
      </c>
      <c r="N471" s="33">
        <f t="shared" si="29"/>
        <v>0</v>
      </c>
      <c r="O471" s="34">
        <f>N471*Settings!$B$17</f>
        <v>0</v>
      </c>
      <c r="P471" s="34">
        <f>IFERROR(VLOOKUP(C471,Employees!$A$4:$E$103,5,FALSE),Settings!$B$18)</f>
        <v>100</v>
      </c>
      <c r="Q471" s="34">
        <f t="shared" si="30"/>
        <v>800</v>
      </c>
      <c r="R471" s="34">
        <f>H471*P471*Settings!$B$13</f>
        <v>0</v>
      </c>
      <c r="S471" s="34">
        <f>J471*P471*(Settings!$B$14-1)</f>
        <v>800</v>
      </c>
      <c r="T471" s="34">
        <f>K471*P471*(Settings!$B$15-1)</f>
        <v>0</v>
      </c>
      <c r="U471" s="34">
        <f t="shared" si="31"/>
        <v>1600</v>
      </c>
      <c r="V471" s="26" t="str">
        <f>Auto_Roster!O471</f>
        <v>Pending</v>
      </c>
      <c r="W471" s="26" t="e">
        <f ca="1">_xludf.TEXTJOIN("; ",TRUE,Auto_Roster!N471,IF(G471&gt;Settings!$B$19,"Approval required &gt; standard hours",""),IF(AND(F471&lt;&gt;"Off",G471=0),"Missing claimed hours",""))</f>
        <v>#NAME?</v>
      </c>
      <c r="X471" s="7"/>
    </row>
    <row r="472" spans="1:24" x14ac:dyDescent="0.35">
      <c r="A472" s="31">
        <f>Auto_Roster!A472</f>
        <v>46166</v>
      </c>
      <c r="B472" s="31">
        <f>Auto_Roster!B472</f>
        <v>46160</v>
      </c>
      <c r="C472" s="26" t="str">
        <f>Auto_Roster!C472</f>
        <v>E009</v>
      </c>
      <c r="D472" s="26" t="str">
        <f>Auto_Roster!D472</f>
        <v>Frank</v>
      </c>
      <c r="E472" s="26" t="str">
        <f>Auto_Roster!E472</f>
        <v>A</v>
      </c>
      <c r="F472" s="26" t="str">
        <f>Auto_Roster!G472</f>
        <v>Off</v>
      </c>
      <c r="G472" s="33">
        <f>Auto_Roster!J472</f>
        <v>0</v>
      </c>
      <c r="H472" s="33">
        <f>IF(G472&gt;Settings!$B$19,G472-Settings!$B$19,0)</f>
        <v>0</v>
      </c>
      <c r="I472" s="33">
        <f t="shared" si="28"/>
        <v>0</v>
      </c>
      <c r="J472" s="33">
        <f>IF(Auto_Roster!M472="Y",G472,0)</f>
        <v>0</v>
      </c>
      <c r="K472" s="33">
        <f>IF(Auto_Roster!L472="Y",G472,0)</f>
        <v>0</v>
      </c>
      <c r="L472" s="26" t="str">
        <f>Auto_Roster!K472</f>
        <v>N</v>
      </c>
      <c r="M472" s="34">
        <f>IF(L472="Y",Settings!$B$16,0)</f>
        <v>0</v>
      </c>
      <c r="N472" s="33">
        <f t="shared" si="29"/>
        <v>0</v>
      </c>
      <c r="O472" s="34">
        <f>N472*Settings!$B$17</f>
        <v>0</v>
      </c>
      <c r="P472" s="34">
        <f>IFERROR(VLOOKUP(C472,Employees!$A$4:$E$103,5,FALSE),Settings!$B$18)</f>
        <v>100</v>
      </c>
      <c r="Q472" s="34">
        <f t="shared" si="30"/>
        <v>0</v>
      </c>
      <c r="R472" s="34">
        <f>H472*P472*Settings!$B$13</f>
        <v>0</v>
      </c>
      <c r="S472" s="34">
        <f>J472*P472*(Settings!$B$14-1)</f>
        <v>0</v>
      </c>
      <c r="T472" s="34">
        <f>K472*P472*(Settings!$B$15-1)</f>
        <v>0</v>
      </c>
      <c r="U472" s="34">
        <f t="shared" si="31"/>
        <v>0</v>
      </c>
      <c r="V472" s="26" t="str">
        <f>Auto_Roster!O472</f>
        <v>Pending</v>
      </c>
      <c r="W472" s="26" t="e">
        <f ca="1">_xludf.TEXTJOIN("; ",TRUE,Auto_Roster!N472,IF(G472&gt;Settings!$B$19,"Approval required &gt; standard hours",""),IF(AND(F472&lt;&gt;"Off",G472=0),"Missing claimed hours",""))</f>
        <v>#NAME?</v>
      </c>
      <c r="X472" s="7"/>
    </row>
    <row r="473" spans="1:24" x14ac:dyDescent="0.35">
      <c r="A473" s="31">
        <f>Auto_Roster!A473</f>
        <v>46166</v>
      </c>
      <c r="B473" s="31">
        <f>Auto_Roster!B473</f>
        <v>46160</v>
      </c>
      <c r="C473" s="26" t="str">
        <f>Auto_Roster!C473</f>
        <v/>
      </c>
      <c r="D473" s="26" t="str">
        <f>Auto_Roster!D473</f>
        <v/>
      </c>
      <c r="E473" s="26" t="str">
        <f>Auto_Roster!E473</f>
        <v/>
      </c>
      <c r="F473" s="26" t="str">
        <f>Auto_Roster!G473</f>
        <v/>
      </c>
      <c r="G473" s="33">
        <f>Auto_Roster!J473</f>
        <v>0</v>
      </c>
      <c r="H473" s="33">
        <f>IF(G473&gt;Settings!$B$19,G473-Settings!$B$19,0)</f>
        <v>0</v>
      </c>
      <c r="I473" s="33">
        <f t="shared" si="28"/>
        <v>0</v>
      </c>
      <c r="J473" s="33">
        <f>IF(Auto_Roster!M473="Y",G473,0)</f>
        <v>0</v>
      </c>
      <c r="K473" s="33">
        <f>IF(Auto_Roster!L473="Y",G473,0)</f>
        <v>0</v>
      </c>
      <c r="L473" s="26" t="str">
        <f>Auto_Roster!K473</f>
        <v>N</v>
      </c>
      <c r="M473" s="34">
        <f>IF(L473="Y",Settings!$B$16,0)</f>
        <v>0</v>
      </c>
      <c r="N473" s="33">
        <f t="shared" si="29"/>
        <v>0</v>
      </c>
      <c r="O473" s="34">
        <f>N473*Settings!$B$17</f>
        <v>0</v>
      </c>
      <c r="P473" s="34">
        <f>IFERROR(VLOOKUP(C473,Employees!$A$4:$E$103,5,FALSE),Settings!$B$18)</f>
        <v>100</v>
      </c>
      <c r="Q473" s="34">
        <f t="shared" si="30"/>
        <v>0</v>
      </c>
      <c r="R473" s="34">
        <f>H473*P473*Settings!$B$13</f>
        <v>0</v>
      </c>
      <c r="S473" s="34">
        <f>J473*P473*(Settings!$B$14-1)</f>
        <v>0</v>
      </c>
      <c r="T473" s="34">
        <f>K473*P473*(Settings!$B$15-1)</f>
        <v>0</v>
      </c>
      <c r="U473" s="34">
        <f t="shared" si="31"/>
        <v>0</v>
      </c>
      <c r="V473" s="26" t="str">
        <f>Auto_Roster!O473</f>
        <v>Pending</v>
      </c>
      <c r="W473" s="26" t="e">
        <f ca="1">_xludf.TEXTJOIN("; ",TRUE,Auto_Roster!N473,IF(G473&gt;Settings!$B$19,"Approval required &gt; standard hours",""),IF(AND(F473&lt;&gt;"Off",G473=0),"Missing claimed hours",""))</f>
        <v>#NAME?</v>
      </c>
      <c r="X473" s="7"/>
    </row>
    <row r="474" spans="1:24" x14ac:dyDescent="0.35">
      <c r="A474" s="31">
        <f>Auto_Roster!A474</f>
        <v>46166</v>
      </c>
      <c r="B474" s="31">
        <f>Auto_Roster!B474</f>
        <v>46160</v>
      </c>
      <c r="C474" s="26" t="str">
        <f>Auto_Roster!C474</f>
        <v/>
      </c>
      <c r="D474" s="26" t="str">
        <f>Auto_Roster!D474</f>
        <v/>
      </c>
      <c r="E474" s="26" t="str">
        <f>Auto_Roster!E474</f>
        <v/>
      </c>
      <c r="F474" s="26" t="str">
        <f>Auto_Roster!G474</f>
        <v/>
      </c>
      <c r="G474" s="33">
        <f>Auto_Roster!J474</f>
        <v>0</v>
      </c>
      <c r="H474" s="33">
        <f>IF(G474&gt;Settings!$B$19,G474-Settings!$B$19,0)</f>
        <v>0</v>
      </c>
      <c r="I474" s="33">
        <f t="shared" si="28"/>
        <v>0</v>
      </c>
      <c r="J474" s="33">
        <f>IF(Auto_Roster!M474="Y",G474,0)</f>
        <v>0</v>
      </c>
      <c r="K474" s="33">
        <f>IF(Auto_Roster!L474="Y",G474,0)</f>
        <v>0</v>
      </c>
      <c r="L474" s="26" t="str">
        <f>Auto_Roster!K474</f>
        <v>N</v>
      </c>
      <c r="M474" s="34">
        <f>IF(L474="Y",Settings!$B$16,0)</f>
        <v>0</v>
      </c>
      <c r="N474" s="33">
        <f t="shared" si="29"/>
        <v>0</v>
      </c>
      <c r="O474" s="34">
        <f>N474*Settings!$B$17</f>
        <v>0</v>
      </c>
      <c r="P474" s="34">
        <f>IFERROR(VLOOKUP(C474,Employees!$A$4:$E$103,5,FALSE),Settings!$B$18)</f>
        <v>100</v>
      </c>
      <c r="Q474" s="34">
        <f t="shared" si="30"/>
        <v>0</v>
      </c>
      <c r="R474" s="34">
        <f>H474*P474*Settings!$B$13</f>
        <v>0</v>
      </c>
      <c r="S474" s="34">
        <f>J474*P474*(Settings!$B$14-1)</f>
        <v>0</v>
      </c>
      <c r="T474" s="34">
        <f>K474*P474*(Settings!$B$15-1)</f>
        <v>0</v>
      </c>
      <c r="U474" s="34">
        <f t="shared" si="31"/>
        <v>0</v>
      </c>
      <c r="V474" s="26" t="str">
        <f>Auto_Roster!O474</f>
        <v>Pending</v>
      </c>
      <c r="W474" s="26" t="e">
        <f ca="1">_xludf.TEXTJOIN("; ",TRUE,Auto_Roster!N474,IF(G474&gt;Settings!$B$19,"Approval required &gt; standard hours",""),IF(AND(F474&lt;&gt;"Off",G474=0),"Missing claimed hours",""))</f>
        <v>#NAME?</v>
      </c>
      <c r="X474" s="7"/>
    </row>
    <row r="475" spans="1:24" x14ac:dyDescent="0.35">
      <c r="A475" s="31">
        <f>Auto_Roster!A475</f>
        <v>46166</v>
      </c>
      <c r="B475" s="31">
        <f>Auto_Roster!B475</f>
        <v>46160</v>
      </c>
      <c r="C475" s="26" t="str">
        <f>Auto_Roster!C475</f>
        <v/>
      </c>
      <c r="D475" s="26" t="str">
        <f>Auto_Roster!D475</f>
        <v/>
      </c>
      <c r="E475" s="26" t="str">
        <f>Auto_Roster!E475</f>
        <v/>
      </c>
      <c r="F475" s="26" t="str">
        <f>Auto_Roster!G475</f>
        <v/>
      </c>
      <c r="G475" s="33">
        <f>Auto_Roster!J475</f>
        <v>0</v>
      </c>
      <c r="H475" s="33">
        <f>IF(G475&gt;Settings!$B$19,G475-Settings!$B$19,0)</f>
        <v>0</v>
      </c>
      <c r="I475" s="33">
        <f t="shared" si="28"/>
        <v>0</v>
      </c>
      <c r="J475" s="33">
        <f>IF(Auto_Roster!M475="Y",G475,0)</f>
        <v>0</v>
      </c>
      <c r="K475" s="33">
        <f>IF(Auto_Roster!L475="Y",G475,0)</f>
        <v>0</v>
      </c>
      <c r="L475" s="26" t="str">
        <f>Auto_Roster!K475</f>
        <v>N</v>
      </c>
      <c r="M475" s="34">
        <f>IF(L475="Y",Settings!$B$16,0)</f>
        <v>0</v>
      </c>
      <c r="N475" s="33">
        <f t="shared" si="29"/>
        <v>0</v>
      </c>
      <c r="O475" s="34">
        <f>N475*Settings!$B$17</f>
        <v>0</v>
      </c>
      <c r="P475" s="34">
        <f>IFERROR(VLOOKUP(C475,Employees!$A$4:$E$103,5,FALSE),Settings!$B$18)</f>
        <v>100</v>
      </c>
      <c r="Q475" s="34">
        <f t="shared" si="30"/>
        <v>0</v>
      </c>
      <c r="R475" s="34">
        <f>H475*P475*Settings!$B$13</f>
        <v>0</v>
      </c>
      <c r="S475" s="34">
        <f>J475*P475*(Settings!$B$14-1)</f>
        <v>0</v>
      </c>
      <c r="T475" s="34">
        <f>K475*P475*(Settings!$B$15-1)</f>
        <v>0</v>
      </c>
      <c r="U475" s="34">
        <f t="shared" si="31"/>
        <v>0</v>
      </c>
      <c r="V475" s="26" t="str">
        <f>Auto_Roster!O475</f>
        <v>Pending</v>
      </c>
      <c r="W475" s="26" t="e">
        <f ca="1">_xludf.TEXTJOIN("; ",TRUE,Auto_Roster!N475,IF(G475&gt;Settings!$B$19,"Approval required &gt; standard hours",""),IF(AND(F475&lt;&gt;"Off",G475=0),"Missing claimed hours",""))</f>
        <v>#NAME?</v>
      </c>
      <c r="X475" s="7"/>
    </row>
    <row r="476" spans="1:24" x14ac:dyDescent="0.35">
      <c r="A476" s="31">
        <f>Auto_Roster!A476</f>
        <v>46166</v>
      </c>
      <c r="B476" s="31">
        <f>Auto_Roster!B476</f>
        <v>46160</v>
      </c>
      <c r="C476" s="26" t="str">
        <f>Auto_Roster!C476</f>
        <v/>
      </c>
      <c r="D476" s="26" t="str">
        <f>Auto_Roster!D476</f>
        <v/>
      </c>
      <c r="E476" s="26" t="str">
        <f>Auto_Roster!E476</f>
        <v/>
      </c>
      <c r="F476" s="26" t="str">
        <f>Auto_Roster!G476</f>
        <v/>
      </c>
      <c r="G476" s="33">
        <f>Auto_Roster!J476</f>
        <v>0</v>
      </c>
      <c r="H476" s="33">
        <f>IF(G476&gt;Settings!$B$19,G476-Settings!$B$19,0)</f>
        <v>0</v>
      </c>
      <c r="I476" s="33">
        <f t="shared" si="28"/>
        <v>0</v>
      </c>
      <c r="J476" s="33">
        <f>IF(Auto_Roster!M476="Y",G476,0)</f>
        <v>0</v>
      </c>
      <c r="K476" s="33">
        <f>IF(Auto_Roster!L476="Y",G476,0)</f>
        <v>0</v>
      </c>
      <c r="L476" s="26" t="str">
        <f>Auto_Roster!K476</f>
        <v>N</v>
      </c>
      <c r="M476" s="34">
        <f>IF(L476="Y",Settings!$B$16,0)</f>
        <v>0</v>
      </c>
      <c r="N476" s="33">
        <f t="shared" si="29"/>
        <v>0</v>
      </c>
      <c r="O476" s="34">
        <f>N476*Settings!$B$17</f>
        <v>0</v>
      </c>
      <c r="P476" s="34">
        <f>IFERROR(VLOOKUP(C476,Employees!$A$4:$E$103,5,FALSE),Settings!$B$18)</f>
        <v>100</v>
      </c>
      <c r="Q476" s="34">
        <f t="shared" si="30"/>
        <v>0</v>
      </c>
      <c r="R476" s="34">
        <f>H476*P476*Settings!$B$13</f>
        <v>0</v>
      </c>
      <c r="S476" s="34">
        <f>J476*P476*(Settings!$B$14-1)</f>
        <v>0</v>
      </c>
      <c r="T476" s="34">
        <f>K476*P476*(Settings!$B$15-1)</f>
        <v>0</v>
      </c>
      <c r="U476" s="34">
        <f t="shared" si="31"/>
        <v>0</v>
      </c>
      <c r="V476" s="26" t="str">
        <f>Auto_Roster!O476</f>
        <v>Pending</v>
      </c>
      <c r="W476" s="26" t="e">
        <f ca="1">_xludf.TEXTJOIN("; ",TRUE,Auto_Roster!N476,IF(G476&gt;Settings!$B$19,"Approval required &gt; standard hours",""),IF(AND(F476&lt;&gt;"Off",G476=0),"Missing claimed hours",""))</f>
        <v>#NAME?</v>
      </c>
      <c r="X476" s="7"/>
    </row>
    <row r="477" spans="1:24" x14ac:dyDescent="0.35">
      <c r="A477" s="31">
        <f>Auto_Roster!A477</f>
        <v>46166</v>
      </c>
      <c r="B477" s="31">
        <f>Auto_Roster!B477</f>
        <v>46160</v>
      </c>
      <c r="C477" s="26" t="str">
        <f>Auto_Roster!C477</f>
        <v/>
      </c>
      <c r="D477" s="26" t="str">
        <f>Auto_Roster!D477</f>
        <v/>
      </c>
      <c r="E477" s="26" t="str">
        <f>Auto_Roster!E477</f>
        <v/>
      </c>
      <c r="F477" s="26" t="str">
        <f>Auto_Roster!G477</f>
        <v/>
      </c>
      <c r="G477" s="33">
        <f>Auto_Roster!J477</f>
        <v>0</v>
      </c>
      <c r="H477" s="33">
        <f>IF(G477&gt;Settings!$B$19,G477-Settings!$B$19,0)</f>
        <v>0</v>
      </c>
      <c r="I477" s="33">
        <f t="shared" si="28"/>
        <v>0</v>
      </c>
      <c r="J477" s="33">
        <f>IF(Auto_Roster!M477="Y",G477,0)</f>
        <v>0</v>
      </c>
      <c r="K477" s="33">
        <f>IF(Auto_Roster!L477="Y",G477,0)</f>
        <v>0</v>
      </c>
      <c r="L477" s="26" t="str">
        <f>Auto_Roster!K477</f>
        <v>N</v>
      </c>
      <c r="M477" s="34">
        <f>IF(L477="Y",Settings!$B$16,0)</f>
        <v>0</v>
      </c>
      <c r="N477" s="33">
        <f t="shared" si="29"/>
        <v>0</v>
      </c>
      <c r="O477" s="34">
        <f>N477*Settings!$B$17</f>
        <v>0</v>
      </c>
      <c r="P477" s="34">
        <f>IFERROR(VLOOKUP(C477,Employees!$A$4:$E$103,5,FALSE),Settings!$B$18)</f>
        <v>100</v>
      </c>
      <c r="Q477" s="34">
        <f t="shared" si="30"/>
        <v>0</v>
      </c>
      <c r="R477" s="34">
        <f>H477*P477*Settings!$B$13</f>
        <v>0</v>
      </c>
      <c r="S477" s="34">
        <f>J477*P477*(Settings!$B$14-1)</f>
        <v>0</v>
      </c>
      <c r="T477" s="34">
        <f>K477*P477*(Settings!$B$15-1)</f>
        <v>0</v>
      </c>
      <c r="U477" s="34">
        <f t="shared" si="31"/>
        <v>0</v>
      </c>
      <c r="V477" s="26" t="str">
        <f>Auto_Roster!O477</f>
        <v>Pending</v>
      </c>
      <c r="W477" s="26" t="e">
        <f ca="1">_xludf.TEXTJOIN("; ",TRUE,Auto_Roster!N477,IF(G477&gt;Settings!$B$19,"Approval required &gt; standard hours",""),IF(AND(F477&lt;&gt;"Off",G477=0),"Missing claimed hours",""))</f>
        <v>#NAME?</v>
      </c>
      <c r="X477" s="7"/>
    </row>
    <row r="478" spans="1:24" x14ac:dyDescent="0.35">
      <c r="A478" s="31">
        <f>Auto_Roster!A478</f>
        <v>46166</v>
      </c>
      <c r="B478" s="31">
        <f>Auto_Roster!B478</f>
        <v>46160</v>
      </c>
      <c r="C478" s="26" t="str">
        <f>Auto_Roster!C478</f>
        <v/>
      </c>
      <c r="D478" s="26" t="str">
        <f>Auto_Roster!D478</f>
        <v/>
      </c>
      <c r="E478" s="26" t="str">
        <f>Auto_Roster!E478</f>
        <v/>
      </c>
      <c r="F478" s="26" t="str">
        <f>Auto_Roster!G478</f>
        <v/>
      </c>
      <c r="G478" s="33">
        <f>Auto_Roster!J478</f>
        <v>0</v>
      </c>
      <c r="H478" s="33">
        <f>IF(G478&gt;Settings!$B$19,G478-Settings!$B$19,0)</f>
        <v>0</v>
      </c>
      <c r="I478" s="33">
        <f t="shared" si="28"/>
        <v>0</v>
      </c>
      <c r="J478" s="33">
        <f>IF(Auto_Roster!M478="Y",G478,0)</f>
        <v>0</v>
      </c>
      <c r="K478" s="33">
        <f>IF(Auto_Roster!L478="Y",G478,0)</f>
        <v>0</v>
      </c>
      <c r="L478" s="26" t="str">
        <f>Auto_Roster!K478</f>
        <v>N</v>
      </c>
      <c r="M478" s="34">
        <f>IF(L478="Y",Settings!$B$16,0)</f>
        <v>0</v>
      </c>
      <c r="N478" s="33">
        <f t="shared" si="29"/>
        <v>0</v>
      </c>
      <c r="O478" s="34">
        <f>N478*Settings!$B$17</f>
        <v>0</v>
      </c>
      <c r="P478" s="34">
        <f>IFERROR(VLOOKUP(C478,Employees!$A$4:$E$103,5,FALSE),Settings!$B$18)</f>
        <v>100</v>
      </c>
      <c r="Q478" s="34">
        <f t="shared" si="30"/>
        <v>0</v>
      </c>
      <c r="R478" s="34">
        <f>H478*P478*Settings!$B$13</f>
        <v>0</v>
      </c>
      <c r="S478" s="34">
        <f>J478*P478*(Settings!$B$14-1)</f>
        <v>0</v>
      </c>
      <c r="T478" s="34">
        <f>K478*P478*(Settings!$B$15-1)</f>
        <v>0</v>
      </c>
      <c r="U478" s="34">
        <f t="shared" si="31"/>
        <v>0</v>
      </c>
      <c r="V478" s="26" t="str">
        <f>Auto_Roster!O478</f>
        <v>Pending</v>
      </c>
      <c r="W478" s="26" t="e">
        <f ca="1">_xludf.TEXTJOIN("; ",TRUE,Auto_Roster!N478,IF(G478&gt;Settings!$B$19,"Approval required &gt; standard hours",""),IF(AND(F478&lt;&gt;"Off",G478=0),"Missing claimed hours",""))</f>
        <v>#NAME?</v>
      </c>
      <c r="X478" s="7"/>
    </row>
    <row r="479" spans="1:24" x14ac:dyDescent="0.35">
      <c r="A479" s="31">
        <f>Auto_Roster!A479</f>
        <v>46166</v>
      </c>
      <c r="B479" s="31">
        <f>Auto_Roster!B479</f>
        <v>46160</v>
      </c>
      <c r="C479" s="26" t="str">
        <f>Auto_Roster!C479</f>
        <v/>
      </c>
      <c r="D479" s="26" t="str">
        <f>Auto_Roster!D479</f>
        <v/>
      </c>
      <c r="E479" s="26" t="str">
        <f>Auto_Roster!E479</f>
        <v/>
      </c>
      <c r="F479" s="26" t="str">
        <f>Auto_Roster!G479</f>
        <v/>
      </c>
      <c r="G479" s="33">
        <f>Auto_Roster!J479</f>
        <v>0</v>
      </c>
      <c r="H479" s="33">
        <f>IF(G479&gt;Settings!$B$19,G479-Settings!$B$19,0)</f>
        <v>0</v>
      </c>
      <c r="I479" s="33">
        <f t="shared" si="28"/>
        <v>0</v>
      </c>
      <c r="J479" s="33">
        <f>IF(Auto_Roster!M479="Y",G479,0)</f>
        <v>0</v>
      </c>
      <c r="K479" s="33">
        <f>IF(Auto_Roster!L479="Y",G479,0)</f>
        <v>0</v>
      </c>
      <c r="L479" s="26" t="str">
        <f>Auto_Roster!K479</f>
        <v>N</v>
      </c>
      <c r="M479" s="34">
        <f>IF(L479="Y",Settings!$B$16,0)</f>
        <v>0</v>
      </c>
      <c r="N479" s="33">
        <f t="shared" si="29"/>
        <v>0</v>
      </c>
      <c r="O479" s="34">
        <f>N479*Settings!$B$17</f>
        <v>0</v>
      </c>
      <c r="P479" s="34">
        <f>IFERROR(VLOOKUP(C479,Employees!$A$4:$E$103,5,FALSE),Settings!$B$18)</f>
        <v>100</v>
      </c>
      <c r="Q479" s="34">
        <f t="shared" si="30"/>
        <v>0</v>
      </c>
      <c r="R479" s="34">
        <f>H479*P479*Settings!$B$13</f>
        <v>0</v>
      </c>
      <c r="S479" s="34">
        <f>J479*P479*(Settings!$B$14-1)</f>
        <v>0</v>
      </c>
      <c r="T479" s="34">
        <f>K479*P479*(Settings!$B$15-1)</f>
        <v>0</v>
      </c>
      <c r="U479" s="34">
        <f t="shared" si="31"/>
        <v>0</v>
      </c>
      <c r="V479" s="26" t="str">
        <f>Auto_Roster!O479</f>
        <v>Pending</v>
      </c>
      <c r="W479" s="26" t="e">
        <f ca="1">_xludf.TEXTJOIN("; ",TRUE,Auto_Roster!N479,IF(G479&gt;Settings!$B$19,"Approval required &gt; standard hours",""),IF(AND(F479&lt;&gt;"Off",G479=0),"Missing claimed hours",""))</f>
        <v>#NAME?</v>
      </c>
      <c r="X479" s="7"/>
    </row>
    <row r="480" spans="1:24" x14ac:dyDescent="0.35">
      <c r="A480" s="31">
        <f>Auto_Roster!A480</f>
        <v>46166</v>
      </c>
      <c r="B480" s="31">
        <f>Auto_Roster!B480</f>
        <v>46160</v>
      </c>
      <c r="C480" s="26" t="str">
        <f>Auto_Roster!C480</f>
        <v/>
      </c>
      <c r="D480" s="26" t="str">
        <f>Auto_Roster!D480</f>
        <v/>
      </c>
      <c r="E480" s="26" t="str">
        <f>Auto_Roster!E480</f>
        <v/>
      </c>
      <c r="F480" s="26" t="str">
        <f>Auto_Roster!G480</f>
        <v/>
      </c>
      <c r="G480" s="33">
        <f>Auto_Roster!J480</f>
        <v>0</v>
      </c>
      <c r="H480" s="33">
        <f>IF(G480&gt;Settings!$B$19,G480-Settings!$B$19,0)</f>
        <v>0</v>
      </c>
      <c r="I480" s="33">
        <f t="shared" si="28"/>
        <v>0</v>
      </c>
      <c r="J480" s="33">
        <f>IF(Auto_Roster!M480="Y",G480,0)</f>
        <v>0</v>
      </c>
      <c r="K480" s="33">
        <f>IF(Auto_Roster!L480="Y",G480,0)</f>
        <v>0</v>
      </c>
      <c r="L480" s="26" t="str">
        <f>Auto_Roster!K480</f>
        <v>N</v>
      </c>
      <c r="M480" s="34">
        <f>IF(L480="Y",Settings!$B$16,0)</f>
        <v>0</v>
      </c>
      <c r="N480" s="33">
        <f t="shared" si="29"/>
        <v>0</v>
      </c>
      <c r="O480" s="34">
        <f>N480*Settings!$B$17</f>
        <v>0</v>
      </c>
      <c r="P480" s="34">
        <f>IFERROR(VLOOKUP(C480,Employees!$A$4:$E$103,5,FALSE),Settings!$B$18)</f>
        <v>100</v>
      </c>
      <c r="Q480" s="34">
        <f t="shared" si="30"/>
        <v>0</v>
      </c>
      <c r="R480" s="34">
        <f>H480*P480*Settings!$B$13</f>
        <v>0</v>
      </c>
      <c r="S480" s="34">
        <f>J480*P480*(Settings!$B$14-1)</f>
        <v>0</v>
      </c>
      <c r="T480" s="34">
        <f>K480*P480*(Settings!$B$15-1)</f>
        <v>0</v>
      </c>
      <c r="U480" s="34">
        <f t="shared" si="31"/>
        <v>0</v>
      </c>
      <c r="V480" s="26" t="str">
        <f>Auto_Roster!O480</f>
        <v>Pending</v>
      </c>
      <c r="W480" s="26" t="e">
        <f ca="1">_xludf.TEXTJOIN("; ",TRUE,Auto_Roster!N480,IF(G480&gt;Settings!$B$19,"Approval required &gt; standard hours",""),IF(AND(F480&lt;&gt;"Off",G480=0),"Missing claimed hours",""))</f>
        <v>#NAME?</v>
      </c>
      <c r="X480" s="7"/>
    </row>
    <row r="481" spans="1:24" x14ac:dyDescent="0.35">
      <c r="A481" s="31">
        <f>Auto_Roster!A481</f>
        <v>46166</v>
      </c>
      <c r="B481" s="31">
        <f>Auto_Roster!B481</f>
        <v>46160</v>
      </c>
      <c r="C481" s="26" t="str">
        <f>Auto_Roster!C481</f>
        <v/>
      </c>
      <c r="D481" s="26" t="str">
        <f>Auto_Roster!D481</f>
        <v/>
      </c>
      <c r="E481" s="26" t="str">
        <f>Auto_Roster!E481</f>
        <v/>
      </c>
      <c r="F481" s="26" t="str">
        <f>Auto_Roster!G481</f>
        <v/>
      </c>
      <c r="G481" s="33">
        <f>Auto_Roster!J481</f>
        <v>0</v>
      </c>
      <c r="H481" s="33">
        <f>IF(G481&gt;Settings!$B$19,G481-Settings!$B$19,0)</f>
        <v>0</v>
      </c>
      <c r="I481" s="33">
        <f t="shared" si="28"/>
        <v>0</v>
      </c>
      <c r="J481" s="33">
        <f>IF(Auto_Roster!M481="Y",G481,0)</f>
        <v>0</v>
      </c>
      <c r="K481" s="33">
        <f>IF(Auto_Roster!L481="Y",G481,0)</f>
        <v>0</v>
      </c>
      <c r="L481" s="26" t="str">
        <f>Auto_Roster!K481</f>
        <v>N</v>
      </c>
      <c r="M481" s="34">
        <f>IF(L481="Y",Settings!$B$16,0)</f>
        <v>0</v>
      </c>
      <c r="N481" s="33">
        <f t="shared" si="29"/>
        <v>0</v>
      </c>
      <c r="O481" s="34">
        <f>N481*Settings!$B$17</f>
        <v>0</v>
      </c>
      <c r="P481" s="34">
        <f>IFERROR(VLOOKUP(C481,Employees!$A$4:$E$103,5,FALSE),Settings!$B$18)</f>
        <v>100</v>
      </c>
      <c r="Q481" s="34">
        <f t="shared" si="30"/>
        <v>0</v>
      </c>
      <c r="R481" s="34">
        <f>H481*P481*Settings!$B$13</f>
        <v>0</v>
      </c>
      <c r="S481" s="34">
        <f>J481*P481*(Settings!$B$14-1)</f>
        <v>0</v>
      </c>
      <c r="T481" s="34">
        <f>K481*P481*(Settings!$B$15-1)</f>
        <v>0</v>
      </c>
      <c r="U481" s="34">
        <f t="shared" si="31"/>
        <v>0</v>
      </c>
      <c r="V481" s="26" t="str">
        <f>Auto_Roster!O481</f>
        <v>Pending</v>
      </c>
      <c r="W481" s="26" t="e">
        <f ca="1">_xludf.TEXTJOIN("; ",TRUE,Auto_Roster!N481,IF(G481&gt;Settings!$B$19,"Approval required &gt; standard hours",""),IF(AND(F481&lt;&gt;"Off",G481=0),"Missing claimed hours",""))</f>
        <v>#NAME?</v>
      </c>
      <c r="X481" s="7"/>
    </row>
    <row r="482" spans="1:24" x14ac:dyDescent="0.35">
      <c r="A482" s="31">
        <f>Auto_Roster!A482</f>
        <v>46166</v>
      </c>
      <c r="B482" s="31">
        <f>Auto_Roster!B482</f>
        <v>46160</v>
      </c>
      <c r="C482" s="26" t="str">
        <f>Auto_Roster!C482</f>
        <v/>
      </c>
      <c r="D482" s="26" t="str">
        <f>Auto_Roster!D482</f>
        <v/>
      </c>
      <c r="E482" s="26" t="str">
        <f>Auto_Roster!E482</f>
        <v/>
      </c>
      <c r="F482" s="26" t="str">
        <f>Auto_Roster!G482</f>
        <v/>
      </c>
      <c r="G482" s="33">
        <f>Auto_Roster!J482</f>
        <v>0</v>
      </c>
      <c r="H482" s="33">
        <f>IF(G482&gt;Settings!$B$19,G482-Settings!$B$19,0)</f>
        <v>0</v>
      </c>
      <c r="I482" s="33">
        <f t="shared" si="28"/>
        <v>0</v>
      </c>
      <c r="J482" s="33">
        <f>IF(Auto_Roster!M482="Y",G482,0)</f>
        <v>0</v>
      </c>
      <c r="K482" s="33">
        <f>IF(Auto_Roster!L482="Y",G482,0)</f>
        <v>0</v>
      </c>
      <c r="L482" s="26" t="str">
        <f>Auto_Roster!K482</f>
        <v>N</v>
      </c>
      <c r="M482" s="34">
        <f>IF(L482="Y",Settings!$B$16,0)</f>
        <v>0</v>
      </c>
      <c r="N482" s="33">
        <f t="shared" si="29"/>
        <v>0</v>
      </c>
      <c r="O482" s="34">
        <f>N482*Settings!$B$17</f>
        <v>0</v>
      </c>
      <c r="P482" s="34">
        <f>IFERROR(VLOOKUP(C482,Employees!$A$4:$E$103,5,FALSE),Settings!$B$18)</f>
        <v>100</v>
      </c>
      <c r="Q482" s="34">
        <f t="shared" si="30"/>
        <v>0</v>
      </c>
      <c r="R482" s="34">
        <f>H482*P482*Settings!$B$13</f>
        <v>0</v>
      </c>
      <c r="S482" s="34">
        <f>J482*P482*(Settings!$B$14-1)</f>
        <v>0</v>
      </c>
      <c r="T482" s="34">
        <f>K482*P482*(Settings!$B$15-1)</f>
        <v>0</v>
      </c>
      <c r="U482" s="34">
        <f t="shared" si="31"/>
        <v>0</v>
      </c>
      <c r="V482" s="26" t="str">
        <f>Auto_Roster!O482</f>
        <v>Pending</v>
      </c>
      <c r="W482" s="26" t="e">
        <f ca="1">_xludf.TEXTJOIN("; ",TRUE,Auto_Roster!N482,IF(G482&gt;Settings!$B$19,"Approval required &gt; standard hours",""),IF(AND(F482&lt;&gt;"Off",G482=0),"Missing claimed hours",""))</f>
        <v>#NAME?</v>
      </c>
      <c r="X482" s="7"/>
    </row>
    <row r="483" spans="1:24" x14ac:dyDescent="0.35">
      <c r="A483" s="31">
        <f>Auto_Roster!A483</f>
        <v>46166</v>
      </c>
      <c r="B483" s="31">
        <f>Auto_Roster!B483</f>
        <v>46160</v>
      </c>
      <c r="C483" s="26" t="str">
        <f>Auto_Roster!C483</f>
        <v/>
      </c>
      <c r="D483" s="26" t="str">
        <f>Auto_Roster!D483</f>
        <v/>
      </c>
      <c r="E483" s="26" t="str">
        <f>Auto_Roster!E483</f>
        <v/>
      </c>
      <c r="F483" s="26" t="str">
        <f>Auto_Roster!G483</f>
        <v/>
      </c>
      <c r="G483" s="33">
        <f>Auto_Roster!J483</f>
        <v>0</v>
      </c>
      <c r="H483" s="33">
        <f>IF(G483&gt;Settings!$B$19,G483-Settings!$B$19,0)</f>
        <v>0</v>
      </c>
      <c r="I483" s="33">
        <f t="shared" si="28"/>
        <v>0</v>
      </c>
      <c r="J483" s="33">
        <f>IF(Auto_Roster!M483="Y",G483,0)</f>
        <v>0</v>
      </c>
      <c r="K483" s="33">
        <f>IF(Auto_Roster!L483="Y",G483,0)</f>
        <v>0</v>
      </c>
      <c r="L483" s="26" t="str">
        <f>Auto_Roster!K483</f>
        <v>N</v>
      </c>
      <c r="M483" s="34">
        <f>IF(L483="Y",Settings!$B$16,0)</f>
        <v>0</v>
      </c>
      <c r="N483" s="33">
        <f t="shared" si="29"/>
        <v>0</v>
      </c>
      <c r="O483" s="34">
        <f>N483*Settings!$B$17</f>
        <v>0</v>
      </c>
      <c r="P483" s="34">
        <f>IFERROR(VLOOKUP(C483,Employees!$A$4:$E$103,5,FALSE),Settings!$B$18)</f>
        <v>100</v>
      </c>
      <c r="Q483" s="34">
        <f t="shared" si="30"/>
        <v>0</v>
      </c>
      <c r="R483" s="34">
        <f>H483*P483*Settings!$B$13</f>
        <v>0</v>
      </c>
      <c r="S483" s="34">
        <f>J483*P483*(Settings!$B$14-1)</f>
        <v>0</v>
      </c>
      <c r="T483" s="34">
        <f>K483*P483*(Settings!$B$15-1)</f>
        <v>0</v>
      </c>
      <c r="U483" s="34">
        <f t="shared" si="31"/>
        <v>0</v>
      </c>
      <c r="V483" s="26" t="str">
        <f>Auto_Roster!O483</f>
        <v>Pending</v>
      </c>
      <c r="W483" s="26" t="e">
        <f ca="1">_xludf.TEXTJOIN("; ",TRUE,Auto_Roster!N483,IF(G483&gt;Settings!$B$19,"Approval required &gt; standard hours",""),IF(AND(F483&lt;&gt;"Off",G483=0),"Missing claimed hours",""))</f>
        <v>#NAME?</v>
      </c>
      <c r="X483" s="7"/>
    </row>
    <row r="484" spans="1:24" x14ac:dyDescent="0.35">
      <c r="A484" s="31">
        <f>Auto_Roster!A484</f>
        <v>46167</v>
      </c>
      <c r="B484" s="31">
        <f>Auto_Roster!B484</f>
        <v>46167</v>
      </c>
      <c r="C484" s="26" t="str">
        <f>Auto_Roster!C484</f>
        <v>E001</v>
      </c>
      <c r="D484" s="26" t="str">
        <f>Auto_Roster!D484</f>
        <v>Musiwa Khavalani</v>
      </c>
      <c r="E484" s="26">
        <f>Auto_Roster!E484</f>
        <v>0</v>
      </c>
      <c r="F484" s="26" t="e">
        <f>Auto_Roster!G484</f>
        <v>#N/A</v>
      </c>
      <c r="G484" s="33" t="e">
        <f>Auto_Roster!J484</f>
        <v>#N/A</v>
      </c>
      <c r="H484" s="33" t="e">
        <f>IF(G484&gt;Settings!$B$19,G484-Settings!$B$19,0)</f>
        <v>#N/A</v>
      </c>
      <c r="I484" s="33" t="e">
        <f t="shared" si="28"/>
        <v>#N/A</v>
      </c>
      <c r="J484" s="33">
        <f>IF(Auto_Roster!M484="Y",G484,0)</f>
        <v>0</v>
      </c>
      <c r="K484" s="33">
        <f>IF(Auto_Roster!L484="Y",G484,0)</f>
        <v>0</v>
      </c>
      <c r="L484" s="26" t="str">
        <f>Auto_Roster!K484</f>
        <v>N</v>
      </c>
      <c r="M484" s="34">
        <f>IF(L484="Y",Settings!$B$16,0)</f>
        <v>0</v>
      </c>
      <c r="N484" s="33" t="e">
        <f t="shared" si="29"/>
        <v>#N/A</v>
      </c>
      <c r="O484" s="34" t="e">
        <f>N484*Settings!$B$17</f>
        <v>#N/A</v>
      </c>
      <c r="P484" s="34">
        <f>IFERROR(VLOOKUP(C484,Employees!$A$4:$E$103,5,FALSE),Settings!$B$18)</f>
        <v>100</v>
      </c>
      <c r="Q484" s="34" t="e">
        <f t="shared" si="30"/>
        <v>#N/A</v>
      </c>
      <c r="R484" s="34" t="e">
        <f>H484*P484*Settings!$B$13</f>
        <v>#N/A</v>
      </c>
      <c r="S484" s="34">
        <f>J484*P484*(Settings!$B$14-1)</f>
        <v>0</v>
      </c>
      <c r="T484" s="34">
        <f>K484*P484*(Settings!$B$15-1)</f>
        <v>0</v>
      </c>
      <c r="U484" s="34" t="e">
        <f t="shared" si="31"/>
        <v>#N/A</v>
      </c>
      <c r="V484" s="26" t="str">
        <f>Auto_Roster!O484</f>
        <v>Pending</v>
      </c>
      <c r="W484" s="26" t="e">
        <f ca="1">_xludf.TEXTJOIN("; ",TRUE,Auto_Roster!N484,IF(G484&gt;Settings!$B$19,"Approval required &gt; standard hours",""),IF(AND(F484&lt;&gt;"Off",G484=0),"Missing claimed hours",""))</f>
        <v>#NAME?</v>
      </c>
      <c r="X484" s="7"/>
    </row>
    <row r="485" spans="1:24" x14ac:dyDescent="0.35">
      <c r="A485" s="31">
        <f>Auto_Roster!A485</f>
        <v>46167</v>
      </c>
      <c r="B485" s="31">
        <f>Auto_Roster!B485</f>
        <v>46167</v>
      </c>
      <c r="C485" s="26" t="str">
        <f>Auto_Roster!C485</f>
        <v>E002</v>
      </c>
      <c r="D485" s="26" t="str">
        <f>Auto_Roster!D485</f>
        <v>Mpho  Nembemhia</v>
      </c>
      <c r="E485" s="26" t="str">
        <f>Auto_Roster!E485</f>
        <v>B</v>
      </c>
      <c r="F485" s="26" t="str">
        <f>Auto_Roster!G485</f>
        <v>Off</v>
      </c>
      <c r="G485" s="33">
        <f>Auto_Roster!J485</f>
        <v>0</v>
      </c>
      <c r="H485" s="33">
        <f>IF(G485&gt;Settings!$B$19,G485-Settings!$B$19,0)</f>
        <v>0</v>
      </c>
      <c r="I485" s="33">
        <f t="shared" si="28"/>
        <v>0</v>
      </c>
      <c r="J485" s="33">
        <f>IF(Auto_Roster!M485="Y",G485,0)</f>
        <v>0</v>
      </c>
      <c r="K485" s="33">
        <f>IF(Auto_Roster!L485="Y",G485,0)</f>
        <v>0</v>
      </c>
      <c r="L485" s="26" t="str">
        <f>Auto_Roster!K485</f>
        <v>N</v>
      </c>
      <c r="M485" s="34">
        <f>IF(L485="Y",Settings!$B$16,0)</f>
        <v>0</v>
      </c>
      <c r="N485" s="33">
        <f t="shared" si="29"/>
        <v>0</v>
      </c>
      <c r="O485" s="34">
        <f>N485*Settings!$B$17</f>
        <v>0</v>
      </c>
      <c r="P485" s="34">
        <f>IFERROR(VLOOKUP(C485,Employees!$A$4:$E$103,5,FALSE),Settings!$B$18)</f>
        <v>100</v>
      </c>
      <c r="Q485" s="34">
        <f t="shared" si="30"/>
        <v>0</v>
      </c>
      <c r="R485" s="34">
        <f>H485*P485*Settings!$B$13</f>
        <v>0</v>
      </c>
      <c r="S485" s="34">
        <f>J485*P485*(Settings!$B$14-1)</f>
        <v>0</v>
      </c>
      <c r="T485" s="34">
        <f>K485*P485*(Settings!$B$15-1)</f>
        <v>0</v>
      </c>
      <c r="U485" s="34">
        <f t="shared" si="31"/>
        <v>0</v>
      </c>
      <c r="V485" s="26" t="str">
        <f>Auto_Roster!O485</f>
        <v>Pending</v>
      </c>
      <c r="W485" s="26" t="e">
        <f ca="1">_xludf.TEXTJOIN("; ",TRUE,Auto_Roster!N485,IF(G485&gt;Settings!$B$19,"Approval required &gt; standard hours",""),IF(AND(F485&lt;&gt;"Off",G485=0),"Missing claimed hours",""))</f>
        <v>#NAME?</v>
      </c>
      <c r="X485" s="7"/>
    </row>
    <row r="486" spans="1:24" x14ac:dyDescent="0.35">
      <c r="A486" s="31">
        <f>Auto_Roster!A486</f>
        <v>46167</v>
      </c>
      <c r="B486" s="31">
        <f>Auto_Roster!B486</f>
        <v>46167</v>
      </c>
      <c r="C486" s="26" t="str">
        <f>Auto_Roster!C486</f>
        <v>E003</v>
      </c>
      <c r="D486" s="26" t="str">
        <f>Auto_Roster!D486</f>
        <v>Dimpho Makhafola</v>
      </c>
      <c r="E486" s="26" t="str">
        <f>Auto_Roster!E486</f>
        <v>C</v>
      </c>
      <c r="F486" s="26" t="str">
        <f>Auto_Roster!G486</f>
        <v>Evening</v>
      </c>
      <c r="G486" s="33">
        <f>Auto_Roster!J486</f>
        <v>8</v>
      </c>
      <c r="H486" s="33">
        <f>IF(G486&gt;Settings!$B$19,G486-Settings!$B$19,0)</f>
        <v>0</v>
      </c>
      <c r="I486" s="33">
        <f t="shared" si="28"/>
        <v>8</v>
      </c>
      <c r="J486" s="33">
        <f>IF(Auto_Roster!M486="Y",G486,0)</f>
        <v>0</v>
      </c>
      <c r="K486" s="33">
        <f>IF(Auto_Roster!L486="Y",G486,0)</f>
        <v>0</v>
      </c>
      <c r="L486" s="26" t="str">
        <f>Auto_Roster!K486</f>
        <v>N</v>
      </c>
      <c r="M486" s="34">
        <f>IF(L486="Y",Settings!$B$16,0)</f>
        <v>0</v>
      </c>
      <c r="N486" s="33">
        <f t="shared" si="29"/>
        <v>0</v>
      </c>
      <c r="O486" s="34">
        <f>N486*Settings!$B$17</f>
        <v>0</v>
      </c>
      <c r="P486" s="34">
        <f>IFERROR(VLOOKUP(C486,Employees!$A$4:$E$103,5,FALSE),Settings!$B$18)</f>
        <v>100</v>
      </c>
      <c r="Q486" s="34">
        <f t="shared" si="30"/>
        <v>800</v>
      </c>
      <c r="R486" s="34">
        <f>H486*P486*Settings!$B$13</f>
        <v>0</v>
      </c>
      <c r="S486" s="34">
        <f>J486*P486*(Settings!$B$14-1)</f>
        <v>0</v>
      </c>
      <c r="T486" s="34">
        <f>K486*P486*(Settings!$B$15-1)</f>
        <v>0</v>
      </c>
      <c r="U486" s="34">
        <f t="shared" si="31"/>
        <v>800</v>
      </c>
      <c r="V486" s="26" t="str">
        <f>Auto_Roster!O486</f>
        <v>Pending</v>
      </c>
      <c r="W486" s="26" t="e">
        <f ca="1">_xludf.TEXTJOIN("; ",TRUE,Auto_Roster!N486,IF(G486&gt;Settings!$B$19,"Approval required &gt; standard hours",""),IF(AND(F486&lt;&gt;"Off",G486=0),"Missing claimed hours",""))</f>
        <v>#NAME?</v>
      </c>
      <c r="X486" s="7"/>
    </row>
    <row r="487" spans="1:24" x14ac:dyDescent="0.35">
      <c r="A487" s="31">
        <f>Auto_Roster!A487</f>
        <v>46167</v>
      </c>
      <c r="B487" s="31">
        <f>Auto_Roster!B487</f>
        <v>46167</v>
      </c>
      <c r="C487" s="26" t="str">
        <f>Auto_Roster!C487</f>
        <v>E004</v>
      </c>
      <c r="D487" s="26" t="str">
        <f>Auto_Roster!D487</f>
        <v>Bashii Fall</v>
      </c>
      <c r="E487" s="26" t="str">
        <f>Auto_Roster!E487</f>
        <v>D</v>
      </c>
      <c r="F487" s="26" t="str">
        <f>Auto_Roster!G487</f>
        <v>Night</v>
      </c>
      <c r="G487" s="33">
        <f>Auto_Roster!J487</f>
        <v>8</v>
      </c>
      <c r="H487" s="33">
        <f>IF(G487&gt;Settings!$B$19,G487-Settings!$B$19,0)</f>
        <v>0</v>
      </c>
      <c r="I487" s="33">
        <f t="shared" si="28"/>
        <v>8</v>
      </c>
      <c r="J487" s="33">
        <f>IF(Auto_Roster!M487="Y",G487,0)</f>
        <v>0</v>
      </c>
      <c r="K487" s="33">
        <f>IF(Auto_Roster!L487="Y",G487,0)</f>
        <v>0</v>
      </c>
      <c r="L487" s="26" t="str">
        <f>Auto_Roster!K487</f>
        <v>N</v>
      </c>
      <c r="M487" s="34">
        <f>IF(L487="Y",Settings!$B$16,0)</f>
        <v>0</v>
      </c>
      <c r="N487" s="33">
        <f t="shared" si="29"/>
        <v>8</v>
      </c>
      <c r="O487" s="34">
        <f>N487*Settings!$B$17</f>
        <v>0</v>
      </c>
      <c r="P487" s="34">
        <f>IFERROR(VLOOKUP(C487,Employees!$A$4:$E$103,5,FALSE),Settings!$B$18)</f>
        <v>100</v>
      </c>
      <c r="Q487" s="34">
        <f t="shared" si="30"/>
        <v>800</v>
      </c>
      <c r="R487" s="34">
        <f>H487*P487*Settings!$B$13</f>
        <v>0</v>
      </c>
      <c r="S487" s="34">
        <f>J487*P487*(Settings!$B$14-1)</f>
        <v>0</v>
      </c>
      <c r="T487" s="34">
        <f>K487*P487*(Settings!$B$15-1)</f>
        <v>0</v>
      </c>
      <c r="U487" s="34">
        <f t="shared" si="31"/>
        <v>800</v>
      </c>
      <c r="V487" s="26" t="str">
        <f>Auto_Roster!O487</f>
        <v>Pending</v>
      </c>
      <c r="W487" s="26" t="e">
        <f ca="1">_xludf.TEXTJOIN("; ",TRUE,Auto_Roster!N487,IF(G487&gt;Settings!$B$19,"Approval required &gt; standard hours",""),IF(AND(F487&lt;&gt;"Off",G487=0),"Missing claimed hours",""))</f>
        <v>#NAME?</v>
      </c>
      <c r="X487" s="7"/>
    </row>
    <row r="488" spans="1:24" x14ac:dyDescent="0.35">
      <c r="A488" s="31">
        <f>Auto_Roster!A488</f>
        <v>46167</v>
      </c>
      <c r="B488" s="31">
        <f>Auto_Roster!B488</f>
        <v>46167</v>
      </c>
      <c r="C488" s="26" t="str">
        <f>Auto_Roster!C488</f>
        <v>E005</v>
      </c>
      <c r="D488" s="26" t="str">
        <f>Auto_Roster!D488</f>
        <v>Lesego Aphane</v>
      </c>
      <c r="E488" s="26" t="str">
        <f>Auto_Roster!E488</f>
        <v>A</v>
      </c>
      <c r="F488" s="26" t="str">
        <f>Auto_Roster!G488</f>
        <v>Day</v>
      </c>
      <c r="G488" s="33">
        <f>Auto_Roster!J488</f>
        <v>8</v>
      </c>
      <c r="H488" s="33">
        <f>IF(G488&gt;Settings!$B$19,G488-Settings!$B$19,0)</f>
        <v>0</v>
      </c>
      <c r="I488" s="33">
        <f t="shared" si="28"/>
        <v>8</v>
      </c>
      <c r="J488" s="33">
        <f>IF(Auto_Roster!M488="Y",G488,0)</f>
        <v>0</v>
      </c>
      <c r="K488" s="33">
        <f>IF(Auto_Roster!L488="Y",G488,0)</f>
        <v>0</v>
      </c>
      <c r="L488" s="26" t="str">
        <f>Auto_Roster!K488</f>
        <v>N</v>
      </c>
      <c r="M488" s="34">
        <f>IF(L488="Y",Settings!$B$16,0)</f>
        <v>0</v>
      </c>
      <c r="N488" s="33">
        <f t="shared" si="29"/>
        <v>0</v>
      </c>
      <c r="O488" s="34">
        <f>N488*Settings!$B$17</f>
        <v>0</v>
      </c>
      <c r="P488" s="34">
        <f>IFERROR(VLOOKUP(C488,Employees!$A$4:$E$103,5,FALSE),Settings!$B$18)</f>
        <v>100</v>
      </c>
      <c r="Q488" s="34">
        <f t="shared" si="30"/>
        <v>800</v>
      </c>
      <c r="R488" s="34">
        <f>H488*P488*Settings!$B$13</f>
        <v>0</v>
      </c>
      <c r="S488" s="34">
        <f>J488*P488*(Settings!$B$14-1)</f>
        <v>0</v>
      </c>
      <c r="T488" s="34">
        <f>K488*P488*(Settings!$B$15-1)</f>
        <v>0</v>
      </c>
      <c r="U488" s="34">
        <f t="shared" si="31"/>
        <v>800</v>
      </c>
      <c r="V488" s="26" t="str">
        <f>Auto_Roster!O488</f>
        <v>Pending</v>
      </c>
      <c r="W488" s="26" t="e">
        <f ca="1">_xludf.TEXTJOIN("; ",TRUE,Auto_Roster!N488,IF(G488&gt;Settings!$B$19,"Approval required &gt; standard hours",""),IF(AND(F488&lt;&gt;"Off",G488=0),"Missing claimed hours",""))</f>
        <v>#NAME?</v>
      </c>
      <c r="X488" s="7"/>
    </row>
    <row r="489" spans="1:24" x14ac:dyDescent="0.35">
      <c r="A489" s="31">
        <f>Auto_Roster!A489</f>
        <v>46167</v>
      </c>
      <c r="B489" s="31">
        <f>Auto_Roster!B489</f>
        <v>46167</v>
      </c>
      <c r="C489" s="26" t="str">
        <f>Auto_Roster!C489</f>
        <v>E006</v>
      </c>
      <c r="D489" s="26" t="str">
        <f>Auto_Roster!D489</f>
        <v>Nhalnahla</v>
      </c>
      <c r="E489" s="26" t="str">
        <f>Auto_Roster!E489</f>
        <v>B</v>
      </c>
      <c r="F489" s="26" t="str">
        <f>Auto_Roster!G489</f>
        <v>Off</v>
      </c>
      <c r="G489" s="33">
        <f>Auto_Roster!J489</f>
        <v>0</v>
      </c>
      <c r="H489" s="33">
        <f>IF(G489&gt;Settings!$B$19,G489-Settings!$B$19,0)</f>
        <v>0</v>
      </c>
      <c r="I489" s="33">
        <f t="shared" si="28"/>
        <v>0</v>
      </c>
      <c r="J489" s="33">
        <f>IF(Auto_Roster!M489="Y",G489,0)</f>
        <v>0</v>
      </c>
      <c r="K489" s="33">
        <f>IF(Auto_Roster!L489="Y",G489,0)</f>
        <v>0</v>
      </c>
      <c r="L489" s="26" t="str">
        <f>Auto_Roster!K489</f>
        <v>N</v>
      </c>
      <c r="M489" s="34">
        <f>IF(L489="Y",Settings!$B$16,0)</f>
        <v>0</v>
      </c>
      <c r="N489" s="33">
        <f t="shared" si="29"/>
        <v>0</v>
      </c>
      <c r="O489" s="34">
        <f>N489*Settings!$B$17</f>
        <v>0</v>
      </c>
      <c r="P489" s="34">
        <f>IFERROR(VLOOKUP(C489,Employees!$A$4:$E$103,5,FALSE),Settings!$B$18)</f>
        <v>100</v>
      </c>
      <c r="Q489" s="34">
        <f t="shared" si="30"/>
        <v>0</v>
      </c>
      <c r="R489" s="34">
        <f>H489*P489*Settings!$B$13</f>
        <v>0</v>
      </c>
      <c r="S489" s="34">
        <f>J489*P489*(Settings!$B$14-1)</f>
        <v>0</v>
      </c>
      <c r="T489" s="34">
        <f>K489*P489*(Settings!$B$15-1)</f>
        <v>0</v>
      </c>
      <c r="U489" s="34">
        <f t="shared" si="31"/>
        <v>0</v>
      </c>
      <c r="V489" s="26" t="str">
        <f>Auto_Roster!O489</f>
        <v>Pending</v>
      </c>
      <c r="W489" s="26" t="e">
        <f ca="1">_xludf.TEXTJOIN("; ",TRUE,Auto_Roster!N489,IF(G489&gt;Settings!$B$19,"Approval required &gt; standard hours",""),IF(AND(F489&lt;&gt;"Off",G489=0),"Missing claimed hours",""))</f>
        <v>#NAME?</v>
      </c>
      <c r="X489" s="7"/>
    </row>
    <row r="490" spans="1:24" x14ac:dyDescent="0.35">
      <c r="A490" s="31">
        <f>Auto_Roster!A490</f>
        <v>46167</v>
      </c>
      <c r="B490" s="31">
        <f>Auto_Roster!B490</f>
        <v>46167</v>
      </c>
      <c r="C490" s="26" t="str">
        <f>Auto_Roster!C490</f>
        <v>E007</v>
      </c>
      <c r="D490" s="26" t="str">
        <f>Auto_Roster!D490</f>
        <v>Joe</v>
      </c>
      <c r="E490" s="26" t="str">
        <f>Auto_Roster!E490</f>
        <v>C</v>
      </c>
      <c r="F490" s="26" t="str">
        <f>Auto_Roster!G490</f>
        <v>Evening</v>
      </c>
      <c r="G490" s="33">
        <f>Auto_Roster!J490</f>
        <v>8</v>
      </c>
      <c r="H490" s="33">
        <f>IF(G490&gt;Settings!$B$19,G490-Settings!$B$19,0)</f>
        <v>0</v>
      </c>
      <c r="I490" s="33">
        <f t="shared" si="28"/>
        <v>8</v>
      </c>
      <c r="J490" s="33">
        <f>IF(Auto_Roster!M490="Y",G490,0)</f>
        <v>0</v>
      </c>
      <c r="K490" s="33">
        <f>IF(Auto_Roster!L490="Y",G490,0)</f>
        <v>0</v>
      </c>
      <c r="L490" s="26" t="str">
        <f>Auto_Roster!K490</f>
        <v>N</v>
      </c>
      <c r="M490" s="34">
        <f>IF(L490="Y",Settings!$B$16,0)</f>
        <v>0</v>
      </c>
      <c r="N490" s="33">
        <f t="shared" si="29"/>
        <v>0</v>
      </c>
      <c r="O490" s="34">
        <f>N490*Settings!$B$17</f>
        <v>0</v>
      </c>
      <c r="P490" s="34">
        <f>IFERROR(VLOOKUP(C490,Employees!$A$4:$E$103,5,FALSE),Settings!$B$18)</f>
        <v>100</v>
      </c>
      <c r="Q490" s="34">
        <f t="shared" si="30"/>
        <v>800</v>
      </c>
      <c r="R490" s="34">
        <f>H490*P490*Settings!$B$13</f>
        <v>0</v>
      </c>
      <c r="S490" s="34">
        <f>J490*P490*(Settings!$B$14-1)</f>
        <v>0</v>
      </c>
      <c r="T490" s="34">
        <f>K490*P490*(Settings!$B$15-1)</f>
        <v>0</v>
      </c>
      <c r="U490" s="34">
        <f t="shared" si="31"/>
        <v>800</v>
      </c>
      <c r="V490" s="26" t="str">
        <f>Auto_Roster!O490</f>
        <v>Pending</v>
      </c>
      <c r="W490" s="26" t="e">
        <f ca="1">_xludf.TEXTJOIN("; ",TRUE,Auto_Roster!N490,IF(G490&gt;Settings!$B$19,"Approval required &gt; standard hours",""),IF(AND(F490&lt;&gt;"Off",G490=0),"Missing claimed hours",""))</f>
        <v>#NAME?</v>
      </c>
      <c r="X490" s="7"/>
    </row>
    <row r="491" spans="1:24" x14ac:dyDescent="0.35">
      <c r="A491" s="31">
        <f>Auto_Roster!A491</f>
        <v>46167</v>
      </c>
      <c r="B491" s="31">
        <f>Auto_Roster!B491</f>
        <v>46167</v>
      </c>
      <c r="C491" s="26" t="str">
        <f>Auto_Roster!C491</f>
        <v>E008</v>
      </c>
      <c r="D491" s="26" t="str">
        <f>Auto_Roster!D491</f>
        <v>Tim</v>
      </c>
      <c r="E491" s="26" t="str">
        <f>Auto_Roster!E491</f>
        <v>D</v>
      </c>
      <c r="F491" s="26" t="str">
        <f>Auto_Roster!G491</f>
        <v>Night</v>
      </c>
      <c r="G491" s="33">
        <f>Auto_Roster!J491</f>
        <v>8</v>
      </c>
      <c r="H491" s="33">
        <f>IF(G491&gt;Settings!$B$19,G491-Settings!$B$19,0)</f>
        <v>0</v>
      </c>
      <c r="I491" s="33">
        <f t="shared" si="28"/>
        <v>8</v>
      </c>
      <c r="J491" s="33">
        <f>IF(Auto_Roster!M491="Y",G491,0)</f>
        <v>0</v>
      </c>
      <c r="K491" s="33">
        <f>IF(Auto_Roster!L491="Y",G491,0)</f>
        <v>0</v>
      </c>
      <c r="L491" s="26" t="str">
        <f>Auto_Roster!K491</f>
        <v>N</v>
      </c>
      <c r="M491" s="34">
        <f>IF(L491="Y",Settings!$B$16,0)</f>
        <v>0</v>
      </c>
      <c r="N491" s="33">
        <f t="shared" si="29"/>
        <v>8</v>
      </c>
      <c r="O491" s="34">
        <f>N491*Settings!$B$17</f>
        <v>0</v>
      </c>
      <c r="P491" s="34">
        <f>IFERROR(VLOOKUP(C491,Employees!$A$4:$E$103,5,FALSE),Settings!$B$18)</f>
        <v>100</v>
      </c>
      <c r="Q491" s="34">
        <f t="shared" si="30"/>
        <v>800</v>
      </c>
      <c r="R491" s="34">
        <f>H491*P491*Settings!$B$13</f>
        <v>0</v>
      </c>
      <c r="S491" s="34">
        <f>J491*P491*(Settings!$B$14-1)</f>
        <v>0</v>
      </c>
      <c r="T491" s="34">
        <f>K491*P491*(Settings!$B$15-1)</f>
        <v>0</v>
      </c>
      <c r="U491" s="34">
        <f t="shared" si="31"/>
        <v>800</v>
      </c>
      <c r="V491" s="26" t="str">
        <f>Auto_Roster!O491</f>
        <v>Pending</v>
      </c>
      <c r="W491" s="26" t="e">
        <f ca="1">_xludf.TEXTJOIN("; ",TRUE,Auto_Roster!N491,IF(G491&gt;Settings!$B$19,"Approval required &gt; standard hours",""),IF(AND(F491&lt;&gt;"Off",G491=0),"Missing claimed hours",""))</f>
        <v>#NAME?</v>
      </c>
      <c r="X491" s="7"/>
    </row>
    <row r="492" spans="1:24" x14ac:dyDescent="0.35">
      <c r="A492" s="31">
        <f>Auto_Roster!A492</f>
        <v>46167</v>
      </c>
      <c r="B492" s="31">
        <f>Auto_Roster!B492</f>
        <v>46167</v>
      </c>
      <c r="C492" s="26" t="str">
        <f>Auto_Roster!C492</f>
        <v>E009</v>
      </c>
      <c r="D492" s="26" t="str">
        <f>Auto_Roster!D492</f>
        <v>Frank</v>
      </c>
      <c r="E492" s="26" t="str">
        <f>Auto_Roster!E492</f>
        <v>A</v>
      </c>
      <c r="F492" s="26" t="str">
        <f>Auto_Roster!G492</f>
        <v>Day</v>
      </c>
      <c r="G492" s="33">
        <f>Auto_Roster!J492</f>
        <v>8</v>
      </c>
      <c r="H492" s="33">
        <f>IF(G492&gt;Settings!$B$19,G492-Settings!$B$19,0)</f>
        <v>0</v>
      </c>
      <c r="I492" s="33">
        <f t="shared" si="28"/>
        <v>8</v>
      </c>
      <c r="J492" s="33">
        <f>IF(Auto_Roster!M492="Y",G492,0)</f>
        <v>0</v>
      </c>
      <c r="K492" s="33">
        <f>IF(Auto_Roster!L492="Y",G492,0)</f>
        <v>0</v>
      </c>
      <c r="L492" s="26" t="str">
        <f>Auto_Roster!K492</f>
        <v>N</v>
      </c>
      <c r="M492" s="34">
        <f>IF(L492="Y",Settings!$B$16,0)</f>
        <v>0</v>
      </c>
      <c r="N492" s="33">
        <f t="shared" si="29"/>
        <v>0</v>
      </c>
      <c r="O492" s="34">
        <f>N492*Settings!$B$17</f>
        <v>0</v>
      </c>
      <c r="P492" s="34">
        <f>IFERROR(VLOOKUP(C492,Employees!$A$4:$E$103,5,FALSE),Settings!$B$18)</f>
        <v>100</v>
      </c>
      <c r="Q492" s="34">
        <f t="shared" si="30"/>
        <v>800</v>
      </c>
      <c r="R492" s="34">
        <f>H492*P492*Settings!$B$13</f>
        <v>0</v>
      </c>
      <c r="S492" s="34">
        <f>J492*P492*(Settings!$B$14-1)</f>
        <v>0</v>
      </c>
      <c r="T492" s="34">
        <f>K492*P492*(Settings!$B$15-1)</f>
        <v>0</v>
      </c>
      <c r="U492" s="34">
        <f t="shared" si="31"/>
        <v>800</v>
      </c>
      <c r="V492" s="26" t="str">
        <f>Auto_Roster!O492</f>
        <v>Pending</v>
      </c>
      <c r="W492" s="26" t="e">
        <f ca="1">_xludf.TEXTJOIN("; ",TRUE,Auto_Roster!N492,IF(G492&gt;Settings!$B$19,"Approval required &gt; standard hours",""),IF(AND(F492&lt;&gt;"Off",G492=0),"Missing claimed hours",""))</f>
        <v>#NAME?</v>
      </c>
      <c r="X492" s="7"/>
    </row>
    <row r="493" spans="1:24" x14ac:dyDescent="0.35">
      <c r="A493" s="31">
        <f>Auto_Roster!A493</f>
        <v>46167</v>
      </c>
      <c r="B493" s="31">
        <f>Auto_Roster!B493</f>
        <v>46167</v>
      </c>
      <c r="C493" s="26" t="str">
        <f>Auto_Roster!C493</f>
        <v/>
      </c>
      <c r="D493" s="26" t="str">
        <f>Auto_Roster!D493</f>
        <v/>
      </c>
      <c r="E493" s="26" t="str">
        <f>Auto_Roster!E493</f>
        <v/>
      </c>
      <c r="F493" s="26" t="str">
        <f>Auto_Roster!G493</f>
        <v/>
      </c>
      <c r="G493" s="33">
        <f>Auto_Roster!J493</f>
        <v>0</v>
      </c>
      <c r="H493" s="33">
        <f>IF(G493&gt;Settings!$B$19,G493-Settings!$B$19,0)</f>
        <v>0</v>
      </c>
      <c r="I493" s="33">
        <f t="shared" si="28"/>
        <v>0</v>
      </c>
      <c r="J493" s="33">
        <f>IF(Auto_Roster!M493="Y",G493,0)</f>
        <v>0</v>
      </c>
      <c r="K493" s="33">
        <f>IF(Auto_Roster!L493="Y",G493,0)</f>
        <v>0</v>
      </c>
      <c r="L493" s="26" t="str">
        <f>Auto_Roster!K493</f>
        <v>N</v>
      </c>
      <c r="M493" s="34">
        <f>IF(L493="Y",Settings!$B$16,0)</f>
        <v>0</v>
      </c>
      <c r="N493" s="33">
        <f t="shared" si="29"/>
        <v>0</v>
      </c>
      <c r="O493" s="34">
        <f>N493*Settings!$B$17</f>
        <v>0</v>
      </c>
      <c r="P493" s="34">
        <f>IFERROR(VLOOKUP(C493,Employees!$A$4:$E$103,5,FALSE),Settings!$B$18)</f>
        <v>100</v>
      </c>
      <c r="Q493" s="34">
        <f t="shared" si="30"/>
        <v>0</v>
      </c>
      <c r="R493" s="34">
        <f>H493*P493*Settings!$B$13</f>
        <v>0</v>
      </c>
      <c r="S493" s="34">
        <f>J493*P493*(Settings!$B$14-1)</f>
        <v>0</v>
      </c>
      <c r="T493" s="34">
        <f>K493*P493*(Settings!$B$15-1)</f>
        <v>0</v>
      </c>
      <c r="U493" s="34">
        <f t="shared" si="31"/>
        <v>0</v>
      </c>
      <c r="V493" s="26" t="str">
        <f>Auto_Roster!O493</f>
        <v>Pending</v>
      </c>
      <c r="W493" s="26" t="e">
        <f ca="1">_xludf.TEXTJOIN("; ",TRUE,Auto_Roster!N493,IF(G493&gt;Settings!$B$19,"Approval required &gt; standard hours",""),IF(AND(F493&lt;&gt;"Off",G493=0),"Missing claimed hours",""))</f>
        <v>#NAME?</v>
      </c>
      <c r="X493" s="7"/>
    </row>
    <row r="494" spans="1:24" x14ac:dyDescent="0.35">
      <c r="A494" s="31">
        <f>Auto_Roster!A494</f>
        <v>46167</v>
      </c>
      <c r="B494" s="31">
        <f>Auto_Roster!B494</f>
        <v>46167</v>
      </c>
      <c r="C494" s="26" t="str">
        <f>Auto_Roster!C494</f>
        <v/>
      </c>
      <c r="D494" s="26" t="str">
        <f>Auto_Roster!D494</f>
        <v/>
      </c>
      <c r="E494" s="26" t="str">
        <f>Auto_Roster!E494</f>
        <v/>
      </c>
      <c r="F494" s="26" t="str">
        <f>Auto_Roster!G494</f>
        <v/>
      </c>
      <c r="G494" s="33">
        <f>Auto_Roster!J494</f>
        <v>0</v>
      </c>
      <c r="H494" s="33">
        <f>IF(G494&gt;Settings!$B$19,G494-Settings!$B$19,0)</f>
        <v>0</v>
      </c>
      <c r="I494" s="33">
        <f t="shared" si="28"/>
        <v>0</v>
      </c>
      <c r="J494" s="33">
        <f>IF(Auto_Roster!M494="Y",G494,0)</f>
        <v>0</v>
      </c>
      <c r="K494" s="33">
        <f>IF(Auto_Roster!L494="Y",G494,0)</f>
        <v>0</v>
      </c>
      <c r="L494" s="26" t="str">
        <f>Auto_Roster!K494</f>
        <v>N</v>
      </c>
      <c r="M494" s="34">
        <f>IF(L494="Y",Settings!$B$16,0)</f>
        <v>0</v>
      </c>
      <c r="N494" s="33">
        <f t="shared" si="29"/>
        <v>0</v>
      </c>
      <c r="O494" s="34">
        <f>N494*Settings!$B$17</f>
        <v>0</v>
      </c>
      <c r="P494" s="34">
        <f>IFERROR(VLOOKUP(C494,Employees!$A$4:$E$103,5,FALSE),Settings!$B$18)</f>
        <v>100</v>
      </c>
      <c r="Q494" s="34">
        <f t="shared" si="30"/>
        <v>0</v>
      </c>
      <c r="R494" s="34">
        <f>H494*P494*Settings!$B$13</f>
        <v>0</v>
      </c>
      <c r="S494" s="34">
        <f>J494*P494*(Settings!$B$14-1)</f>
        <v>0</v>
      </c>
      <c r="T494" s="34">
        <f>K494*P494*(Settings!$B$15-1)</f>
        <v>0</v>
      </c>
      <c r="U494" s="34">
        <f t="shared" si="31"/>
        <v>0</v>
      </c>
      <c r="V494" s="26" t="str">
        <f>Auto_Roster!O494</f>
        <v>Pending</v>
      </c>
      <c r="W494" s="26" t="e">
        <f ca="1">_xludf.TEXTJOIN("; ",TRUE,Auto_Roster!N494,IF(G494&gt;Settings!$B$19,"Approval required &gt; standard hours",""),IF(AND(F494&lt;&gt;"Off",G494=0),"Missing claimed hours",""))</f>
        <v>#NAME?</v>
      </c>
      <c r="X494" s="7"/>
    </row>
    <row r="495" spans="1:24" x14ac:dyDescent="0.35">
      <c r="A495" s="31">
        <f>Auto_Roster!A495</f>
        <v>46167</v>
      </c>
      <c r="B495" s="31">
        <f>Auto_Roster!B495</f>
        <v>46167</v>
      </c>
      <c r="C495" s="26" t="str">
        <f>Auto_Roster!C495</f>
        <v/>
      </c>
      <c r="D495" s="26" t="str">
        <f>Auto_Roster!D495</f>
        <v/>
      </c>
      <c r="E495" s="26" t="str">
        <f>Auto_Roster!E495</f>
        <v/>
      </c>
      <c r="F495" s="26" t="str">
        <f>Auto_Roster!G495</f>
        <v/>
      </c>
      <c r="G495" s="33">
        <f>Auto_Roster!J495</f>
        <v>0</v>
      </c>
      <c r="H495" s="33">
        <f>IF(G495&gt;Settings!$B$19,G495-Settings!$B$19,0)</f>
        <v>0</v>
      </c>
      <c r="I495" s="33">
        <f t="shared" si="28"/>
        <v>0</v>
      </c>
      <c r="J495" s="33">
        <f>IF(Auto_Roster!M495="Y",G495,0)</f>
        <v>0</v>
      </c>
      <c r="K495" s="33">
        <f>IF(Auto_Roster!L495="Y",G495,0)</f>
        <v>0</v>
      </c>
      <c r="L495" s="26" t="str">
        <f>Auto_Roster!K495</f>
        <v>N</v>
      </c>
      <c r="M495" s="34">
        <f>IF(L495="Y",Settings!$B$16,0)</f>
        <v>0</v>
      </c>
      <c r="N495" s="33">
        <f t="shared" si="29"/>
        <v>0</v>
      </c>
      <c r="O495" s="34">
        <f>N495*Settings!$B$17</f>
        <v>0</v>
      </c>
      <c r="P495" s="34">
        <f>IFERROR(VLOOKUP(C495,Employees!$A$4:$E$103,5,FALSE),Settings!$B$18)</f>
        <v>100</v>
      </c>
      <c r="Q495" s="34">
        <f t="shared" si="30"/>
        <v>0</v>
      </c>
      <c r="R495" s="34">
        <f>H495*P495*Settings!$B$13</f>
        <v>0</v>
      </c>
      <c r="S495" s="34">
        <f>J495*P495*(Settings!$B$14-1)</f>
        <v>0</v>
      </c>
      <c r="T495" s="34">
        <f>K495*P495*(Settings!$B$15-1)</f>
        <v>0</v>
      </c>
      <c r="U495" s="34">
        <f t="shared" si="31"/>
        <v>0</v>
      </c>
      <c r="V495" s="26" t="str">
        <f>Auto_Roster!O495</f>
        <v>Pending</v>
      </c>
      <c r="W495" s="26" t="e">
        <f ca="1">_xludf.TEXTJOIN("; ",TRUE,Auto_Roster!N495,IF(G495&gt;Settings!$B$19,"Approval required &gt; standard hours",""),IF(AND(F495&lt;&gt;"Off",G495=0),"Missing claimed hours",""))</f>
        <v>#NAME?</v>
      </c>
      <c r="X495" s="7"/>
    </row>
    <row r="496" spans="1:24" x14ac:dyDescent="0.35">
      <c r="A496" s="31">
        <f>Auto_Roster!A496</f>
        <v>46167</v>
      </c>
      <c r="B496" s="31">
        <f>Auto_Roster!B496</f>
        <v>46167</v>
      </c>
      <c r="C496" s="26" t="str">
        <f>Auto_Roster!C496</f>
        <v/>
      </c>
      <c r="D496" s="26" t="str">
        <f>Auto_Roster!D496</f>
        <v/>
      </c>
      <c r="E496" s="26" t="str">
        <f>Auto_Roster!E496</f>
        <v/>
      </c>
      <c r="F496" s="26" t="str">
        <f>Auto_Roster!G496</f>
        <v/>
      </c>
      <c r="G496" s="33">
        <f>Auto_Roster!J496</f>
        <v>0</v>
      </c>
      <c r="H496" s="33">
        <f>IF(G496&gt;Settings!$B$19,G496-Settings!$B$19,0)</f>
        <v>0</v>
      </c>
      <c r="I496" s="33">
        <f t="shared" si="28"/>
        <v>0</v>
      </c>
      <c r="J496" s="33">
        <f>IF(Auto_Roster!M496="Y",G496,0)</f>
        <v>0</v>
      </c>
      <c r="K496" s="33">
        <f>IF(Auto_Roster!L496="Y",G496,0)</f>
        <v>0</v>
      </c>
      <c r="L496" s="26" t="str">
        <f>Auto_Roster!K496</f>
        <v>N</v>
      </c>
      <c r="M496" s="34">
        <f>IF(L496="Y",Settings!$B$16,0)</f>
        <v>0</v>
      </c>
      <c r="N496" s="33">
        <f t="shared" si="29"/>
        <v>0</v>
      </c>
      <c r="O496" s="34">
        <f>N496*Settings!$B$17</f>
        <v>0</v>
      </c>
      <c r="P496" s="34">
        <f>IFERROR(VLOOKUP(C496,Employees!$A$4:$E$103,5,FALSE),Settings!$B$18)</f>
        <v>100</v>
      </c>
      <c r="Q496" s="34">
        <f t="shared" si="30"/>
        <v>0</v>
      </c>
      <c r="R496" s="34">
        <f>H496*P496*Settings!$B$13</f>
        <v>0</v>
      </c>
      <c r="S496" s="34">
        <f>J496*P496*(Settings!$B$14-1)</f>
        <v>0</v>
      </c>
      <c r="T496" s="34">
        <f>K496*P496*(Settings!$B$15-1)</f>
        <v>0</v>
      </c>
      <c r="U496" s="34">
        <f t="shared" si="31"/>
        <v>0</v>
      </c>
      <c r="V496" s="26" t="str">
        <f>Auto_Roster!O496</f>
        <v>Pending</v>
      </c>
      <c r="W496" s="26" t="e">
        <f ca="1">_xludf.TEXTJOIN("; ",TRUE,Auto_Roster!N496,IF(G496&gt;Settings!$B$19,"Approval required &gt; standard hours",""),IF(AND(F496&lt;&gt;"Off",G496=0),"Missing claimed hours",""))</f>
        <v>#NAME?</v>
      </c>
      <c r="X496" s="7"/>
    </row>
    <row r="497" spans="1:24" x14ac:dyDescent="0.35">
      <c r="A497" s="31">
        <f>Auto_Roster!A497</f>
        <v>46167</v>
      </c>
      <c r="B497" s="31">
        <f>Auto_Roster!B497</f>
        <v>46167</v>
      </c>
      <c r="C497" s="26" t="str">
        <f>Auto_Roster!C497</f>
        <v/>
      </c>
      <c r="D497" s="26" t="str">
        <f>Auto_Roster!D497</f>
        <v/>
      </c>
      <c r="E497" s="26" t="str">
        <f>Auto_Roster!E497</f>
        <v/>
      </c>
      <c r="F497" s="26" t="str">
        <f>Auto_Roster!G497</f>
        <v/>
      </c>
      <c r="G497" s="33">
        <f>Auto_Roster!J497</f>
        <v>0</v>
      </c>
      <c r="H497" s="33">
        <f>IF(G497&gt;Settings!$B$19,G497-Settings!$B$19,0)</f>
        <v>0</v>
      </c>
      <c r="I497" s="33">
        <f t="shared" si="28"/>
        <v>0</v>
      </c>
      <c r="J497" s="33">
        <f>IF(Auto_Roster!M497="Y",G497,0)</f>
        <v>0</v>
      </c>
      <c r="K497" s="33">
        <f>IF(Auto_Roster!L497="Y",G497,0)</f>
        <v>0</v>
      </c>
      <c r="L497" s="26" t="str">
        <f>Auto_Roster!K497</f>
        <v>N</v>
      </c>
      <c r="M497" s="34">
        <f>IF(L497="Y",Settings!$B$16,0)</f>
        <v>0</v>
      </c>
      <c r="N497" s="33">
        <f t="shared" si="29"/>
        <v>0</v>
      </c>
      <c r="O497" s="34">
        <f>N497*Settings!$B$17</f>
        <v>0</v>
      </c>
      <c r="P497" s="34">
        <f>IFERROR(VLOOKUP(C497,Employees!$A$4:$E$103,5,FALSE),Settings!$B$18)</f>
        <v>100</v>
      </c>
      <c r="Q497" s="34">
        <f t="shared" si="30"/>
        <v>0</v>
      </c>
      <c r="R497" s="34">
        <f>H497*P497*Settings!$B$13</f>
        <v>0</v>
      </c>
      <c r="S497" s="34">
        <f>J497*P497*(Settings!$B$14-1)</f>
        <v>0</v>
      </c>
      <c r="T497" s="34">
        <f>K497*P497*(Settings!$B$15-1)</f>
        <v>0</v>
      </c>
      <c r="U497" s="34">
        <f t="shared" si="31"/>
        <v>0</v>
      </c>
      <c r="V497" s="26" t="str">
        <f>Auto_Roster!O497</f>
        <v>Pending</v>
      </c>
      <c r="W497" s="26" t="e">
        <f ca="1">_xludf.TEXTJOIN("; ",TRUE,Auto_Roster!N497,IF(G497&gt;Settings!$B$19,"Approval required &gt; standard hours",""),IF(AND(F497&lt;&gt;"Off",G497=0),"Missing claimed hours",""))</f>
        <v>#NAME?</v>
      </c>
      <c r="X497" s="7"/>
    </row>
    <row r="498" spans="1:24" x14ac:dyDescent="0.35">
      <c r="A498" s="31">
        <f>Auto_Roster!A498</f>
        <v>46167</v>
      </c>
      <c r="B498" s="31">
        <f>Auto_Roster!B498</f>
        <v>46167</v>
      </c>
      <c r="C498" s="26" t="str">
        <f>Auto_Roster!C498</f>
        <v/>
      </c>
      <c r="D498" s="26" t="str">
        <f>Auto_Roster!D498</f>
        <v/>
      </c>
      <c r="E498" s="26" t="str">
        <f>Auto_Roster!E498</f>
        <v/>
      </c>
      <c r="F498" s="26" t="str">
        <f>Auto_Roster!G498</f>
        <v/>
      </c>
      <c r="G498" s="33">
        <f>Auto_Roster!J498</f>
        <v>0</v>
      </c>
      <c r="H498" s="33">
        <f>IF(G498&gt;Settings!$B$19,G498-Settings!$B$19,0)</f>
        <v>0</v>
      </c>
      <c r="I498" s="33">
        <f t="shared" si="28"/>
        <v>0</v>
      </c>
      <c r="J498" s="33">
        <f>IF(Auto_Roster!M498="Y",G498,0)</f>
        <v>0</v>
      </c>
      <c r="K498" s="33">
        <f>IF(Auto_Roster!L498="Y",G498,0)</f>
        <v>0</v>
      </c>
      <c r="L498" s="26" t="str">
        <f>Auto_Roster!K498</f>
        <v>N</v>
      </c>
      <c r="M498" s="34">
        <f>IF(L498="Y",Settings!$B$16,0)</f>
        <v>0</v>
      </c>
      <c r="N498" s="33">
        <f t="shared" si="29"/>
        <v>0</v>
      </c>
      <c r="O498" s="34">
        <f>N498*Settings!$B$17</f>
        <v>0</v>
      </c>
      <c r="P498" s="34">
        <f>IFERROR(VLOOKUP(C498,Employees!$A$4:$E$103,5,FALSE),Settings!$B$18)</f>
        <v>100</v>
      </c>
      <c r="Q498" s="34">
        <f t="shared" si="30"/>
        <v>0</v>
      </c>
      <c r="R498" s="34">
        <f>H498*P498*Settings!$B$13</f>
        <v>0</v>
      </c>
      <c r="S498" s="34">
        <f>J498*P498*(Settings!$B$14-1)</f>
        <v>0</v>
      </c>
      <c r="T498" s="34">
        <f>K498*P498*(Settings!$B$15-1)</f>
        <v>0</v>
      </c>
      <c r="U498" s="34">
        <f t="shared" si="31"/>
        <v>0</v>
      </c>
      <c r="V498" s="26" t="str">
        <f>Auto_Roster!O498</f>
        <v>Pending</v>
      </c>
      <c r="W498" s="26" t="e">
        <f ca="1">_xludf.TEXTJOIN("; ",TRUE,Auto_Roster!N498,IF(G498&gt;Settings!$B$19,"Approval required &gt; standard hours",""),IF(AND(F498&lt;&gt;"Off",G498=0),"Missing claimed hours",""))</f>
        <v>#NAME?</v>
      </c>
      <c r="X498" s="7"/>
    </row>
    <row r="499" spans="1:24" x14ac:dyDescent="0.35">
      <c r="A499" s="31">
        <f>Auto_Roster!A499</f>
        <v>46167</v>
      </c>
      <c r="B499" s="31">
        <f>Auto_Roster!B499</f>
        <v>46167</v>
      </c>
      <c r="C499" s="26" t="str">
        <f>Auto_Roster!C499</f>
        <v/>
      </c>
      <c r="D499" s="26" t="str">
        <f>Auto_Roster!D499</f>
        <v/>
      </c>
      <c r="E499" s="26" t="str">
        <f>Auto_Roster!E499</f>
        <v/>
      </c>
      <c r="F499" s="26" t="str">
        <f>Auto_Roster!G499</f>
        <v/>
      </c>
      <c r="G499" s="33">
        <f>Auto_Roster!J499</f>
        <v>0</v>
      </c>
      <c r="H499" s="33">
        <f>IF(G499&gt;Settings!$B$19,G499-Settings!$B$19,0)</f>
        <v>0</v>
      </c>
      <c r="I499" s="33">
        <f t="shared" si="28"/>
        <v>0</v>
      </c>
      <c r="J499" s="33">
        <f>IF(Auto_Roster!M499="Y",G499,0)</f>
        <v>0</v>
      </c>
      <c r="K499" s="33">
        <f>IF(Auto_Roster!L499="Y",G499,0)</f>
        <v>0</v>
      </c>
      <c r="L499" s="26" t="str">
        <f>Auto_Roster!K499</f>
        <v>N</v>
      </c>
      <c r="M499" s="34">
        <f>IF(L499="Y",Settings!$B$16,0)</f>
        <v>0</v>
      </c>
      <c r="N499" s="33">
        <f t="shared" si="29"/>
        <v>0</v>
      </c>
      <c r="O499" s="34">
        <f>N499*Settings!$B$17</f>
        <v>0</v>
      </c>
      <c r="P499" s="34">
        <f>IFERROR(VLOOKUP(C499,Employees!$A$4:$E$103,5,FALSE),Settings!$B$18)</f>
        <v>100</v>
      </c>
      <c r="Q499" s="34">
        <f t="shared" si="30"/>
        <v>0</v>
      </c>
      <c r="R499" s="34">
        <f>H499*P499*Settings!$B$13</f>
        <v>0</v>
      </c>
      <c r="S499" s="34">
        <f>J499*P499*(Settings!$B$14-1)</f>
        <v>0</v>
      </c>
      <c r="T499" s="34">
        <f>K499*P499*(Settings!$B$15-1)</f>
        <v>0</v>
      </c>
      <c r="U499" s="34">
        <f t="shared" si="31"/>
        <v>0</v>
      </c>
      <c r="V499" s="26" t="str">
        <f>Auto_Roster!O499</f>
        <v>Pending</v>
      </c>
      <c r="W499" s="26" t="e">
        <f ca="1">_xludf.TEXTJOIN("; ",TRUE,Auto_Roster!N499,IF(G499&gt;Settings!$B$19,"Approval required &gt; standard hours",""),IF(AND(F499&lt;&gt;"Off",G499=0),"Missing claimed hours",""))</f>
        <v>#NAME?</v>
      </c>
      <c r="X499" s="7"/>
    </row>
    <row r="500" spans="1:24" x14ac:dyDescent="0.35">
      <c r="A500" s="31">
        <f>Auto_Roster!A500</f>
        <v>46167</v>
      </c>
      <c r="B500" s="31">
        <f>Auto_Roster!B500</f>
        <v>46167</v>
      </c>
      <c r="C500" s="26" t="str">
        <f>Auto_Roster!C500</f>
        <v/>
      </c>
      <c r="D500" s="26" t="str">
        <f>Auto_Roster!D500</f>
        <v/>
      </c>
      <c r="E500" s="26" t="str">
        <f>Auto_Roster!E500</f>
        <v/>
      </c>
      <c r="F500" s="26" t="str">
        <f>Auto_Roster!G500</f>
        <v/>
      </c>
      <c r="G500" s="33">
        <f>Auto_Roster!J500</f>
        <v>0</v>
      </c>
      <c r="H500" s="33">
        <f>IF(G500&gt;Settings!$B$19,G500-Settings!$B$19,0)</f>
        <v>0</v>
      </c>
      <c r="I500" s="33">
        <f t="shared" si="28"/>
        <v>0</v>
      </c>
      <c r="J500" s="33">
        <f>IF(Auto_Roster!M500="Y",G500,0)</f>
        <v>0</v>
      </c>
      <c r="K500" s="33">
        <f>IF(Auto_Roster!L500="Y",G500,0)</f>
        <v>0</v>
      </c>
      <c r="L500" s="26" t="str">
        <f>Auto_Roster!K500</f>
        <v>N</v>
      </c>
      <c r="M500" s="34">
        <f>IF(L500="Y",Settings!$B$16,0)</f>
        <v>0</v>
      </c>
      <c r="N500" s="33">
        <f t="shared" si="29"/>
        <v>0</v>
      </c>
      <c r="O500" s="34">
        <f>N500*Settings!$B$17</f>
        <v>0</v>
      </c>
      <c r="P500" s="34">
        <f>IFERROR(VLOOKUP(C500,Employees!$A$4:$E$103,5,FALSE),Settings!$B$18)</f>
        <v>100</v>
      </c>
      <c r="Q500" s="34">
        <f t="shared" si="30"/>
        <v>0</v>
      </c>
      <c r="R500" s="34">
        <f>H500*P500*Settings!$B$13</f>
        <v>0</v>
      </c>
      <c r="S500" s="34">
        <f>J500*P500*(Settings!$B$14-1)</f>
        <v>0</v>
      </c>
      <c r="T500" s="34">
        <f>K500*P500*(Settings!$B$15-1)</f>
        <v>0</v>
      </c>
      <c r="U500" s="34">
        <f t="shared" si="31"/>
        <v>0</v>
      </c>
      <c r="V500" s="26" t="str">
        <f>Auto_Roster!O500</f>
        <v>Pending</v>
      </c>
      <c r="W500" s="26" t="e">
        <f ca="1">_xludf.TEXTJOIN("; ",TRUE,Auto_Roster!N500,IF(G500&gt;Settings!$B$19,"Approval required &gt; standard hours",""),IF(AND(F500&lt;&gt;"Off",G500=0),"Missing claimed hours",""))</f>
        <v>#NAME?</v>
      </c>
      <c r="X500" s="7"/>
    </row>
    <row r="501" spans="1:24" x14ac:dyDescent="0.35">
      <c r="A501" s="31">
        <f>Auto_Roster!A501</f>
        <v>46167</v>
      </c>
      <c r="B501" s="31">
        <f>Auto_Roster!B501</f>
        <v>46167</v>
      </c>
      <c r="C501" s="26" t="str">
        <f>Auto_Roster!C501</f>
        <v/>
      </c>
      <c r="D501" s="26" t="str">
        <f>Auto_Roster!D501</f>
        <v/>
      </c>
      <c r="E501" s="26" t="str">
        <f>Auto_Roster!E501</f>
        <v/>
      </c>
      <c r="F501" s="26" t="str">
        <f>Auto_Roster!G501</f>
        <v/>
      </c>
      <c r="G501" s="33">
        <f>Auto_Roster!J501</f>
        <v>0</v>
      </c>
      <c r="H501" s="33">
        <f>IF(G501&gt;Settings!$B$19,G501-Settings!$B$19,0)</f>
        <v>0</v>
      </c>
      <c r="I501" s="33">
        <f t="shared" si="28"/>
        <v>0</v>
      </c>
      <c r="J501" s="33">
        <f>IF(Auto_Roster!M501="Y",G501,0)</f>
        <v>0</v>
      </c>
      <c r="K501" s="33">
        <f>IF(Auto_Roster!L501="Y",G501,0)</f>
        <v>0</v>
      </c>
      <c r="L501" s="26" t="str">
        <f>Auto_Roster!K501</f>
        <v>N</v>
      </c>
      <c r="M501" s="34">
        <f>IF(L501="Y",Settings!$B$16,0)</f>
        <v>0</v>
      </c>
      <c r="N501" s="33">
        <f t="shared" si="29"/>
        <v>0</v>
      </c>
      <c r="O501" s="34">
        <f>N501*Settings!$B$17</f>
        <v>0</v>
      </c>
      <c r="P501" s="34">
        <f>IFERROR(VLOOKUP(C501,Employees!$A$4:$E$103,5,FALSE),Settings!$B$18)</f>
        <v>100</v>
      </c>
      <c r="Q501" s="34">
        <f t="shared" si="30"/>
        <v>0</v>
      </c>
      <c r="R501" s="34">
        <f>H501*P501*Settings!$B$13</f>
        <v>0</v>
      </c>
      <c r="S501" s="34">
        <f>J501*P501*(Settings!$B$14-1)</f>
        <v>0</v>
      </c>
      <c r="T501" s="34">
        <f>K501*P501*(Settings!$B$15-1)</f>
        <v>0</v>
      </c>
      <c r="U501" s="34">
        <f t="shared" si="31"/>
        <v>0</v>
      </c>
      <c r="V501" s="26" t="str">
        <f>Auto_Roster!O501</f>
        <v>Pending</v>
      </c>
      <c r="W501" s="26" t="e">
        <f ca="1">_xludf.TEXTJOIN("; ",TRUE,Auto_Roster!N501,IF(G501&gt;Settings!$B$19,"Approval required &gt; standard hours",""),IF(AND(F501&lt;&gt;"Off",G501=0),"Missing claimed hours",""))</f>
        <v>#NAME?</v>
      </c>
      <c r="X501" s="7"/>
    </row>
    <row r="502" spans="1:24" x14ac:dyDescent="0.35">
      <c r="A502" s="31">
        <f>Auto_Roster!A502</f>
        <v>46167</v>
      </c>
      <c r="B502" s="31">
        <f>Auto_Roster!B502</f>
        <v>46167</v>
      </c>
      <c r="C502" s="26" t="str">
        <f>Auto_Roster!C502</f>
        <v/>
      </c>
      <c r="D502" s="26" t="str">
        <f>Auto_Roster!D502</f>
        <v/>
      </c>
      <c r="E502" s="26" t="str">
        <f>Auto_Roster!E502</f>
        <v/>
      </c>
      <c r="F502" s="26" t="str">
        <f>Auto_Roster!G502</f>
        <v/>
      </c>
      <c r="G502" s="33">
        <f>Auto_Roster!J502</f>
        <v>0</v>
      </c>
      <c r="H502" s="33">
        <f>IF(G502&gt;Settings!$B$19,G502-Settings!$B$19,0)</f>
        <v>0</v>
      </c>
      <c r="I502" s="33">
        <f t="shared" si="28"/>
        <v>0</v>
      </c>
      <c r="J502" s="33">
        <f>IF(Auto_Roster!M502="Y",G502,0)</f>
        <v>0</v>
      </c>
      <c r="K502" s="33">
        <f>IF(Auto_Roster!L502="Y",G502,0)</f>
        <v>0</v>
      </c>
      <c r="L502" s="26" t="str">
        <f>Auto_Roster!K502</f>
        <v>N</v>
      </c>
      <c r="M502" s="34">
        <f>IF(L502="Y",Settings!$B$16,0)</f>
        <v>0</v>
      </c>
      <c r="N502" s="33">
        <f t="shared" si="29"/>
        <v>0</v>
      </c>
      <c r="O502" s="34">
        <f>N502*Settings!$B$17</f>
        <v>0</v>
      </c>
      <c r="P502" s="34">
        <f>IFERROR(VLOOKUP(C502,Employees!$A$4:$E$103,5,FALSE),Settings!$B$18)</f>
        <v>100</v>
      </c>
      <c r="Q502" s="34">
        <f t="shared" si="30"/>
        <v>0</v>
      </c>
      <c r="R502" s="34">
        <f>H502*P502*Settings!$B$13</f>
        <v>0</v>
      </c>
      <c r="S502" s="34">
        <f>J502*P502*(Settings!$B$14-1)</f>
        <v>0</v>
      </c>
      <c r="T502" s="34">
        <f>K502*P502*(Settings!$B$15-1)</f>
        <v>0</v>
      </c>
      <c r="U502" s="34">
        <f t="shared" si="31"/>
        <v>0</v>
      </c>
      <c r="V502" s="26" t="str">
        <f>Auto_Roster!O502</f>
        <v>Pending</v>
      </c>
      <c r="W502" s="26" t="e">
        <f ca="1">_xludf.TEXTJOIN("; ",TRUE,Auto_Roster!N502,IF(G502&gt;Settings!$B$19,"Approval required &gt; standard hours",""),IF(AND(F502&lt;&gt;"Off",G502=0),"Missing claimed hours",""))</f>
        <v>#NAME?</v>
      </c>
      <c r="X502" s="7"/>
    </row>
    <row r="503" spans="1:24" x14ac:dyDescent="0.35">
      <c r="A503" s="31">
        <f>Auto_Roster!A503</f>
        <v>46167</v>
      </c>
      <c r="B503" s="31">
        <f>Auto_Roster!B503</f>
        <v>46167</v>
      </c>
      <c r="C503" s="26" t="str">
        <f>Auto_Roster!C503</f>
        <v/>
      </c>
      <c r="D503" s="26" t="str">
        <f>Auto_Roster!D503</f>
        <v/>
      </c>
      <c r="E503" s="26" t="str">
        <f>Auto_Roster!E503</f>
        <v/>
      </c>
      <c r="F503" s="26" t="str">
        <f>Auto_Roster!G503</f>
        <v/>
      </c>
      <c r="G503" s="33">
        <f>Auto_Roster!J503</f>
        <v>0</v>
      </c>
      <c r="H503" s="33">
        <f>IF(G503&gt;Settings!$B$19,G503-Settings!$B$19,0)</f>
        <v>0</v>
      </c>
      <c r="I503" s="33">
        <f t="shared" si="28"/>
        <v>0</v>
      </c>
      <c r="J503" s="33">
        <f>IF(Auto_Roster!M503="Y",G503,0)</f>
        <v>0</v>
      </c>
      <c r="K503" s="33">
        <f>IF(Auto_Roster!L503="Y",G503,0)</f>
        <v>0</v>
      </c>
      <c r="L503" s="26" t="str">
        <f>Auto_Roster!K503</f>
        <v>N</v>
      </c>
      <c r="M503" s="34">
        <f>IF(L503="Y",Settings!$B$16,0)</f>
        <v>0</v>
      </c>
      <c r="N503" s="33">
        <f t="shared" si="29"/>
        <v>0</v>
      </c>
      <c r="O503" s="34">
        <f>N503*Settings!$B$17</f>
        <v>0</v>
      </c>
      <c r="P503" s="34">
        <f>IFERROR(VLOOKUP(C503,Employees!$A$4:$E$103,5,FALSE),Settings!$B$18)</f>
        <v>100</v>
      </c>
      <c r="Q503" s="34">
        <f t="shared" si="30"/>
        <v>0</v>
      </c>
      <c r="R503" s="34">
        <f>H503*P503*Settings!$B$13</f>
        <v>0</v>
      </c>
      <c r="S503" s="34">
        <f>J503*P503*(Settings!$B$14-1)</f>
        <v>0</v>
      </c>
      <c r="T503" s="34">
        <f>K503*P503*(Settings!$B$15-1)</f>
        <v>0</v>
      </c>
      <c r="U503" s="34">
        <f t="shared" si="31"/>
        <v>0</v>
      </c>
      <c r="V503" s="26" t="str">
        <f>Auto_Roster!O503</f>
        <v>Pending</v>
      </c>
      <c r="W503" s="26" t="e">
        <f ca="1">_xludf.TEXTJOIN("; ",TRUE,Auto_Roster!N503,IF(G503&gt;Settings!$B$19,"Approval required &gt; standard hours",""),IF(AND(F503&lt;&gt;"Off",G503=0),"Missing claimed hours",""))</f>
        <v>#NAME?</v>
      </c>
      <c r="X503" s="7"/>
    </row>
    <row r="504" spans="1:24" x14ac:dyDescent="0.35">
      <c r="A504" s="31">
        <f>Auto_Roster!A504</f>
        <v>46168</v>
      </c>
      <c r="B504" s="31">
        <f>Auto_Roster!B504</f>
        <v>46167</v>
      </c>
      <c r="C504" s="26" t="str">
        <f>Auto_Roster!C504</f>
        <v>E001</v>
      </c>
      <c r="D504" s="26" t="str">
        <f>Auto_Roster!D504</f>
        <v>Musiwa Khavalani</v>
      </c>
      <c r="E504" s="26">
        <f>Auto_Roster!E504</f>
        <v>0</v>
      </c>
      <c r="F504" s="26" t="e">
        <f>Auto_Roster!G504</f>
        <v>#N/A</v>
      </c>
      <c r="G504" s="33" t="e">
        <f>Auto_Roster!J504</f>
        <v>#N/A</v>
      </c>
      <c r="H504" s="33" t="e">
        <f>IF(G504&gt;Settings!$B$19,G504-Settings!$B$19,0)</f>
        <v>#N/A</v>
      </c>
      <c r="I504" s="33" t="e">
        <f t="shared" si="28"/>
        <v>#N/A</v>
      </c>
      <c r="J504" s="33">
        <f>IF(Auto_Roster!M504="Y",G504,0)</f>
        <v>0</v>
      </c>
      <c r="K504" s="33">
        <f>IF(Auto_Roster!L504="Y",G504,0)</f>
        <v>0</v>
      </c>
      <c r="L504" s="26" t="str">
        <f>Auto_Roster!K504</f>
        <v>N</v>
      </c>
      <c r="M504" s="34">
        <f>IF(L504="Y",Settings!$B$16,0)</f>
        <v>0</v>
      </c>
      <c r="N504" s="33" t="e">
        <f t="shared" si="29"/>
        <v>#N/A</v>
      </c>
      <c r="O504" s="34" t="e">
        <f>N504*Settings!$B$17</f>
        <v>#N/A</v>
      </c>
      <c r="P504" s="34">
        <f>IFERROR(VLOOKUP(C504,Employees!$A$4:$E$103,5,FALSE),Settings!$B$18)</f>
        <v>100</v>
      </c>
      <c r="Q504" s="34" t="e">
        <f t="shared" si="30"/>
        <v>#N/A</v>
      </c>
      <c r="R504" s="34" t="e">
        <f>H504*P504*Settings!$B$13</f>
        <v>#N/A</v>
      </c>
      <c r="S504" s="34">
        <f>J504*P504*(Settings!$B$14-1)</f>
        <v>0</v>
      </c>
      <c r="T504" s="34">
        <f>K504*P504*(Settings!$B$15-1)</f>
        <v>0</v>
      </c>
      <c r="U504" s="34" t="e">
        <f t="shared" si="31"/>
        <v>#N/A</v>
      </c>
      <c r="V504" s="26" t="str">
        <f>Auto_Roster!O504</f>
        <v>Pending</v>
      </c>
      <c r="W504" s="26" t="e">
        <f ca="1">_xludf.TEXTJOIN("; ",TRUE,Auto_Roster!N504,IF(G504&gt;Settings!$B$19,"Approval required &gt; standard hours",""),IF(AND(F504&lt;&gt;"Off",G504=0),"Missing claimed hours",""))</f>
        <v>#NAME?</v>
      </c>
      <c r="X504" s="7"/>
    </row>
    <row r="505" spans="1:24" x14ac:dyDescent="0.35">
      <c r="A505" s="31">
        <f>Auto_Roster!A505</f>
        <v>46168</v>
      </c>
      <c r="B505" s="31">
        <f>Auto_Roster!B505</f>
        <v>46167</v>
      </c>
      <c r="C505" s="26" t="str">
        <f>Auto_Roster!C505</f>
        <v>E002</v>
      </c>
      <c r="D505" s="26" t="str">
        <f>Auto_Roster!D505</f>
        <v>Mpho  Nembemhia</v>
      </c>
      <c r="E505" s="26" t="str">
        <f>Auto_Roster!E505</f>
        <v>B</v>
      </c>
      <c r="F505" s="26" t="str">
        <f>Auto_Roster!G505</f>
        <v>Day</v>
      </c>
      <c r="G505" s="33">
        <f>Auto_Roster!J505</f>
        <v>8</v>
      </c>
      <c r="H505" s="33">
        <f>IF(G505&gt;Settings!$B$19,G505-Settings!$B$19,0)</f>
        <v>0</v>
      </c>
      <c r="I505" s="33">
        <f t="shared" si="28"/>
        <v>8</v>
      </c>
      <c r="J505" s="33">
        <f>IF(Auto_Roster!M505="Y",G505,0)</f>
        <v>0</v>
      </c>
      <c r="K505" s="33">
        <f>IF(Auto_Roster!L505="Y",G505,0)</f>
        <v>0</v>
      </c>
      <c r="L505" s="26" t="str">
        <f>Auto_Roster!K505</f>
        <v>N</v>
      </c>
      <c r="M505" s="34">
        <f>IF(L505="Y",Settings!$B$16,0)</f>
        <v>0</v>
      </c>
      <c r="N505" s="33">
        <f t="shared" si="29"/>
        <v>0</v>
      </c>
      <c r="O505" s="34">
        <f>N505*Settings!$B$17</f>
        <v>0</v>
      </c>
      <c r="P505" s="34">
        <f>IFERROR(VLOOKUP(C505,Employees!$A$4:$E$103,5,FALSE),Settings!$B$18)</f>
        <v>100</v>
      </c>
      <c r="Q505" s="34">
        <f t="shared" si="30"/>
        <v>800</v>
      </c>
      <c r="R505" s="34">
        <f>H505*P505*Settings!$B$13</f>
        <v>0</v>
      </c>
      <c r="S505" s="34">
        <f>J505*P505*(Settings!$B$14-1)</f>
        <v>0</v>
      </c>
      <c r="T505" s="34">
        <f>K505*P505*(Settings!$B$15-1)</f>
        <v>0</v>
      </c>
      <c r="U505" s="34">
        <f t="shared" si="31"/>
        <v>800</v>
      </c>
      <c r="V505" s="26" t="str">
        <f>Auto_Roster!O505</f>
        <v>Pending</v>
      </c>
      <c r="W505" s="26" t="e">
        <f ca="1">_xludf.TEXTJOIN("; ",TRUE,Auto_Roster!N505,IF(G505&gt;Settings!$B$19,"Approval required &gt; standard hours",""),IF(AND(F505&lt;&gt;"Off",G505=0),"Missing claimed hours",""))</f>
        <v>#NAME?</v>
      </c>
      <c r="X505" s="7"/>
    </row>
    <row r="506" spans="1:24" x14ac:dyDescent="0.35">
      <c r="A506" s="31">
        <f>Auto_Roster!A506</f>
        <v>46168</v>
      </c>
      <c r="B506" s="31">
        <f>Auto_Roster!B506</f>
        <v>46167</v>
      </c>
      <c r="C506" s="26" t="str">
        <f>Auto_Roster!C506</f>
        <v>E003</v>
      </c>
      <c r="D506" s="26" t="str">
        <f>Auto_Roster!D506</f>
        <v>Dimpho Makhafola</v>
      </c>
      <c r="E506" s="26" t="str">
        <f>Auto_Roster!E506</f>
        <v>C</v>
      </c>
      <c r="F506" s="26" t="str">
        <f>Auto_Roster!G506</f>
        <v>Off</v>
      </c>
      <c r="G506" s="33">
        <f>Auto_Roster!J506</f>
        <v>0</v>
      </c>
      <c r="H506" s="33">
        <f>IF(G506&gt;Settings!$B$19,G506-Settings!$B$19,0)</f>
        <v>0</v>
      </c>
      <c r="I506" s="33">
        <f t="shared" si="28"/>
        <v>0</v>
      </c>
      <c r="J506" s="33">
        <f>IF(Auto_Roster!M506="Y",G506,0)</f>
        <v>0</v>
      </c>
      <c r="K506" s="33">
        <f>IF(Auto_Roster!L506="Y",G506,0)</f>
        <v>0</v>
      </c>
      <c r="L506" s="26" t="str">
        <f>Auto_Roster!K506</f>
        <v>N</v>
      </c>
      <c r="M506" s="34">
        <f>IF(L506="Y",Settings!$B$16,0)</f>
        <v>0</v>
      </c>
      <c r="N506" s="33">
        <f t="shared" si="29"/>
        <v>0</v>
      </c>
      <c r="O506" s="34">
        <f>N506*Settings!$B$17</f>
        <v>0</v>
      </c>
      <c r="P506" s="34">
        <f>IFERROR(VLOOKUP(C506,Employees!$A$4:$E$103,5,FALSE),Settings!$B$18)</f>
        <v>100</v>
      </c>
      <c r="Q506" s="34">
        <f t="shared" si="30"/>
        <v>0</v>
      </c>
      <c r="R506" s="34">
        <f>H506*P506*Settings!$B$13</f>
        <v>0</v>
      </c>
      <c r="S506" s="34">
        <f>J506*P506*(Settings!$B$14-1)</f>
        <v>0</v>
      </c>
      <c r="T506" s="34">
        <f>K506*P506*(Settings!$B$15-1)</f>
        <v>0</v>
      </c>
      <c r="U506" s="34">
        <f t="shared" si="31"/>
        <v>0</v>
      </c>
      <c r="V506" s="26" t="str">
        <f>Auto_Roster!O506</f>
        <v>Pending</v>
      </c>
      <c r="W506" s="26" t="e">
        <f ca="1">_xludf.TEXTJOIN("; ",TRUE,Auto_Roster!N506,IF(G506&gt;Settings!$B$19,"Approval required &gt; standard hours",""),IF(AND(F506&lt;&gt;"Off",G506=0),"Missing claimed hours",""))</f>
        <v>#NAME?</v>
      </c>
      <c r="X506" s="7"/>
    </row>
    <row r="507" spans="1:24" x14ac:dyDescent="0.35">
      <c r="A507" s="31">
        <f>Auto_Roster!A507</f>
        <v>46168</v>
      </c>
      <c r="B507" s="31">
        <f>Auto_Roster!B507</f>
        <v>46167</v>
      </c>
      <c r="C507" s="26" t="str">
        <f>Auto_Roster!C507</f>
        <v>E004</v>
      </c>
      <c r="D507" s="26" t="str">
        <f>Auto_Roster!D507</f>
        <v>Bashii Fall</v>
      </c>
      <c r="E507" s="26" t="str">
        <f>Auto_Roster!E507</f>
        <v>D</v>
      </c>
      <c r="F507" s="26" t="str">
        <f>Auto_Roster!G507</f>
        <v>Night</v>
      </c>
      <c r="G507" s="33">
        <f>Auto_Roster!J507</f>
        <v>8</v>
      </c>
      <c r="H507" s="33">
        <f>IF(G507&gt;Settings!$B$19,G507-Settings!$B$19,0)</f>
        <v>0</v>
      </c>
      <c r="I507" s="33">
        <f t="shared" si="28"/>
        <v>8</v>
      </c>
      <c r="J507" s="33">
        <f>IF(Auto_Roster!M507="Y",G507,0)</f>
        <v>0</v>
      </c>
      <c r="K507" s="33">
        <f>IF(Auto_Roster!L507="Y",G507,0)</f>
        <v>0</v>
      </c>
      <c r="L507" s="26" t="str">
        <f>Auto_Roster!K507</f>
        <v>N</v>
      </c>
      <c r="M507" s="34">
        <f>IF(L507="Y",Settings!$B$16,0)</f>
        <v>0</v>
      </c>
      <c r="N507" s="33">
        <f t="shared" si="29"/>
        <v>8</v>
      </c>
      <c r="O507" s="34">
        <f>N507*Settings!$B$17</f>
        <v>0</v>
      </c>
      <c r="P507" s="34">
        <f>IFERROR(VLOOKUP(C507,Employees!$A$4:$E$103,5,FALSE),Settings!$B$18)</f>
        <v>100</v>
      </c>
      <c r="Q507" s="34">
        <f t="shared" si="30"/>
        <v>800</v>
      </c>
      <c r="R507" s="34">
        <f>H507*P507*Settings!$B$13</f>
        <v>0</v>
      </c>
      <c r="S507" s="34">
        <f>J507*P507*(Settings!$B$14-1)</f>
        <v>0</v>
      </c>
      <c r="T507" s="34">
        <f>K507*P507*(Settings!$B$15-1)</f>
        <v>0</v>
      </c>
      <c r="U507" s="34">
        <f t="shared" si="31"/>
        <v>800</v>
      </c>
      <c r="V507" s="26" t="str">
        <f>Auto_Roster!O507</f>
        <v>Pending</v>
      </c>
      <c r="W507" s="26" t="e">
        <f ca="1">_xludf.TEXTJOIN("; ",TRUE,Auto_Roster!N507,IF(G507&gt;Settings!$B$19,"Approval required &gt; standard hours",""),IF(AND(F507&lt;&gt;"Off",G507=0),"Missing claimed hours",""))</f>
        <v>#NAME?</v>
      </c>
      <c r="X507" s="7"/>
    </row>
    <row r="508" spans="1:24" x14ac:dyDescent="0.35">
      <c r="A508" s="31">
        <f>Auto_Roster!A508</f>
        <v>46168</v>
      </c>
      <c r="B508" s="31">
        <f>Auto_Roster!B508</f>
        <v>46167</v>
      </c>
      <c r="C508" s="26" t="str">
        <f>Auto_Roster!C508</f>
        <v>E005</v>
      </c>
      <c r="D508" s="26" t="str">
        <f>Auto_Roster!D508</f>
        <v>Lesego Aphane</v>
      </c>
      <c r="E508" s="26" t="str">
        <f>Auto_Roster!E508</f>
        <v>A</v>
      </c>
      <c r="F508" s="26" t="str">
        <f>Auto_Roster!G508</f>
        <v>Evening</v>
      </c>
      <c r="G508" s="33">
        <f>Auto_Roster!J508</f>
        <v>8</v>
      </c>
      <c r="H508" s="33">
        <f>IF(G508&gt;Settings!$B$19,G508-Settings!$B$19,0)</f>
        <v>0</v>
      </c>
      <c r="I508" s="33">
        <f t="shared" si="28"/>
        <v>8</v>
      </c>
      <c r="J508" s="33">
        <f>IF(Auto_Roster!M508="Y",G508,0)</f>
        <v>0</v>
      </c>
      <c r="K508" s="33">
        <f>IF(Auto_Roster!L508="Y",G508,0)</f>
        <v>0</v>
      </c>
      <c r="L508" s="26" t="str">
        <f>Auto_Roster!K508</f>
        <v>N</v>
      </c>
      <c r="M508" s="34">
        <f>IF(L508="Y",Settings!$B$16,0)</f>
        <v>0</v>
      </c>
      <c r="N508" s="33">
        <f t="shared" si="29"/>
        <v>0</v>
      </c>
      <c r="O508" s="34">
        <f>N508*Settings!$B$17</f>
        <v>0</v>
      </c>
      <c r="P508" s="34">
        <f>IFERROR(VLOOKUP(C508,Employees!$A$4:$E$103,5,FALSE),Settings!$B$18)</f>
        <v>100</v>
      </c>
      <c r="Q508" s="34">
        <f t="shared" si="30"/>
        <v>800</v>
      </c>
      <c r="R508" s="34">
        <f>H508*P508*Settings!$B$13</f>
        <v>0</v>
      </c>
      <c r="S508" s="34">
        <f>J508*P508*(Settings!$B$14-1)</f>
        <v>0</v>
      </c>
      <c r="T508" s="34">
        <f>K508*P508*(Settings!$B$15-1)</f>
        <v>0</v>
      </c>
      <c r="U508" s="34">
        <f t="shared" si="31"/>
        <v>800</v>
      </c>
      <c r="V508" s="26" t="str">
        <f>Auto_Roster!O508</f>
        <v>Pending</v>
      </c>
      <c r="W508" s="26" t="e">
        <f ca="1">_xludf.TEXTJOIN("; ",TRUE,Auto_Roster!N508,IF(G508&gt;Settings!$B$19,"Approval required &gt; standard hours",""),IF(AND(F508&lt;&gt;"Off",G508=0),"Missing claimed hours",""))</f>
        <v>#NAME?</v>
      </c>
      <c r="X508" s="7"/>
    </row>
    <row r="509" spans="1:24" x14ac:dyDescent="0.35">
      <c r="A509" s="31">
        <f>Auto_Roster!A509</f>
        <v>46168</v>
      </c>
      <c r="B509" s="31">
        <f>Auto_Roster!B509</f>
        <v>46167</v>
      </c>
      <c r="C509" s="26" t="str">
        <f>Auto_Roster!C509</f>
        <v>E006</v>
      </c>
      <c r="D509" s="26" t="str">
        <f>Auto_Roster!D509</f>
        <v>Nhalnahla</v>
      </c>
      <c r="E509" s="26" t="str">
        <f>Auto_Roster!E509</f>
        <v>B</v>
      </c>
      <c r="F509" s="26" t="str">
        <f>Auto_Roster!G509</f>
        <v>Day</v>
      </c>
      <c r="G509" s="33">
        <f>Auto_Roster!J509</f>
        <v>8</v>
      </c>
      <c r="H509" s="33">
        <f>IF(G509&gt;Settings!$B$19,G509-Settings!$B$19,0)</f>
        <v>0</v>
      </c>
      <c r="I509" s="33">
        <f t="shared" si="28"/>
        <v>8</v>
      </c>
      <c r="J509" s="33">
        <f>IF(Auto_Roster!M509="Y",G509,0)</f>
        <v>0</v>
      </c>
      <c r="K509" s="33">
        <f>IF(Auto_Roster!L509="Y",G509,0)</f>
        <v>0</v>
      </c>
      <c r="L509" s="26" t="str">
        <f>Auto_Roster!K509</f>
        <v>N</v>
      </c>
      <c r="M509" s="34">
        <f>IF(L509="Y",Settings!$B$16,0)</f>
        <v>0</v>
      </c>
      <c r="N509" s="33">
        <f t="shared" si="29"/>
        <v>0</v>
      </c>
      <c r="O509" s="34">
        <f>N509*Settings!$B$17</f>
        <v>0</v>
      </c>
      <c r="P509" s="34">
        <f>IFERROR(VLOOKUP(C509,Employees!$A$4:$E$103,5,FALSE),Settings!$B$18)</f>
        <v>100</v>
      </c>
      <c r="Q509" s="34">
        <f t="shared" si="30"/>
        <v>800</v>
      </c>
      <c r="R509" s="34">
        <f>H509*P509*Settings!$B$13</f>
        <v>0</v>
      </c>
      <c r="S509" s="34">
        <f>J509*P509*(Settings!$B$14-1)</f>
        <v>0</v>
      </c>
      <c r="T509" s="34">
        <f>K509*P509*(Settings!$B$15-1)</f>
        <v>0</v>
      </c>
      <c r="U509" s="34">
        <f t="shared" si="31"/>
        <v>800</v>
      </c>
      <c r="V509" s="26" t="str">
        <f>Auto_Roster!O509</f>
        <v>Pending</v>
      </c>
      <c r="W509" s="26" t="e">
        <f ca="1">_xludf.TEXTJOIN("; ",TRUE,Auto_Roster!N509,IF(G509&gt;Settings!$B$19,"Approval required &gt; standard hours",""),IF(AND(F509&lt;&gt;"Off",G509=0),"Missing claimed hours",""))</f>
        <v>#NAME?</v>
      </c>
      <c r="X509" s="7"/>
    </row>
    <row r="510" spans="1:24" x14ac:dyDescent="0.35">
      <c r="A510" s="31">
        <f>Auto_Roster!A510</f>
        <v>46168</v>
      </c>
      <c r="B510" s="31">
        <f>Auto_Roster!B510</f>
        <v>46167</v>
      </c>
      <c r="C510" s="26" t="str">
        <f>Auto_Roster!C510</f>
        <v>E007</v>
      </c>
      <c r="D510" s="26" t="str">
        <f>Auto_Roster!D510</f>
        <v>Joe</v>
      </c>
      <c r="E510" s="26" t="str">
        <f>Auto_Roster!E510</f>
        <v>C</v>
      </c>
      <c r="F510" s="26" t="str">
        <f>Auto_Roster!G510</f>
        <v>Off</v>
      </c>
      <c r="G510" s="33">
        <f>Auto_Roster!J510</f>
        <v>0</v>
      </c>
      <c r="H510" s="33">
        <f>IF(G510&gt;Settings!$B$19,G510-Settings!$B$19,0)</f>
        <v>0</v>
      </c>
      <c r="I510" s="33">
        <f t="shared" si="28"/>
        <v>0</v>
      </c>
      <c r="J510" s="33">
        <f>IF(Auto_Roster!M510="Y",G510,0)</f>
        <v>0</v>
      </c>
      <c r="K510" s="33">
        <f>IF(Auto_Roster!L510="Y",G510,0)</f>
        <v>0</v>
      </c>
      <c r="L510" s="26" t="str">
        <f>Auto_Roster!K510</f>
        <v>N</v>
      </c>
      <c r="M510" s="34">
        <f>IF(L510="Y",Settings!$B$16,0)</f>
        <v>0</v>
      </c>
      <c r="N510" s="33">
        <f t="shared" si="29"/>
        <v>0</v>
      </c>
      <c r="O510" s="34">
        <f>N510*Settings!$B$17</f>
        <v>0</v>
      </c>
      <c r="P510" s="34">
        <f>IFERROR(VLOOKUP(C510,Employees!$A$4:$E$103,5,FALSE),Settings!$B$18)</f>
        <v>100</v>
      </c>
      <c r="Q510" s="34">
        <f t="shared" si="30"/>
        <v>0</v>
      </c>
      <c r="R510" s="34">
        <f>H510*P510*Settings!$B$13</f>
        <v>0</v>
      </c>
      <c r="S510" s="34">
        <f>J510*P510*(Settings!$B$14-1)</f>
        <v>0</v>
      </c>
      <c r="T510" s="34">
        <f>K510*P510*(Settings!$B$15-1)</f>
        <v>0</v>
      </c>
      <c r="U510" s="34">
        <f t="shared" si="31"/>
        <v>0</v>
      </c>
      <c r="V510" s="26" t="str">
        <f>Auto_Roster!O510</f>
        <v>Pending</v>
      </c>
      <c r="W510" s="26" t="e">
        <f ca="1">_xludf.TEXTJOIN("; ",TRUE,Auto_Roster!N510,IF(G510&gt;Settings!$B$19,"Approval required &gt; standard hours",""),IF(AND(F510&lt;&gt;"Off",G510=0),"Missing claimed hours",""))</f>
        <v>#NAME?</v>
      </c>
      <c r="X510" s="7"/>
    </row>
    <row r="511" spans="1:24" x14ac:dyDescent="0.35">
      <c r="A511" s="31">
        <f>Auto_Roster!A511</f>
        <v>46168</v>
      </c>
      <c r="B511" s="31">
        <f>Auto_Roster!B511</f>
        <v>46167</v>
      </c>
      <c r="C511" s="26" t="str">
        <f>Auto_Roster!C511</f>
        <v>E008</v>
      </c>
      <c r="D511" s="26" t="str">
        <f>Auto_Roster!D511</f>
        <v>Tim</v>
      </c>
      <c r="E511" s="26" t="str">
        <f>Auto_Roster!E511</f>
        <v>D</v>
      </c>
      <c r="F511" s="26" t="str">
        <f>Auto_Roster!G511</f>
        <v>Night</v>
      </c>
      <c r="G511" s="33">
        <f>Auto_Roster!J511</f>
        <v>8</v>
      </c>
      <c r="H511" s="33">
        <f>IF(G511&gt;Settings!$B$19,G511-Settings!$B$19,0)</f>
        <v>0</v>
      </c>
      <c r="I511" s="33">
        <f t="shared" si="28"/>
        <v>8</v>
      </c>
      <c r="J511" s="33">
        <f>IF(Auto_Roster!M511="Y",G511,0)</f>
        <v>0</v>
      </c>
      <c r="K511" s="33">
        <f>IF(Auto_Roster!L511="Y",G511,0)</f>
        <v>0</v>
      </c>
      <c r="L511" s="26" t="str">
        <f>Auto_Roster!K511</f>
        <v>N</v>
      </c>
      <c r="M511" s="34">
        <f>IF(L511="Y",Settings!$B$16,0)</f>
        <v>0</v>
      </c>
      <c r="N511" s="33">
        <f t="shared" si="29"/>
        <v>8</v>
      </c>
      <c r="O511" s="34">
        <f>N511*Settings!$B$17</f>
        <v>0</v>
      </c>
      <c r="P511" s="34">
        <f>IFERROR(VLOOKUP(C511,Employees!$A$4:$E$103,5,FALSE),Settings!$B$18)</f>
        <v>100</v>
      </c>
      <c r="Q511" s="34">
        <f t="shared" si="30"/>
        <v>800</v>
      </c>
      <c r="R511" s="34">
        <f>H511*P511*Settings!$B$13</f>
        <v>0</v>
      </c>
      <c r="S511" s="34">
        <f>J511*P511*(Settings!$B$14-1)</f>
        <v>0</v>
      </c>
      <c r="T511" s="34">
        <f>K511*P511*(Settings!$B$15-1)</f>
        <v>0</v>
      </c>
      <c r="U511" s="34">
        <f t="shared" si="31"/>
        <v>800</v>
      </c>
      <c r="V511" s="26" t="str">
        <f>Auto_Roster!O511</f>
        <v>Pending</v>
      </c>
      <c r="W511" s="26" t="e">
        <f ca="1">_xludf.TEXTJOIN("; ",TRUE,Auto_Roster!N511,IF(G511&gt;Settings!$B$19,"Approval required &gt; standard hours",""),IF(AND(F511&lt;&gt;"Off",G511=0),"Missing claimed hours",""))</f>
        <v>#NAME?</v>
      </c>
      <c r="X511" s="7"/>
    </row>
    <row r="512" spans="1:24" x14ac:dyDescent="0.35">
      <c r="A512" s="31">
        <f>Auto_Roster!A512</f>
        <v>46168</v>
      </c>
      <c r="B512" s="31">
        <f>Auto_Roster!B512</f>
        <v>46167</v>
      </c>
      <c r="C512" s="26" t="str">
        <f>Auto_Roster!C512</f>
        <v>E009</v>
      </c>
      <c r="D512" s="26" t="str">
        <f>Auto_Roster!D512</f>
        <v>Frank</v>
      </c>
      <c r="E512" s="26" t="str">
        <f>Auto_Roster!E512</f>
        <v>A</v>
      </c>
      <c r="F512" s="26" t="str">
        <f>Auto_Roster!G512</f>
        <v>Evening</v>
      </c>
      <c r="G512" s="33">
        <f>Auto_Roster!J512</f>
        <v>8</v>
      </c>
      <c r="H512" s="33">
        <f>IF(G512&gt;Settings!$B$19,G512-Settings!$B$19,0)</f>
        <v>0</v>
      </c>
      <c r="I512" s="33">
        <f t="shared" si="28"/>
        <v>8</v>
      </c>
      <c r="J512" s="33">
        <f>IF(Auto_Roster!M512="Y",G512,0)</f>
        <v>0</v>
      </c>
      <c r="K512" s="33">
        <f>IF(Auto_Roster!L512="Y",G512,0)</f>
        <v>0</v>
      </c>
      <c r="L512" s="26" t="str">
        <f>Auto_Roster!K512</f>
        <v>N</v>
      </c>
      <c r="M512" s="34">
        <f>IF(L512="Y",Settings!$B$16,0)</f>
        <v>0</v>
      </c>
      <c r="N512" s="33">
        <f t="shared" si="29"/>
        <v>0</v>
      </c>
      <c r="O512" s="34">
        <f>N512*Settings!$B$17</f>
        <v>0</v>
      </c>
      <c r="P512" s="34">
        <f>IFERROR(VLOOKUP(C512,Employees!$A$4:$E$103,5,FALSE),Settings!$B$18)</f>
        <v>100</v>
      </c>
      <c r="Q512" s="34">
        <f t="shared" si="30"/>
        <v>800</v>
      </c>
      <c r="R512" s="34">
        <f>H512*P512*Settings!$B$13</f>
        <v>0</v>
      </c>
      <c r="S512" s="34">
        <f>J512*P512*(Settings!$B$14-1)</f>
        <v>0</v>
      </c>
      <c r="T512" s="34">
        <f>K512*P512*(Settings!$B$15-1)</f>
        <v>0</v>
      </c>
      <c r="U512" s="34">
        <f t="shared" si="31"/>
        <v>800</v>
      </c>
      <c r="V512" s="26" t="str">
        <f>Auto_Roster!O512</f>
        <v>Pending</v>
      </c>
      <c r="W512" s="26" t="e">
        <f ca="1">_xludf.TEXTJOIN("; ",TRUE,Auto_Roster!N512,IF(G512&gt;Settings!$B$19,"Approval required &gt; standard hours",""),IF(AND(F512&lt;&gt;"Off",G512=0),"Missing claimed hours",""))</f>
        <v>#NAME?</v>
      </c>
      <c r="X512" s="7"/>
    </row>
    <row r="513" spans="1:24" x14ac:dyDescent="0.35">
      <c r="A513" s="31">
        <f>Auto_Roster!A513</f>
        <v>46168</v>
      </c>
      <c r="B513" s="31">
        <f>Auto_Roster!B513</f>
        <v>46167</v>
      </c>
      <c r="C513" s="26" t="str">
        <f>Auto_Roster!C513</f>
        <v/>
      </c>
      <c r="D513" s="26" t="str">
        <f>Auto_Roster!D513</f>
        <v/>
      </c>
      <c r="E513" s="26" t="str">
        <f>Auto_Roster!E513</f>
        <v/>
      </c>
      <c r="F513" s="26" t="str">
        <f>Auto_Roster!G513</f>
        <v/>
      </c>
      <c r="G513" s="33">
        <f>Auto_Roster!J513</f>
        <v>0</v>
      </c>
      <c r="H513" s="33">
        <f>IF(G513&gt;Settings!$B$19,G513-Settings!$B$19,0)</f>
        <v>0</v>
      </c>
      <c r="I513" s="33">
        <f t="shared" si="28"/>
        <v>0</v>
      </c>
      <c r="J513" s="33">
        <f>IF(Auto_Roster!M513="Y",G513,0)</f>
        <v>0</v>
      </c>
      <c r="K513" s="33">
        <f>IF(Auto_Roster!L513="Y",G513,0)</f>
        <v>0</v>
      </c>
      <c r="L513" s="26" t="str">
        <f>Auto_Roster!K513</f>
        <v>N</v>
      </c>
      <c r="M513" s="34">
        <f>IF(L513="Y",Settings!$B$16,0)</f>
        <v>0</v>
      </c>
      <c r="N513" s="33">
        <f t="shared" si="29"/>
        <v>0</v>
      </c>
      <c r="O513" s="34">
        <f>N513*Settings!$B$17</f>
        <v>0</v>
      </c>
      <c r="P513" s="34">
        <f>IFERROR(VLOOKUP(C513,Employees!$A$4:$E$103,5,FALSE),Settings!$B$18)</f>
        <v>100</v>
      </c>
      <c r="Q513" s="34">
        <f t="shared" si="30"/>
        <v>0</v>
      </c>
      <c r="R513" s="34">
        <f>H513*P513*Settings!$B$13</f>
        <v>0</v>
      </c>
      <c r="S513" s="34">
        <f>J513*P513*(Settings!$B$14-1)</f>
        <v>0</v>
      </c>
      <c r="T513" s="34">
        <f>K513*P513*(Settings!$B$15-1)</f>
        <v>0</v>
      </c>
      <c r="U513" s="34">
        <f t="shared" si="31"/>
        <v>0</v>
      </c>
      <c r="V513" s="26" t="str">
        <f>Auto_Roster!O513</f>
        <v>Pending</v>
      </c>
      <c r="W513" s="26" t="e">
        <f ca="1">_xludf.TEXTJOIN("; ",TRUE,Auto_Roster!N513,IF(G513&gt;Settings!$B$19,"Approval required &gt; standard hours",""),IF(AND(F513&lt;&gt;"Off",G513=0),"Missing claimed hours",""))</f>
        <v>#NAME?</v>
      </c>
      <c r="X513" s="7"/>
    </row>
    <row r="514" spans="1:24" x14ac:dyDescent="0.35">
      <c r="A514" s="31">
        <f>Auto_Roster!A514</f>
        <v>46168</v>
      </c>
      <c r="B514" s="31">
        <f>Auto_Roster!B514</f>
        <v>46167</v>
      </c>
      <c r="C514" s="26" t="str">
        <f>Auto_Roster!C514</f>
        <v/>
      </c>
      <c r="D514" s="26" t="str">
        <f>Auto_Roster!D514</f>
        <v/>
      </c>
      <c r="E514" s="26" t="str">
        <f>Auto_Roster!E514</f>
        <v/>
      </c>
      <c r="F514" s="26" t="str">
        <f>Auto_Roster!G514</f>
        <v/>
      </c>
      <c r="G514" s="33">
        <f>Auto_Roster!J514</f>
        <v>0</v>
      </c>
      <c r="H514" s="33">
        <f>IF(G514&gt;Settings!$B$19,G514-Settings!$B$19,0)</f>
        <v>0</v>
      </c>
      <c r="I514" s="33">
        <f t="shared" si="28"/>
        <v>0</v>
      </c>
      <c r="J514" s="33">
        <f>IF(Auto_Roster!M514="Y",G514,0)</f>
        <v>0</v>
      </c>
      <c r="K514" s="33">
        <f>IF(Auto_Roster!L514="Y",G514,0)</f>
        <v>0</v>
      </c>
      <c r="L514" s="26" t="str">
        <f>Auto_Roster!K514</f>
        <v>N</v>
      </c>
      <c r="M514" s="34">
        <f>IF(L514="Y",Settings!$B$16,0)</f>
        <v>0</v>
      </c>
      <c r="N514" s="33">
        <f t="shared" si="29"/>
        <v>0</v>
      </c>
      <c r="O514" s="34">
        <f>N514*Settings!$B$17</f>
        <v>0</v>
      </c>
      <c r="P514" s="34">
        <f>IFERROR(VLOOKUP(C514,Employees!$A$4:$E$103,5,FALSE),Settings!$B$18)</f>
        <v>100</v>
      </c>
      <c r="Q514" s="34">
        <f t="shared" si="30"/>
        <v>0</v>
      </c>
      <c r="R514" s="34">
        <f>H514*P514*Settings!$B$13</f>
        <v>0</v>
      </c>
      <c r="S514" s="34">
        <f>J514*P514*(Settings!$B$14-1)</f>
        <v>0</v>
      </c>
      <c r="T514" s="34">
        <f>K514*P514*(Settings!$B$15-1)</f>
        <v>0</v>
      </c>
      <c r="U514" s="34">
        <f t="shared" si="31"/>
        <v>0</v>
      </c>
      <c r="V514" s="26" t="str">
        <f>Auto_Roster!O514</f>
        <v>Pending</v>
      </c>
      <c r="W514" s="26" t="e">
        <f ca="1">_xludf.TEXTJOIN("; ",TRUE,Auto_Roster!N514,IF(G514&gt;Settings!$B$19,"Approval required &gt; standard hours",""),IF(AND(F514&lt;&gt;"Off",G514=0),"Missing claimed hours",""))</f>
        <v>#NAME?</v>
      </c>
      <c r="X514" s="7"/>
    </row>
    <row r="515" spans="1:24" x14ac:dyDescent="0.35">
      <c r="A515" s="31">
        <f>Auto_Roster!A515</f>
        <v>46168</v>
      </c>
      <c r="B515" s="31">
        <f>Auto_Roster!B515</f>
        <v>46167</v>
      </c>
      <c r="C515" s="26" t="str">
        <f>Auto_Roster!C515</f>
        <v/>
      </c>
      <c r="D515" s="26" t="str">
        <f>Auto_Roster!D515</f>
        <v/>
      </c>
      <c r="E515" s="26" t="str">
        <f>Auto_Roster!E515</f>
        <v/>
      </c>
      <c r="F515" s="26" t="str">
        <f>Auto_Roster!G515</f>
        <v/>
      </c>
      <c r="G515" s="33">
        <f>Auto_Roster!J515</f>
        <v>0</v>
      </c>
      <c r="H515" s="33">
        <f>IF(G515&gt;Settings!$B$19,G515-Settings!$B$19,0)</f>
        <v>0</v>
      </c>
      <c r="I515" s="33">
        <f t="shared" si="28"/>
        <v>0</v>
      </c>
      <c r="J515" s="33">
        <f>IF(Auto_Roster!M515="Y",G515,0)</f>
        <v>0</v>
      </c>
      <c r="K515" s="33">
        <f>IF(Auto_Roster!L515="Y",G515,0)</f>
        <v>0</v>
      </c>
      <c r="L515" s="26" t="str">
        <f>Auto_Roster!K515</f>
        <v>N</v>
      </c>
      <c r="M515" s="34">
        <f>IF(L515="Y",Settings!$B$16,0)</f>
        <v>0</v>
      </c>
      <c r="N515" s="33">
        <f t="shared" si="29"/>
        <v>0</v>
      </c>
      <c r="O515" s="34">
        <f>N515*Settings!$B$17</f>
        <v>0</v>
      </c>
      <c r="P515" s="34">
        <f>IFERROR(VLOOKUP(C515,Employees!$A$4:$E$103,5,FALSE),Settings!$B$18)</f>
        <v>100</v>
      </c>
      <c r="Q515" s="34">
        <f t="shared" si="30"/>
        <v>0</v>
      </c>
      <c r="R515" s="34">
        <f>H515*P515*Settings!$B$13</f>
        <v>0</v>
      </c>
      <c r="S515" s="34">
        <f>J515*P515*(Settings!$B$14-1)</f>
        <v>0</v>
      </c>
      <c r="T515" s="34">
        <f>K515*P515*(Settings!$B$15-1)</f>
        <v>0</v>
      </c>
      <c r="U515" s="34">
        <f t="shared" si="31"/>
        <v>0</v>
      </c>
      <c r="V515" s="26" t="str">
        <f>Auto_Roster!O515</f>
        <v>Pending</v>
      </c>
      <c r="W515" s="26" t="e">
        <f ca="1">_xludf.TEXTJOIN("; ",TRUE,Auto_Roster!N515,IF(G515&gt;Settings!$B$19,"Approval required &gt; standard hours",""),IF(AND(F515&lt;&gt;"Off",G515=0),"Missing claimed hours",""))</f>
        <v>#NAME?</v>
      </c>
      <c r="X515" s="7"/>
    </row>
    <row r="516" spans="1:24" x14ac:dyDescent="0.35">
      <c r="A516" s="31">
        <f>Auto_Roster!A516</f>
        <v>46168</v>
      </c>
      <c r="B516" s="31">
        <f>Auto_Roster!B516</f>
        <v>46167</v>
      </c>
      <c r="C516" s="26" t="str">
        <f>Auto_Roster!C516</f>
        <v/>
      </c>
      <c r="D516" s="26" t="str">
        <f>Auto_Roster!D516</f>
        <v/>
      </c>
      <c r="E516" s="26" t="str">
        <f>Auto_Roster!E516</f>
        <v/>
      </c>
      <c r="F516" s="26" t="str">
        <f>Auto_Roster!G516</f>
        <v/>
      </c>
      <c r="G516" s="33">
        <f>Auto_Roster!J516</f>
        <v>0</v>
      </c>
      <c r="H516" s="33">
        <f>IF(G516&gt;Settings!$B$19,G516-Settings!$B$19,0)</f>
        <v>0</v>
      </c>
      <c r="I516" s="33">
        <f t="shared" ref="I516:I579" si="32">MAX(0,G516-H516)</f>
        <v>0</v>
      </c>
      <c r="J516" s="33">
        <f>IF(Auto_Roster!M516="Y",G516,0)</f>
        <v>0</v>
      </c>
      <c r="K516" s="33">
        <f>IF(Auto_Roster!L516="Y",G516,0)</f>
        <v>0</v>
      </c>
      <c r="L516" s="26" t="str">
        <f>Auto_Roster!K516</f>
        <v>N</v>
      </c>
      <c r="M516" s="34">
        <f>IF(L516="Y",Settings!$B$16,0)</f>
        <v>0</v>
      </c>
      <c r="N516" s="33">
        <f t="shared" ref="N516:N579" si="33">IF(F516="Night",G516,0)</f>
        <v>0</v>
      </c>
      <c r="O516" s="34">
        <f>N516*Settings!$B$17</f>
        <v>0</v>
      </c>
      <c r="P516" s="34">
        <f>IFERROR(VLOOKUP(C516,Employees!$A$4:$E$103,5,FALSE),Settings!$B$18)</f>
        <v>100</v>
      </c>
      <c r="Q516" s="34">
        <f t="shared" ref="Q516:Q579" si="34">I516*P516</f>
        <v>0</v>
      </c>
      <c r="R516" s="34">
        <f>H516*P516*Settings!$B$13</f>
        <v>0</v>
      </c>
      <c r="S516" s="34">
        <f>J516*P516*(Settings!$B$14-1)</f>
        <v>0</v>
      </c>
      <c r="T516" s="34">
        <f>K516*P516*(Settings!$B$15-1)</f>
        <v>0</v>
      </c>
      <c r="U516" s="34">
        <f t="shared" ref="U516:U579" si="35">SUM(Q516:T516)+M516+O516</f>
        <v>0</v>
      </c>
      <c r="V516" s="26" t="str">
        <f>Auto_Roster!O516</f>
        <v>Pending</v>
      </c>
      <c r="W516" s="26" t="e">
        <f ca="1">_xludf.TEXTJOIN("; ",TRUE,Auto_Roster!N516,IF(G516&gt;Settings!$B$19,"Approval required &gt; standard hours",""),IF(AND(F516&lt;&gt;"Off",G516=0),"Missing claimed hours",""))</f>
        <v>#NAME?</v>
      </c>
      <c r="X516" s="7"/>
    </row>
    <row r="517" spans="1:24" x14ac:dyDescent="0.35">
      <c r="A517" s="31">
        <f>Auto_Roster!A517</f>
        <v>46168</v>
      </c>
      <c r="B517" s="31">
        <f>Auto_Roster!B517</f>
        <v>46167</v>
      </c>
      <c r="C517" s="26" t="str">
        <f>Auto_Roster!C517</f>
        <v/>
      </c>
      <c r="D517" s="26" t="str">
        <f>Auto_Roster!D517</f>
        <v/>
      </c>
      <c r="E517" s="26" t="str">
        <f>Auto_Roster!E517</f>
        <v/>
      </c>
      <c r="F517" s="26" t="str">
        <f>Auto_Roster!G517</f>
        <v/>
      </c>
      <c r="G517" s="33">
        <f>Auto_Roster!J517</f>
        <v>0</v>
      </c>
      <c r="H517" s="33">
        <f>IF(G517&gt;Settings!$B$19,G517-Settings!$B$19,0)</f>
        <v>0</v>
      </c>
      <c r="I517" s="33">
        <f t="shared" si="32"/>
        <v>0</v>
      </c>
      <c r="J517" s="33">
        <f>IF(Auto_Roster!M517="Y",G517,0)</f>
        <v>0</v>
      </c>
      <c r="K517" s="33">
        <f>IF(Auto_Roster!L517="Y",G517,0)</f>
        <v>0</v>
      </c>
      <c r="L517" s="26" t="str">
        <f>Auto_Roster!K517</f>
        <v>N</v>
      </c>
      <c r="M517" s="34">
        <f>IF(L517="Y",Settings!$B$16,0)</f>
        <v>0</v>
      </c>
      <c r="N517" s="33">
        <f t="shared" si="33"/>
        <v>0</v>
      </c>
      <c r="O517" s="34">
        <f>N517*Settings!$B$17</f>
        <v>0</v>
      </c>
      <c r="P517" s="34">
        <f>IFERROR(VLOOKUP(C517,Employees!$A$4:$E$103,5,FALSE),Settings!$B$18)</f>
        <v>100</v>
      </c>
      <c r="Q517" s="34">
        <f t="shared" si="34"/>
        <v>0</v>
      </c>
      <c r="R517" s="34">
        <f>H517*P517*Settings!$B$13</f>
        <v>0</v>
      </c>
      <c r="S517" s="34">
        <f>J517*P517*(Settings!$B$14-1)</f>
        <v>0</v>
      </c>
      <c r="T517" s="34">
        <f>K517*P517*(Settings!$B$15-1)</f>
        <v>0</v>
      </c>
      <c r="U517" s="34">
        <f t="shared" si="35"/>
        <v>0</v>
      </c>
      <c r="V517" s="26" t="str">
        <f>Auto_Roster!O517</f>
        <v>Pending</v>
      </c>
      <c r="W517" s="26" t="e">
        <f ca="1">_xludf.TEXTJOIN("; ",TRUE,Auto_Roster!N517,IF(G517&gt;Settings!$B$19,"Approval required &gt; standard hours",""),IF(AND(F517&lt;&gt;"Off",G517=0),"Missing claimed hours",""))</f>
        <v>#NAME?</v>
      </c>
      <c r="X517" s="7"/>
    </row>
    <row r="518" spans="1:24" x14ac:dyDescent="0.35">
      <c r="A518" s="31">
        <f>Auto_Roster!A518</f>
        <v>46168</v>
      </c>
      <c r="B518" s="31">
        <f>Auto_Roster!B518</f>
        <v>46167</v>
      </c>
      <c r="C518" s="26" t="str">
        <f>Auto_Roster!C518</f>
        <v/>
      </c>
      <c r="D518" s="26" t="str">
        <f>Auto_Roster!D518</f>
        <v/>
      </c>
      <c r="E518" s="26" t="str">
        <f>Auto_Roster!E518</f>
        <v/>
      </c>
      <c r="F518" s="26" t="str">
        <f>Auto_Roster!G518</f>
        <v/>
      </c>
      <c r="G518" s="33">
        <f>Auto_Roster!J518</f>
        <v>0</v>
      </c>
      <c r="H518" s="33">
        <f>IF(G518&gt;Settings!$B$19,G518-Settings!$B$19,0)</f>
        <v>0</v>
      </c>
      <c r="I518" s="33">
        <f t="shared" si="32"/>
        <v>0</v>
      </c>
      <c r="J518" s="33">
        <f>IF(Auto_Roster!M518="Y",G518,0)</f>
        <v>0</v>
      </c>
      <c r="K518" s="33">
        <f>IF(Auto_Roster!L518="Y",G518,0)</f>
        <v>0</v>
      </c>
      <c r="L518" s="26" t="str">
        <f>Auto_Roster!K518</f>
        <v>N</v>
      </c>
      <c r="M518" s="34">
        <f>IF(L518="Y",Settings!$B$16,0)</f>
        <v>0</v>
      </c>
      <c r="N518" s="33">
        <f t="shared" si="33"/>
        <v>0</v>
      </c>
      <c r="O518" s="34">
        <f>N518*Settings!$B$17</f>
        <v>0</v>
      </c>
      <c r="P518" s="34">
        <f>IFERROR(VLOOKUP(C518,Employees!$A$4:$E$103,5,FALSE),Settings!$B$18)</f>
        <v>100</v>
      </c>
      <c r="Q518" s="34">
        <f t="shared" si="34"/>
        <v>0</v>
      </c>
      <c r="R518" s="34">
        <f>H518*P518*Settings!$B$13</f>
        <v>0</v>
      </c>
      <c r="S518" s="34">
        <f>J518*P518*(Settings!$B$14-1)</f>
        <v>0</v>
      </c>
      <c r="T518" s="34">
        <f>K518*P518*(Settings!$B$15-1)</f>
        <v>0</v>
      </c>
      <c r="U518" s="34">
        <f t="shared" si="35"/>
        <v>0</v>
      </c>
      <c r="V518" s="26" t="str">
        <f>Auto_Roster!O518</f>
        <v>Pending</v>
      </c>
      <c r="W518" s="26" t="e">
        <f ca="1">_xludf.TEXTJOIN("; ",TRUE,Auto_Roster!N518,IF(G518&gt;Settings!$B$19,"Approval required &gt; standard hours",""),IF(AND(F518&lt;&gt;"Off",G518=0),"Missing claimed hours",""))</f>
        <v>#NAME?</v>
      </c>
      <c r="X518" s="7"/>
    </row>
    <row r="519" spans="1:24" x14ac:dyDescent="0.35">
      <c r="A519" s="31">
        <f>Auto_Roster!A519</f>
        <v>46168</v>
      </c>
      <c r="B519" s="31">
        <f>Auto_Roster!B519</f>
        <v>46167</v>
      </c>
      <c r="C519" s="26" t="str">
        <f>Auto_Roster!C519</f>
        <v/>
      </c>
      <c r="D519" s="26" t="str">
        <f>Auto_Roster!D519</f>
        <v/>
      </c>
      <c r="E519" s="26" t="str">
        <f>Auto_Roster!E519</f>
        <v/>
      </c>
      <c r="F519" s="26" t="str">
        <f>Auto_Roster!G519</f>
        <v/>
      </c>
      <c r="G519" s="33">
        <f>Auto_Roster!J519</f>
        <v>0</v>
      </c>
      <c r="H519" s="33">
        <f>IF(G519&gt;Settings!$B$19,G519-Settings!$B$19,0)</f>
        <v>0</v>
      </c>
      <c r="I519" s="33">
        <f t="shared" si="32"/>
        <v>0</v>
      </c>
      <c r="J519" s="33">
        <f>IF(Auto_Roster!M519="Y",G519,0)</f>
        <v>0</v>
      </c>
      <c r="K519" s="33">
        <f>IF(Auto_Roster!L519="Y",G519,0)</f>
        <v>0</v>
      </c>
      <c r="L519" s="26" t="str">
        <f>Auto_Roster!K519</f>
        <v>N</v>
      </c>
      <c r="M519" s="34">
        <f>IF(L519="Y",Settings!$B$16,0)</f>
        <v>0</v>
      </c>
      <c r="N519" s="33">
        <f t="shared" si="33"/>
        <v>0</v>
      </c>
      <c r="O519" s="34">
        <f>N519*Settings!$B$17</f>
        <v>0</v>
      </c>
      <c r="P519" s="34">
        <f>IFERROR(VLOOKUP(C519,Employees!$A$4:$E$103,5,FALSE),Settings!$B$18)</f>
        <v>100</v>
      </c>
      <c r="Q519" s="34">
        <f t="shared" si="34"/>
        <v>0</v>
      </c>
      <c r="R519" s="34">
        <f>H519*P519*Settings!$B$13</f>
        <v>0</v>
      </c>
      <c r="S519" s="34">
        <f>J519*P519*(Settings!$B$14-1)</f>
        <v>0</v>
      </c>
      <c r="T519" s="34">
        <f>K519*P519*(Settings!$B$15-1)</f>
        <v>0</v>
      </c>
      <c r="U519" s="34">
        <f t="shared" si="35"/>
        <v>0</v>
      </c>
      <c r="V519" s="26" t="str">
        <f>Auto_Roster!O519</f>
        <v>Pending</v>
      </c>
      <c r="W519" s="26" t="e">
        <f ca="1">_xludf.TEXTJOIN("; ",TRUE,Auto_Roster!N519,IF(G519&gt;Settings!$B$19,"Approval required &gt; standard hours",""),IF(AND(F519&lt;&gt;"Off",G519=0),"Missing claimed hours",""))</f>
        <v>#NAME?</v>
      </c>
      <c r="X519" s="7"/>
    </row>
    <row r="520" spans="1:24" x14ac:dyDescent="0.35">
      <c r="A520" s="31">
        <f>Auto_Roster!A520</f>
        <v>46168</v>
      </c>
      <c r="B520" s="31">
        <f>Auto_Roster!B520</f>
        <v>46167</v>
      </c>
      <c r="C520" s="26" t="str">
        <f>Auto_Roster!C520</f>
        <v/>
      </c>
      <c r="D520" s="26" t="str">
        <f>Auto_Roster!D520</f>
        <v/>
      </c>
      <c r="E520" s="26" t="str">
        <f>Auto_Roster!E520</f>
        <v/>
      </c>
      <c r="F520" s="26" t="str">
        <f>Auto_Roster!G520</f>
        <v/>
      </c>
      <c r="G520" s="33">
        <f>Auto_Roster!J520</f>
        <v>0</v>
      </c>
      <c r="H520" s="33">
        <f>IF(G520&gt;Settings!$B$19,G520-Settings!$B$19,0)</f>
        <v>0</v>
      </c>
      <c r="I520" s="33">
        <f t="shared" si="32"/>
        <v>0</v>
      </c>
      <c r="J520" s="33">
        <f>IF(Auto_Roster!M520="Y",G520,0)</f>
        <v>0</v>
      </c>
      <c r="K520" s="33">
        <f>IF(Auto_Roster!L520="Y",G520,0)</f>
        <v>0</v>
      </c>
      <c r="L520" s="26" t="str">
        <f>Auto_Roster!K520</f>
        <v>N</v>
      </c>
      <c r="M520" s="34">
        <f>IF(L520="Y",Settings!$B$16,0)</f>
        <v>0</v>
      </c>
      <c r="N520" s="33">
        <f t="shared" si="33"/>
        <v>0</v>
      </c>
      <c r="O520" s="34">
        <f>N520*Settings!$B$17</f>
        <v>0</v>
      </c>
      <c r="P520" s="34">
        <f>IFERROR(VLOOKUP(C520,Employees!$A$4:$E$103,5,FALSE),Settings!$B$18)</f>
        <v>100</v>
      </c>
      <c r="Q520" s="34">
        <f t="shared" si="34"/>
        <v>0</v>
      </c>
      <c r="R520" s="34">
        <f>H520*P520*Settings!$B$13</f>
        <v>0</v>
      </c>
      <c r="S520" s="34">
        <f>J520*P520*(Settings!$B$14-1)</f>
        <v>0</v>
      </c>
      <c r="T520" s="34">
        <f>K520*P520*(Settings!$B$15-1)</f>
        <v>0</v>
      </c>
      <c r="U520" s="34">
        <f t="shared" si="35"/>
        <v>0</v>
      </c>
      <c r="V520" s="26" t="str">
        <f>Auto_Roster!O520</f>
        <v>Pending</v>
      </c>
      <c r="W520" s="26" t="e">
        <f ca="1">_xludf.TEXTJOIN("; ",TRUE,Auto_Roster!N520,IF(G520&gt;Settings!$B$19,"Approval required &gt; standard hours",""),IF(AND(F520&lt;&gt;"Off",G520=0),"Missing claimed hours",""))</f>
        <v>#NAME?</v>
      </c>
      <c r="X520" s="7"/>
    </row>
    <row r="521" spans="1:24" x14ac:dyDescent="0.35">
      <c r="A521" s="31">
        <f>Auto_Roster!A521</f>
        <v>46168</v>
      </c>
      <c r="B521" s="31">
        <f>Auto_Roster!B521</f>
        <v>46167</v>
      </c>
      <c r="C521" s="26" t="str">
        <f>Auto_Roster!C521</f>
        <v/>
      </c>
      <c r="D521" s="26" t="str">
        <f>Auto_Roster!D521</f>
        <v/>
      </c>
      <c r="E521" s="26" t="str">
        <f>Auto_Roster!E521</f>
        <v/>
      </c>
      <c r="F521" s="26" t="str">
        <f>Auto_Roster!G521</f>
        <v/>
      </c>
      <c r="G521" s="33">
        <f>Auto_Roster!J521</f>
        <v>0</v>
      </c>
      <c r="H521" s="33">
        <f>IF(G521&gt;Settings!$B$19,G521-Settings!$B$19,0)</f>
        <v>0</v>
      </c>
      <c r="I521" s="33">
        <f t="shared" si="32"/>
        <v>0</v>
      </c>
      <c r="J521" s="33">
        <f>IF(Auto_Roster!M521="Y",G521,0)</f>
        <v>0</v>
      </c>
      <c r="K521" s="33">
        <f>IF(Auto_Roster!L521="Y",G521,0)</f>
        <v>0</v>
      </c>
      <c r="L521" s="26" t="str">
        <f>Auto_Roster!K521</f>
        <v>N</v>
      </c>
      <c r="M521" s="34">
        <f>IF(L521="Y",Settings!$B$16,0)</f>
        <v>0</v>
      </c>
      <c r="N521" s="33">
        <f t="shared" si="33"/>
        <v>0</v>
      </c>
      <c r="O521" s="34">
        <f>N521*Settings!$B$17</f>
        <v>0</v>
      </c>
      <c r="P521" s="34">
        <f>IFERROR(VLOOKUP(C521,Employees!$A$4:$E$103,5,FALSE),Settings!$B$18)</f>
        <v>100</v>
      </c>
      <c r="Q521" s="34">
        <f t="shared" si="34"/>
        <v>0</v>
      </c>
      <c r="R521" s="34">
        <f>H521*P521*Settings!$B$13</f>
        <v>0</v>
      </c>
      <c r="S521" s="34">
        <f>J521*P521*(Settings!$B$14-1)</f>
        <v>0</v>
      </c>
      <c r="T521" s="34">
        <f>K521*P521*(Settings!$B$15-1)</f>
        <v>0</v>
      </c>
      <c r="U521" s="34">
        <f t="shared" si="35"/>
        <v>0</v>
      </c>
      <c r="V521" s="26" t="str">
        <f>Auto_Roster!O521</f>
        <v>Pending</v>
      </c>
      <c r="W521" s="26" t="e">
        <f ca="1">_xludf.TEXTJOIN("; ",TRUE,Auto_Roster!N521,IF(G521&gt;Settings!$B$19,"Approval required &gt; standard hours",""),IF(AND(F521&lt;&gt;"Off",G521=0),"Missing claimed hours",""))</f>
        <v>#NAME?</v>
      </c>
      <c r="X521" s="7"/>
    </row>
    <row r="522" spans="1:24" x14ac:dyDescent="0.35">
      <c r="A522" s="31">
        <f>Auto_Roster!A522</f>
        <v>46168</v>
      </c>
      <c r="B522" s="31">
        <f>Auto_Roster!B522</f>
        <v>46167</v>
      </c>
      <c r="C522" s="26" t="str">
        <f>Auto_Roster!C522</f>
        <v/>
      </c>
      <c r="D522" s="26" t="str">
        <f>Auto_Roster!D522</f>
        <v/>
      </c>
      <c r="E522" s="26" t="str">
        <f>Auto_Roster!E522</f>
        <v/>
      </c>
      <c r="F522" s="26" t="str">
        <f>Auto_Roster!G522</f>
        <v/>
      </c>
      <c r="G522" s="33">
        <f>Auto_Roster!J522</f>
        <v>0</v>
      </c>
      <c r="H522" s="33">
        <f>IF(G522&gt;Settings!$B$19,G522-Settings!$B$19,0)</f>
        <v>0</v>
      </c>
      <c r="I522" s="33">
        <f t="shared" si="32"/>
        <v>0</v>
      </c>
      <c r="J522" s="33">
        <f>IF(Auto_Roster!M522="Y",G522,0)</f>
        <v>0</v>
      </c>
      <c r="K522" s="33">
        <f>IF(Auto_Roster!L522="Y",G522,0)</f>
        <v>0</v>
      </c>
      <c r="L522" s="26" t="str">
        <f>Auto_Roster!K522</f>
        <v>N</v>
      </c>
      <c r="M522" s="34">
        <f>IF(L522="Y",Settings!$B$16,0)</f>
        <v>0</v>
      </c>
      <c r="N522" s="33">
        <f t="shared" si="33"/>
        <v>0</v>
      </c>
      <c r="O522" s="34">
        <f>N522*Settings!$B$17</f>
        <v>0</v>
      </c>
      <c r="P522" s="34">
        <f>IFERROR(VLOOKUP(C522,Employees!$A$4:$E$103,5,FALSE),Settings!$B$18)</f>
        <v>100</v>
      </c>
      <c r="Q522" s="34">
        <f t="shared" si="34"/>
        <v>0</v>
      </c>
      <c r="R522" s="34">
        <f>H522*P522*Settings!$B$13</f>
        <v>0</v>
      </c>
      <c r="S522" s="34">
        <f>J522*P522*(Settings!$B$14-1)</f>
        <v>0</v>
      </c>
      <c r="T522" s="34">
        <f>K522*P522*(Settings!$B$15-1)</f>
        <v>0</v>
      </c>
      <c r="U522" s="34">
        <f t="shared" si="35"/>
        <v>0</v>
      </c>
      <c r="V522" s="26" t="str">
        <f>Auto_Roster!O522</f>
        <v>Pending</v>
      </c>
      <c r="W522" s="26" t="e">
        <f ca="1">_xludf.TEXTJOIN("; ",TRUE,Auto_Roster!N522,IF(G522&gt;Settings!$B$19,"Approval required &gt; standard hours",""),IF(AND(F522&lt;&gt;"Off",G522=0),"Missing claimed hours",""))</f>
        <v>#NAME?</v>
      </c>
      <c r="X522" s="7"/>
    </row>
    <row r="523" spans="1:24" x14ac:dyDescent="0.35">
      <c r="A523" s="31">
        <f>Auto_Roster!A523</f>
        <v>46168</v>
      </c>
      <c r="B523" s="31">
        <f>Auto_Roster!B523</f>
        <v>46167</v>
      </c>
      <c r="C523" s="26" t="str">
        <f>Auto_Roster!C523</f>
        <v/>
      </c>
      <c r="D523" s="26" t="str">
        <f>Auto_Roster!D523</f>
        <v/>
      </c>
      <c r="E523" s="26" t="str">
        <f>Auto_Roster!E523</f>
        <v/>
      </c>
      <c r="F523" s="26" t="str">
        <f>Auto_Roster!G523</f>
        <v/>
      </c>
      <c r="G523" s="33">
        <f>Auto_Roster!J523</f>
        <v>0</v>
      </c>
      <c r="H523" s="33">
        <f>IF(G523&gt;Settings!$B$19,G523-Settings!$B$19,0)</f>
        <v>0</v>
      </c>
      <c r="I523" s="33">
        <f t="shared" si="32"/>
        <v>0</v>
      </c>
      <c r="J523" s="33">
        <f>IF(Auto_Roster!M523="Y",G523,0)</f>
        <v>0</v>
      </c>
      <c r="K523" s="33">
        <f>IF(Auto_Roster!L523="Y",G523,0)</f>
        <v>0</v>
      </c>
      <c r="L523" s="26" t="str">
        <f>Auto_Roster!K523</f>
        <v>N</v>
      </c>
      <c r="M523" s="34">
        <f>IF(L523="Y",Settings!$B$16,0)</f>
        <v>0</v>
      </c>
      <c r="N523" s="33">
        <f t="shared" si="33"/>
        <v>0</v>
      </c>
      <c r="O523" s="34">
        <f>N523*Settings!$B$17</f>
        <v>0</v>
      </c>
      <c r="P523" s="34">
        <f>IFERROR(VLOOKUP(C523,Employees!$A$4:$E$103,5,FALSE),Settings!$B$18)</f>
        <v>100</v>
      </c>
      <c r="Q523" s="34">
        <f t="shared" si="34"/>
        <v>0</v>
      </c>
      <c r="R523" s="34">
        <f>H523*P523*Settings!$B$13</f>
        <v>0</v>
      </c>
      <c r="S523" s="34">
        <f>J523*P523*(Settings!$B$14-1)</f>
        <v>0</v>
      </c>
      <c r="T523" s="34">
        <f>K523*P523*(Settings!$B$15-1)</f>
        <v>0</v>
      </c>
      <c r="U523" s="34">
        <f t="shared" si="35"/>
        <v>0</v>
      </c>
      <c r="V523" s="26" t="str">
        <f>Auto_Roster!O523</f>
        <v>Pending</v>
      </c>
      <c r="W523" s="26" t="e">
        <f ca="1">_xludf.TEXTJOIN("; ",TRUE,Auto_Roster!N523,IF(G523&gt;Settings!$B$19,"Approval required &gt; standard hours",""),IF(AND(F523&lt;&gt;"Off",G523=0),"Missing claimed hours",""))</f>
        <v>#NAME?</v>
      </c>
      <c r="X523" s="7"/>
    </row>
    <row r="524" spans="1:24" x14ac:dyDescent="0.35">
      <c r="A524" s="31">
        <f>Auto_Roster!A524</f>
        <v>46169</v>
      </c>
      <c r="B524" s="31">
        <f>Auto_Roster!B524</f>
        <v>46167</v>
      </c>
      <c r="C524" s="26" t="str">
        <f>Auto_Roster!C524</f>
        <v>E001</v>
      </c>
      <c r="D524" s="26" t="str">
        <f>Auto_Roster!D524</f>
        <v>Musiwa Khavalani</v>
      </c>
      <c r="E524" s="26">
        <f>Auto_Roster!E524</f>
        <v>0</v>
      </c>
      <c r="F524" s="26" t="e">
        <f>Auto_Roster!G524</f>
        <v>#N/A</v>
      </c>
      <c r="G524" s="33" t="e">
        <f>Auto_Roster!J524</f>
        <v>#N/A</v>
      </c>
      <c r="H524" s="33" t="e">
        <f>IF(G524&gt;Settings!$B$19,G524-Settings!$B$19,0)</f>
        <v>#N/A</v>
      </c>
      <c r="I524" s="33" t="e">
        <f t="shared" si="32"/>
        <v>#N/A</v>
      </c>
      <c r="J524" s="33">
        <f>IF(Auto_Roster!M524="Y",G524,0)</f>
        <v>0</v>
      </c>
      <c r="K524" s="33">
        <f>IF(Auto_Roster!L524="Y",G524,0)</f>
        <v>0</v>
      </c>
      <c r="L524" s="26" t="str">
        <f>Auto_Roster!K524</f>
        <v>N</v>
      </c>
      <c r="M524" s="34">
        <f>IF(L524="Y",Settings!$B$16,0)</f>
        <v>0</v>
      </c>
      <c r="N524" s="33" t="e">
        <f t="shared" si="33"/>
        <v>#N/A</v>
      </c>
      <c r="O524" s="34" t="e">
        <f>N524*Settings!$B$17</f>
        <v>#N/A</v>
      </c>
      <c r="P524" s="34">
        <f>IFERROR(VLOOKUP(C524,Employees!$A$4:$E$103,5,FALSE),Settings!$B$18)</f>
        <v>100</v>
      </c>
      <c r="Q524" s="34" t="e">
        <f t="shared" si="34"/>
        <v>#N/A</v>
      </c>
      <c r="R524" s="34" t="e">
        <f>H524*P524*Settings!$B$13</f>
        <v>#N/A</v>
      </c>
      <c r="S524" s="34">
        <f>J524*P524*(Settings!$B$14-1)</f>
        <v>0</v>
      </c>
      <c r="T524" s="34">
        <f>K524*P524*(Settings!$B$15-1)</f>
        <v>0</v>
      </c>
      <c r="U524" s="34" t="e">
        <f t="shared" si="35"/>
        <v>#N/A</v>
      </c>
      <c r="V524" s="26" t="str">
        <f>Auto_Roster!O524</f>
        <v>Pending</v>
      </c>
      <c r="W524" s="26" t="e">
        <f ca="1">_xludf.TEXTJOIN("; ",TRUE,Auto_Roster!N524,IF(G524&gt;Settings!$B$19,"Approval required &gt; standard hours",""),IF(AND(F524&lt;&gt;"Off",G524=0),"Missing claimed hours",""))</f>
        <v>#NAME?</v>
      </c>
      <c r="X524" s="7"/>
    </row>
    <row r="525" spans="1:24" x14ac:dyDescent="0.35">
      <c r="A525" s="31">
        <f>Auto_Roster!A525</f>
        <v>46169</v>
      </c>
      <c r="B525" s="31">
        <f>Auto_Roster!B525</f>
        <v>46167</v>
      </c>
      <c r="C525" s="26" t="str">
        <f>Auto_Roster!C525</f>
        <v>E002</v>
      </c>
      <c r="D525" s="26" t="str">
        <f>Auto_Roster!D525</f>
        <v>Mpho  Nembemhia</v>
      </c>
      <c r="E525" s="26" t="str">
        <f>Auto_Roster!E525</f>
        <v>B</v>
      </c>
      <c r="F525" s="26" t="str">
        <f>Auto_Roster!G525</f>
        <v>Evening</v>
      </c>
      <c r="G525" s="33">
        <f>Auto_Roster!J525</f>
        <v>8</v>
      </c>
      <c r="H525" s="33">
        <f>IF(G525&gt;Settings!$B$19,G525-Settings!$B$19,0)</f>
        <v>0</v>
      </c>
      <c r="I525" s="33">
        <f t="shared" si="32"/>
        <v>8</v>
      </c>
      <c r="J525" s="33">
        <f>IF(Auto_Roster!M525="Y",G525,0)</f>
        <v>0</v>
      </c>
      <c r="K525" s="33">
        <f>IF(Auto_Roster!L525="Y",G525,0)</f>
        <v>0</v>
      </c>
      <c r="L525" s="26" t="str">
        <f>Auto_Roster!K525</f>
        <v>N</v>
      </c>
      <c r="M525" s="34">
        <f>IF(L525="Y",Settings!$B$16,0)</f>
        <v>0</v>
      </c>
      <c r="N525" s="33">
        <f t="shared" si="33"/>
        <v>0</v>
      </c>
      <c r="O525" s="34">
        <f>N525*Settings!$B$17</f>
        <v>0</v>
      </c>
      <c r="P525" s="34">
        <f>IFERROR(VLOOKUP(C525,Employees!$A$4:$E$103,5,FALSE),Settings!$B$18)</f>
        <v>100</v>
      </c>
      <c r="Q525" s="34">
        <f t="shared" si="34"/>
        <v>800</v>
      </c>
      <c r="R525" s="34">
        <f>H525*P525*Settings!$B$13</f>
        <v>0</v>
      </c>
      <c r="S525" s="34">
        <f>J525*P525*(Settings!$B$14-1)</f>
        <v>0</v>
      </c>
      <c r="T525" s="34">
        <f>K525*P525*(Settings!$B$15-1)</f>
        <v>0</v>
      </c>
      <c r="U525" s="34">
        <f t="shared" si="35"/>
        <v>800</v>
      </c>
      <c r="V525" s="26" t="str">
        <f>Auto_Roster!O525</f>
        <v>Pending</v>
      </c>
      <c r="W525" s="26" t="e">
        <f ca="1">_xludf.TEXTJOIN("; ",TRUE,Auto_Roster!N525,IF(G525&gt;Settings!$B$19,"Approval required &gt; standard hours",""),IF(AND(F525&lt;&gt;"Off",G525=0),"Missing claimed hours",""))</f>
        <v>#NAME?</v>
      </c>
      <c r="X525" s="7"/>
    </row>
    <row r="526" spans="1:24" x14ac:dyDescent="0.35">
      <c r="A526" s="31">
        <f>Auto_Roster!A526</f>
        <v>46169</v>
      </c>
      <c r="B526" s="31">
        <f>Auto_Roster!B526</f>
        <v>46167</v>
      </c>
      <c r="C526" s="26" t="str">
        <f>Auto_Roster!C526</f>
        <v>E003</v>
      </c>
      <c r="D526" s="26" t="str">
        <f>Auto_Roster!D526</f>
        <v>Dimpho Makhafola</v>
      </c>
      <c r="E526" s="26" t="str">
        <f>Auto_Roster!E526</f>
        <v>C</v>
      </c>
      <c r="F526" s="26" t="str">
        <f>Auto_Roster!G526</f>
        <v>Day</v>
      </c>
      <c r="G526" s="33">
        <f>Auto_Roster!J526</f>
        <v>8</v>
      </c>
      <c r="H526" s="33">
        <f>IF(G526&gt;Settings!$B$19,G526-Settings!$B$19,0)</f>
        <v>0</v>
      </c>
      <c r="I526" s="33">
        <f t="shared" si="32"/>
        <v>8</v>
      </c>
      <c r="J526" s="33">
        <f>IF(Auto_Roster!M526="Y",G526,0)</f>
        <v>0</v>
      </c>
      <c r="K526" s="33">
        <f>IF(Auto_Roster!L526="Y",G526,0)</f>
        <v>0</v>
      </c>
      <c r="L526" s="26" t="str">
        <f>Auto_Roster!K526</f>
        <v>N</v>
      </c>
      <c r="M526" s="34">
        <f>IF(L526="Y",Settings!$B$16,0)</f>
        <v>0</v>
      </c>
      <c r="N526" s="33">
        <f t="shared" si="33"/>
        <v>0</v>
      </c>
      <c r="O526" s="34">
        <f>N526*Settings!$B$17</f>
        <v>0</v>
      </c>
      <c r="P526" s="34">
        <f>IFERROR(VLOOKUP(C526,Employees!$A$4:$E$103,5,FALSE),Settings!$B$18)</f>
        <v>100</v>
      </c>
      <c r="Q526" s="34">
        <f t="shared" si="34"/>
        <v>800</v>
      </c>
      <c r="R526" s="34">
        <f>H526*P526*Settings!$B$13</f>
        <v>0</v>
      </c>
      <c r="S526" s="34">
        <f>J526*P526*(Settings!$B$14-1)</f>
        <v>0</v>
      </c>
      <c r="T526" s="34">
        <f>K526*P526*(Settings!$B$15-1)</f>
        <v>0</v>
      </c>
      <c r="U526" s="34">
        <f t="shared" si="35"/>
        <v>800</v>
      </c>
      <c r="V526" s="26" t="str">
        <f>Auto_Roster!O526</f>
        <v>Pending</v>
      </c>
      <c r="W526" s="26" t="e">
        <f ca="1">_xludf.TEXTJOIN("; ",TRUE,Auto_Roster!N526,IF(G526&gt;Settings!$B$19,"Approval required &gt; standard hours",""),IF(AND(F526&lt;&gt;"Off",G526=0),"Missing claimed hours",""))</f>
        <v>#NAME?</v>
      </c>
      <c r="X526" s="7"/>
    </row>
    <row r="527" spans="1:24" x14ac:dyDescent="0.35">
      <c r="A527" s="31">
        <f>Auto_Roster!A527</f>
        <v>46169</v>
      </c>
      <c r="B527" s="31">
        <f>Auto_Roster!B527</f>
        <v>46167</v>
      </c>
      <c r="C527" s="26" t="str">
        <f>Auto_Roster!C527</f>
        <v>E004</v>
      </c>
      <c r="D527" s="26" t="str">
        <f>Auto_Roster!D527</f>
        <v>Bashii Fall</v>
      </c>
      <c r="E527" s="26" t="str">
        <f>Auto_Roster!E527</f>
        <v>D</v>
      </c>
      <c r="F527" s="26" t="str">
        <f>Auto_Roster!G527</f>
        <v>Off</v>
      </c>
      <c r="G527" s="33">
        <f>Auto_Roster!J527</f>
        <v>0</v>
      </c>
      <c r="H527" s="33">
        <f>IF(G527&gt;Settings!$B$19,G527-Settings!$B$19,0)</f>
        <v>0</v>
      </c>
      <c r="I527" s="33">
        <f t="shared" si="32"/>
        <v>0</v>
      </c>
      <c r="J527" s="33">
        <f>IF(Auto_Roster!M527="Y",G527,0)</f>
        <v>0</v>
      </c>
      <c r="K527" s="33">
        <f>IF(Auto_Roster!L527="Y",G527,0)</f>
        <v>0</v>
      </c>
      <c r="L527" s="26" t="str">
        <f>Auto_Roster!K527</f>
        <v>N</v>
      </c>
      <c r="M527" s="34">
        <f>IF(L527="Y",Settings!$B$16,0)</f>
        <v>0</v>
      </c>
      <c r="N527" s="33">
        <f t="shared" si="33"/>
        <v>0</v>
      </c>
      <c r="O527" s="34">
        <f>N527*Settings!$B$17</f>
        <v>0</v>
      </c>
      <c r="P527" s="34">
        <f>IFERROR(VLOOKUP(C527,Employees!$A$4:$E$103,5,FALSE),Settings!$B$18)</f>
        <v>100</v>
      </c>
      <c r="Q527" s="34">
        <f t="shared" si="34"/>
        <v>0</v>
      </c>
      <c r="R527" s="34">
        <f>H527*P527*Settings!$B$13</f>
        <v>0</v>
      </c>
      <c r="S527" s="34">
        <f>J527*P527*(Settings!$B$14-1)</f>
        <v>0</v>
      </c>
      <c r="T527" s="34">
        <f>K527*P527*(Settings!$B$15-1)</f>
        <v>0</v>
      </c>
      <c r="U527" s="34">
        <f t="shared" si="35"/>
        <v>0</v>
      </c>
      <c r="V527" s="26" t="str">
        <f>Auto_Roster!O527</f>
        <v>Pending</v>
      </c>
      <c r="W527" s="26" t="e">
        <f ca="1">_xludf.TEXTJOIN("; ",TRUE,Auto_Roster!N527,IF(G527&gt;Settings!$B$19,"Approval required &gt; standard hours",""),IF(AND(F527&lt;&gt;"Off",G527=0),"Missing claimed hours",""))</f>
        <v>#NAME?</v>
      </c>
      <c r="X527" s="7"/>
    </row>
    <row r="528" spans="1:24" x14ac:dyDescent="0.35">
      <c r="A528" s="31">
        <f>Auto_Roster!A528</f>
        <v>46169</v>
      </c>
      <c r="B528" s="31">
        <f>Auto_Roster!B528</f>
        <v>46167</v>
      </c>
      <c r="C528" s="26" t="str">
        <f>Auto_Roster!C528</f>
        <v>E005</v>
      </c>
      <c r="D528" s="26" t="str">
        <f>Auto_Roster!D528</f>
        <v>Lesego Aphane</v>
      </c>
      <c r="E528" s="26" t="str">
        <f>Auto_Roster!E528</f>
        <v>A</v>
      </c>
      <c r="F528" s="26" t="str">
        <f>Auto_Roster!G528</f>
        <v>Night</v>
      </c>
      <c r="G528" s="33">
        <f>Auto_Roster!J528</f>
        <v>8</v>
      </c>
      <c r="H528" s="33">
        <f>IF(G528&gt;Settings!$B$19,G528-Settings!$B$19,0)</f>
        <v>0</v>
      </c>
      <c r="I528" s="33">
        <f t="shared" si="32"/>
        <v>8</v>
      </c>
      <c r="J528" s="33">
        <f>IF(Auto_Roster!M528="Y",G528,0)</f>
        <v>0</v>
      </c>
      <c r="K528" s="33">
        <f>IF(Auto_Roster!L528="Y",G528,0)</f>
        <v>0</v>
      </c>
      <c r="L528" s="26" t="str">
        <f>Auto_Roster!K528</f>
        <v>N</v>
      </c>
      <c r="M528" s="34">
        <f>IF(L528="Y",Settings!$B$16,0)</f>
        <v>0</v>
      </c>
      <c r="N528" s="33">
        <f t="shared" si="33"/>
        <v>8</v>
      </c>
      <c r="O528" s="34">
        <f>N528*Settings!$B$17</f>
        <v>0</v>
      </c>
      <c r="P528" s="34">
        <f>IFERROR(VLOOKUP(C528,Employees!$A$4:$E$103,5,FALSE),Settings!$B$18)</f>
        <v>100</v>
      </c>
      <c r="Q528" s="34">
        <f t="shared" si="34"/>
        <v>800</v>
      </c>
      <c r="R528" s="34">
        <f>H528*P528*Settings!$B$13</f>
        <v>0</v>
      </c>
      <c r="S528" s="34">
        <f>J528*P528*(Settings!$B$14-1)</f>
        <v>0</v>
      </c>
      <c r="T528" s="34">
        <f>K528*P528*(Settings!$B$15-1)</f>
        <v>0</v>
      </c>
      <c r="U528" s="34">
        <f t="shared" si="35"/>
        <v>800</v>
      </c>
      <c r="V528" s="26" t="str">
        <f>Auto_Roster!O528</f>
        <v>Pending</v>
      </c>
      <c r="W528" s="26" t="e">
        <f ca="1">_xludf.TEXTJOIN("; ",TRUE,Auto_Roster!N528,IF(G528&gt;Settings!$B$19,"Approval required &gt; standard hours",""),IF(AND(F528&lt;&gt;"Off",G528=0),"Missing claimed hours",""))</f>
        <v>#NAME?</v>
      </c>
      <c r="X528" s="7"/>
    </row>
    <row r="529" spans="1:24" x14ac:dyDescent="0.35">
      <c r="A529" s="31">
        <f>Auto_Roster!A529</f>
        <v>46169</v>
      </c>
      <c r="B529" s="31">
        <f>Auto_Roster!B529</f>
        <v>46167</v>
      </c>
      <c r="C529" s="26" t="str">
        <f>Auto_Roster!C529</f>
        <v>E006</v>
      </c>
      <c r="D529" s="26" t="str">
        <f>Auto_Roster!D529</f>
        <v>Nhalnahla</v>
      </c>
      <c r="E529" s="26" t="str">
        <f>Auto_Roster!E529</f>
        <v>B</v>
      </c>
      <c r="F529" s="26" t="str">
        <f>Auto_Roster!G529</f>
        <v>Evening</v>
      </c>
      <c r="G529" s="33">
        <f>Auto_Roster!J529</f>
        <v>8</v>
      </c>
      <c r="H529" s="33">
        <f>IF(G529&gt;Settings!$B$19,G529-Settings!$B$19,0)</f>
        <v>0</v>
      </c>
      <c r="I529" s="33">
        <f t="shared" si="32"/>
        <v>8</v>
      </c>
      <c r="J529" s="33">
        <f>IF(Auto_Roster!M529="Y",G529,0)</f>
        <v>0</v>
      </c>
      <c r="K529" s="33">
        <f>IF(Auto_Roster!L529="Y",G529,0)</f>
        <v>0</v>
      </c>
      <c r="L529" s="26" t="str">
        <f>Auto_Roster!K529</f>
        <v>N</v>
      </c>
      <c r="M529" s="34">
        <f>IF(L529="Y",Settings!$B$16,0)</f>
        <v>0</v>
      </c>
      <c r="N529" s="33">
        <f t="shared" si="33"/>
        <v>0</v>
      </c>
      <c r="O529" s="34">
        <f>N529*Settings!$B$17</f>
        <v>0</v>
      </c>
      <c r="P529" s="34">
        <f>IFERROR(VLOOKUP(C529,Employees!$A$4:$E$103,5,FALSE),Settings!$B$18)</f>
        <v>100</v>
      </c>
      <c r="Q529" s="34">
        <f t="shared" si="34"/>
        <v>800</v>
      </c>
      <c r="R529" s="34">
        <f>H529*P529*Settings!$B$13</f>
        <v>0</v>
      </c>
      <c r="S529" s="34">
        <f>J529*P529*(Settings!$B$14-1)</f>
        <v>0</v>
      </c>
      <c r="T529" s="34">
        <f>K529*P529*(Settings!$B$15-1)</f>
        <v>0</v>
      </c>
      <c r="U529" s="34">
        <f t="shared" si="35"/>
        <v>800</v>
      </c>
      <c r="V529" s="26" t="str">
        <f>Auto_Roster!O529</f>
        <v>Pending</v>
      </c>
      <c r="W529" s="26" t="e">
        <f ca="1">_xludf.TEXTJOIN("; ",TRUE,Auto_Roster!N529,IF(G529&gt;Settings!$B$19,"Approval required &gt; standard hours",""),IF(AND(F529&lt;&gt;"Off",G529=0),"Missing claimed hours",""))</f>
        <v>#NAME?</v>
      </c>
      <c r="X529" s="7"/>
    </row>
    <row r="530" spans="1:24" x14ac:dyDescent="0.35">
      <c r="A530" s="31">
        <f>Auto_Roster!A530</f>
        <v>46169</v>
      </c>
      <c r="B530" s="31">
        <f>Auto_Roster!B530</f>
        <v>46167</v>
      </c>
      <c r="C530" s="26" t="str">
        <f>Auto_Roster!C530</f>
        <v>E007</v>
      </c>
      <c r="D530" s="26" t="str">
        <f>Auto_Roster!D530</f>
        <v>Joe</v>
      </c>
      <c r="E530" s="26" t="str">
        <f>Auto_Roster!E530</f>
        <v>C</v>
      </c>
      <c r="F530" s="26" t="str">
        <f>Auto_Roster!G530</f>
        <v>Day</v>
      </c>
      <c r="G530" s="33">
        <f>Auto_Roster!J530</f>
        <v>8</v>
      </c>
      <c r="H530" s="33">
        <f>IF(G530&gt;Settings!$B$19,G530-Settings!$B$19,0)</f>
        <v>0</v>
      </c>
      <c r="I530" s="33">
        <f t="shared" si="32"/>
        <v>8</v>
      </c>
      <c r="J530" s="33">
        <f>IF(Auto_Roster!M530="Y",G530,0)</f>
        <v>0</v>
      </c>
      <c r="K530" s="33">
        <f>IF(Auto_Roster!L530="Y",G530,0)</f>
        <v>0</v>
      </c>
      <c r="L530" s="26" t="str">
        <f>Auto_Roster!K530</f>
        <v>N</v>
      </c>
      <c r="M530" s="34">
        <f>IF(L530="Y",Settings!$B$16,0)</f>
        <v>0</v>
      </c>
      <c r="N530" s="33">
        <f t="shared" si="33"/>
        <v>0</v>
      </c>
      <c r="O530" s="34">
        <f>N530*Settings!$B$17</f>
        <v>0</v>
      </c>
      <c r="P530" s="34">
        <f>IFERROR(VLOOKUP(C530,Employees!$A$4:$E$103,5,FALSE),Settings!$B$18)</f>
        <v>100</v>
      </c>
      <c r="Q530" s="34">
        <f t="shared" si="34"/>
        <v>800</v>
      </c>
      <c r="R530" s="34">
        <f>H530*P530*Settings!$B$13</f>
        <v>0</v>
      </c>
      <c r="S530" s="34">
        <f>J530*P530*(Settings!$B$14-1)</f>
        <v>0</v>
      </c>
      <c r="T530" s="34">
        <f>K530*P530*(Settings!$B$15-1)</f>
        <v>0</v>
      </c>
      <c r="U530" s="34">
        <f t="shared" si="35"/>
        <v>800</v>
      </c>
      <c r="V530" s="26" t="str">
        <f>Auto_Roster!O530</f>
        <v>Pending</v>
      </c>
      <c r="W530" s="26" t="e">
        <f ca="1">_xludf.TEXTJOIN("; ",TRUE,Auto_Roster!N530,IF(G530&gt;Settings!$B$19,"Approval required &gt; standard hours",""),IF(AND(F530&lt;&gt;"Off",G530=0),"Missing claimed hours",""))</f>
        <v>#NAME?</v>
      </c>
      <c r="X530" s="7"/>
    </row>
    <row r="531" spans="1:24" x14ac:dyDescent="0.35">
      <c r="A531" s="31">
        <f>Auto_Roster!A531</f>
        <v>46169</v>
      </c>
      <c r="B531" s="31">
        <f>Auto_Roster!B531</f>
        <v>46167</v>
      </c>
      <c r="C531" s="26" t="str">
        <f>Auto_Roster!C531</f>
        <v>E008</v>
      </c>
      <c r="D531" s="26" t="str">
        <f>Auto_Roster!D531</f>
        <v>Tim</v>
      </c>
      <c r="E531" s="26" t="str">
        <f>Auto_Roster!E531</f>
        <v>D</v>
      </c>
      <c r="F531" s="26" t="str">
        <f>Auto_Roster!G531</f>
        <v>Off</v>
      </c>
      <c r="G531" s="33">
        <f>Auto_Roster!J531</f>
        <v>0</v>
      </c>
      <c r="H531" s="33">
        <f>IF(G531&gt;Settings!$B$19,G531-Settings!$B$19,0)</f>
        <v>0</v>
      </c>
      <c r="I531" s="33">
        <f t="shared" si="32"/>
        <v>0</v>
      </c>
      <c r="J531" s="33">
        <f>IF(Auto_Roster!M531="Y",G531,0)</f>
        <v>0</v>
      </c>
      <c r="K531" s="33">
        <f>IF(Auto_Roster!L531="Y",G531,0)</f>
        <v>0</v>
      </c>
      <c r="L531" s="26" t="str">
        <f>Auto_Roster!K531</f>
        <v>N</v>
      </c>
      <c r="M531" s="34">
        <f>IF(L531="Y",Settings!$B$16,0)</f>
        <v>0</v>
      </c>
      <c r="N531" s="33">
        <f t="shared" si="33"/>
        <v>0</v>
      </c>
      <c r="O531" s="34">
        <f>N531*Settings!$B$17</f>
        <v>0</v>
      </c>
      <c r="P531" s="34">
        <f>IFERROR(VLOOKUP(C531,Employees!$A$4:$E$103,5,FALSE),Settings!$B$18)</f>
        <v>100</v>
      </c>
      <c r="Q531" s="34">
        <f t="shared" si="34"/>
        <v>0</v>
      </c>
      <c r="R531" s="34">
        <f>H531*P531*Settings!$B$13</f>
        <v>0</v>
      </c>
      <c r="S531" s="34">
        <f>J531*P531*(Settings!$B$14-1)</f>
        <v>0</v>
      </c>
      <c r="T531" s="34">
        <f>K531*P531*(Settings!$B$15-1)</f>
        <v>0</v>
      </c>
      <c r="U531" s="34">
        <f t="shared" si="35"/>
        <v>0</v>
      </c>
      <c r="V531" s="26" t="str">
        <f>Auto_Roster!O531</f>
        <v>Pending</v>
      </c>
      <c r="W531" s="26" t="e">
        <f ca="1">_xludf.TEXTJOIN("; ",TRUE,Auto_Roster!N531,IF(G531&gt;Settings!$B$19,"Approval required &gt; standard hours",""),IF(AND(F531&lt;&gt;"Off",G531=0),"Missing claimed hours",""))</f>
        <v>#NAME?</v>
      </c>
      <c r="X531" s="7"/>
    </row>
    <row r="532" spans="1:24" x14ac:dyDescent="0.35">
      <c r="A532" s="31">
        <f>Auto_Roster!A532</f>
        <v>46169</v>
      </c>
      <c r="B532" s="31">
        <f>Auto_Roster!B532</f>
        <v>46167</v>
      </c>
      <c r="C532" s="26" t="str">
        <f>Auto_Roster!C532</f>
        <v>E009</v>
      </c>
      <c r="D532" s="26" t="str">
        <f>Auto_Roster!D532</f>
        <v>Frank</v>
      </c>
      <c r="E532" s="26" t="str">
        <f>Auto_Roster!E532</f>
        <v>A</v>
      </c>
      <c r="F532" s="26" t="str">
        <f>Auto_Roster!G532</f>
        <v>Night</v>
      </c>
      <c r="G532" s="33">
        <f>Auto_Roster!J532</f>
        <v>8</v>
      </c>
      <c r="H532" s="33">
        <f>IF(G532&gt;Settings!$B$19,G532-Settings!$B$19,0)</f>
        <v>0</v>
      </c>
      <c r="I532" s="33">
        <f t="shared" si="32"/>
        <v>8</v>
      </c>
      <c r="J532" s="33">
        <f>IF(Auto_Roster!M532="Y",G532,0)</f>
        <v>0</v>
      </c>
      <c r="K532" s="33">
        <f>IF(Auto_Roster!L532="Y",G532,0)</f>
        <v>0</v>
      </c>
      <c r="L532" s="26" t="str">
        <f>Auto_Roster!K532</f>
        <v>N</v>
      </c>
      <c r="M532" s="34">
        <f>IF(L532="Y",Settings!$B$16,0)</f>
        <v>0</v>
      </c>
      <c r="N532" s="33">
        <f t="shared" si="33"/>
        <v>8</v>
      </c>
      <c r="O532" s="34">
        <f>N532*Settings!$B$17</f>
        <v>0</v>
      </c>
      <c r="P532" s="34">
        <f>IFERROR(VLOOKUP(C532,Employees!$A$4:$E$103,5,FALSE),Settings!$B$18)</f>
        <v>100</v>
      </c>
      <c r="Q532" s="34">
        <f t="shared" si="34"/>
        <v>800</v>
      </c>
      <c r="R532" s="34">
        <f>H532*P532*Settings!$B$13</f>
        <v>0</v>
      </c>
      <c r="S532" s="34">
        <f>J532*P532*(Settings!$B$14-1)</f>
        <v>0</v>
      </c>
      <c r="T532" s="34">
        <f>K532*P532*(Settings!$B$15-1)</f>
        <v>0</v>
      </c>
      <c r="U532" s="34">
        <f t="shared" si="35"/>
        <v>800</v>
      </c>
      <c r="V532" s="26" t="str">
        <f>Auto_Roster!O532</f>
        <v>Pending</v>
      </c>
      <c r="W532" s="26" t="e">
        <f ca="1">_xludf.TEXTJOIN("; ",TRUE,Auto_Roster!N532,IF(G532&gt;Settings!$B$19,"Approval required &gt; standard hours",""),IF(AND(F532&lt;&gt;"Off",G532=0),"Missing claimed hours",""))</f>
        <v>#NAME?</v>
      </c>
      <c r="X532" s="7"/>
    </row>
    <row r="533" spans="1:24" x14ac:dyDescent="0.35">
      <c r="A533" s="31">
        <f>Auto_Roster!A533</f>
        <v>46169</v>
      </c>
      <c r="B533" s="31">
        <f>Auto_Roster!B533</f>
        <v>46167</v>
      </c>
      <c r="C533" s="26" t="str">
        <f>Auto_Roster!C533</f>
        <v/>
      </c>
      <c r="D533" s="26" t="str">
        <f>Auto_Roster!D533</f>
        <v/>
      </c>
      <c r="E533" s="26" t="str">
        <f>Auto_Roster!E533</f>
        <v/>
      </c>
      <c r="F533" s="26" t="str">
        <f>Auto_Roster!G533</f>
        <v/>
      </c>
      <c r="G533" s="33">
        <f>Auto_Roster!J533</f>
        <v>0</v>
      </c>
      <c r="H533" s="33">
        <f>IF(G533&gt;Settings!$B$19,G533-Settings!$B$19,0)</f>
        <v>0</v>
      </c>
      <c r="I533" s="33">
        <f t="shared" si="32"/>
        <v>0</v>
      </c>
      <c r="J533" s="33">
        <f>IF(Auto_Roster!M533="Y",G533,0)</f>
        <v>0</v>
      </c>
      <c r="K533" s="33">
        <f>IF(Auto_Roster!L533="Y",G533,0)</f>
        <v>0</v>
      </c>
      <c r="L533" s="26" t="str">
        <f>Auto_Roster!K533</f>
        <v>N</v>
      </c>
      <c r="M533" s="34">
        <f>IF(L533="Y",Settings!$B$16,0)</f>
        <v>0</v>
      </c>
      <c r="N533" s="33">
        <f t="shared" si="33"/>
        <v>0</v>
      </c>
      <c r="O533" s="34">
        <f>N533*Settings!$B$17</f>
        <v>0</v>
      </c>
      <c r="P533" s="34">
        <f>IFERROR(VLOOKUP(C533,Employees!$A$4:$E$103,5,FALSE),Settings!$B$18)</f>
        <v>100</v>
      </c>
      <c r="Q533" s="34">
        <f t="shared" si="34"/>
        <v>0</v>
      </c>
      <c r="R533" s="34">
        <f>H533*P533*Settings!$B$13</f>
        <v>0</v>
      </c>
      <c r="S533" s="34">
        <f>J533*P533*(Settings!$B$14-1)</f>
        <v>0</v>
      </c>
      <c r="T533" s="34">
        <f>K533*P533*(Settings!$B$15-1)</f>
        <v>0</v>
      </c>
      <c r="U533" s="34">
        <f t="shared" si="35"/>
        <v>0</v>
      </c>
      <c r="V533" s="26" t="str">
        <f>Auto_Roster!O533</f>
        <v>Pending</v>
      </c>
      <c r="W533" s="26" t="e">
        <f ca="1">_xludf.TEXTJOIN("; ",TRUE,Auto_Roster!N533,IF(G533&gt;Settings!$B$19,"Approval required &gt; standard hours",""),IF(AND(F533&lt;&gt;"Off",G533=0),"Missing claimed hours",""))</f>
        <v>#NAME?</v>
      </c>
      <c r="X533" s="7"/>
    </row>
    <row r="534" spans="1:24" x14ac:dyDescent="0.35">
      <c r="A534" s="31">
        <f>Auto_Roster!A534</f>
        <v>46169</v>
      </c>
      <c r="B534" s="31">
        <f>Auto_Roster!B534</f>
        <v>46167</v>
      </c>
      <c r="C534" s="26" t="str">
        <f>Auto_Roster!C534</f>
        <v/>
      </c>
      <c r="D534" s="26" t="str">
        <f>Auto_Roster!D534</f>
        <v/>
      </c>
      <c r="E534" s="26" t="str">
        <f>Auto_Roster!E534</f>
        <v/>
      </c>
      <c r="F534" s="26" t="str">
        <f>Auto_Roster!G534</f>
        <v/>
      </c>
      <c r="G534" s="33">
        <f>Auto_Roster!J534</f>
        <v>0</v>
      </c>
      <c r="H534" s="33">
        <f>IF(G534&gt;Settings!$B$19,G534-Settings!$B$19,0)</f>
        <v>0</v>
      </c>
      <c r="I534" s="33">
        <f t="shared" si="32"/>
        <v>0</v>
      </c>
      <c r="J534" s="33">
        <f>IF(Auto_Roster!M534="Y",G534,0)</f>
        <v>0</v>
      </c>
      <c r="K534" s="33">
        <f>IF(Auto_Roster!L534="Y",G534,0)</f>
        <v>0</v>
      </c>
      <c r="L534" s="26" t="str">
        <f>Auto_Roster!K534</f>
        <v>N</v>
      </c>
      <c r="M534" s="34">
        <f>IF(L534="Y",Settings!$B$16,0)</f>
        <v>0</v>
      </c>
      <c r="N534" s="33">
        <f t="shared" si="33"/>
        <v>0</v>
      </c>
      <c r="O534" s="34">
        <f>N534*Settings!$B$17</f>
        <v>0</v>
      </c>
      <c r="P534" s="34">
        <f>IFERROR(VLOOKUP(C534,Employees!$A$4:$E$103,5,FALSE),Settings!$B$18)</f>
        <v>100</v>
      </c>
      <c r="Q534" s="34">
        <f t="shared" si="34"/>
        <v>0</v>
      </c>
      <c r="R534" s="34">
        <f>H534*P534*Settings!$B$13</f>
        <v>0</v>
      </c>
      <c r="S534" s="34">
        <f>J534*P534*(Settings!$B$14-1)</f>
        <v>0</v>
      </c>
      <c r="T534" s="34">
        <f>K534*P534*(Settings!$B$15-1)</f>
        <v>0</v>
      </c>
      <c r="U534" s="34">
        <f t="shared" si="35"/>
        <v>0</v>
      </c>
      <c r="V534" s="26" t="str">
        <f>Auto_Roster!O534</f>
        <v>Pending</v>
      </c>
      <c r="W534" s="26" t="e">
        <f ca="1">_xludf.TEXTJOIN("; ",TRUE,Auto_Roster!N534,IF(G534&gt;Settings!$B$19,"Approval required &gt; standard hours",""),IF(AND(F534&lt;&gt;"Off",G534=0),"Missing claimed hours",""))</f>
        <v>#NAME?</v>
      </c>
      <c r="X534" s="7"/>
    </row>
    <row r="535" spans="1:24" x14ac:dyDescent="0.35">
      <c r="A535" s="31">
        <f>Auto_Roster!A535</f>
        <v>46169</v>
      </c>
      <c r="B535" s="31">
        <f>Auto_Roster!B535</f>
        <v>46167</v>
      </c>
      <c r="C535" s="26" t="str">
        <f>Auto_Roster!C535</f>
        <v/>
      </c>
      <c r="D535" s="26" t="str">
        <f>Auto_Roster!D535</f>
        <v/>
      </c>
      <c r="E535" s="26" t="str">
        <f>Auto_Roster!E535</f>
        <v/>
      </c>
      <c r="F535" s="26" t="str">
        <f>Auto_Roster!G535</f>
        <v/>
      </c>
      <c r="G535" s="33">
        <f>Auto_Roster!J535</f>
        <v>0</v>
      </c>
      <c r="H535" s="33">
        <f>IF(G535&gt;Settings!$B$19,G535-Settings!$B$19,0)</f>
        <v>0</v>
      </c>
      <c r="I535" s="33">
        <f t="shared" si="32"/>
        <v>0</v>
      </c>
      <c r="J535" s="33">
        <f>IF(Auto_Roster!M535="Y",G535,0)</f>
        <v>0</v>
      </c>
      <c r="K535" s="33">
        <f>IF(Auto_Roster!L535="Y",G535,0)</f>
        <v>0</v>
      </c>
      <c r="L535" s="26" t="str">
        <f>Auto_Roster!K535</f>
        <v>N</v>
      </c>
      <c r="M535" s="34">
        <f>IF(L535="Y",Settings!$B$16,0)</f>
        <v>0</v>
      </c>
      <c r="N535" s="33">
        <f t="shared" si="33"/>
        <v>0</v>
      </c>
      <c r="O535" s="34">
        <f>N535*Settings!$B$17</f>
        <v>0</v>
      </c>
      <c r="P535" s="34">
        <f>IFERROR(VLOOKUP(C535,Employees!$A$4:$E$103,5,FALSE),Settings!$B$18)</f>
        <v>100</v>
      </c>
      <c r="Q535" s="34">
        <f t="shared" si="34"/>
        <v>0</v>
      </c>
      <c r="R535" s="34">
        <f>H535*P535*Settings!$B$13</f>
        <v>0</v>
      </c>
      <c r="S535" s="34">
        <f>J535*P535*(Settings!$B$14-1)</f>
        <v>0</v>
      </c>
      <c r="T535" s="34">
        <f>K535*P535*(Settings!$B$15-1)</f>
        <v>0</v>
      </c>
      <c r="U535" s="34">
        <f t="shared" si="35"/>
        <v>0</v>
      </c>
      <c r="V535" s="26" t="str">
        <f>Auto_Roster!O535</f>
        <v>Pending</v>
      </c>
      <c r="W535" s="26" t="e">
        <f ca="1">_xludf.TEXTJOIN("; ",TRUE,Auto_Roster!N535,IF(G535&gt;Settings!$B$19,"Approval required &gt; standard hours",""),IF(AND(F535&lt;&gt;"Off",G535=0),"Missing claimed hours",""))</f>
        <v>#NAME?</v>
      </c>
      <c r="X535" s="7"/>
    </row>
    <row r="536" spans="1:24" x14ac:dyDescent="0.35">
      <c r="A536" s="31">
        <f>Auto_Roster!A536</f>
        <v>46169</v>
      </c>
      <c r="B536" s="31">
        <f>Auto_Roster!B536</f>
        <v>46167</v>
      </c>
      <c r="C536" s="26" t="str">
        <f>Auto_Roster!C536</f>
        <v/>
      </c>
      <c r="D536" s="26" t="str">
        <f>Auto_Roster!D536</f>
        <v/>
      </c>
      <c r="E536" s="26" t="str">
        <f>Auto_Roster!E536</f>
        <v/>
      </c>
      <c r="F536" s="26" t="str">
        <f>Auto_Roster!G536</f>
        <v/>
      </c>
      <c r="G536" s="33">
        <f>Auto_Roster!J536</f>
        <v>0</v>
      </c>
      <c r="H536" s="33">
        <f>IF(G536&gt;Settings!$B$19,G536-Settings!$B$19,0)</f>
        <v>0</v>
      </c>
      <c r="I536" s="33">
        <f t="shared" si="32"/>
        <v>0</v>
      </c>
      <c r="J536" s="33">
        <f>IF(Auto_Roster!M536="Y",G536,0)</f>
        <v>0</v>
      </c>
      <c r="K536" s="33">
        <f>IF(Auto_Roster!L536="Y",G536,0)</f>
        <v>0</v>
      </c>
      <c r="L536" s="26" t="str">
        <f>Auto_Roster!K536</f>
        <v>N</v>
      </c>
      <c r="M536" s="34">
        <f>IF(L536="Y",Settings!$B$16,0)</f>
        <v>0</v>
      </c>
      <c r="N536" s="33">
        <f t="shared" si="33"/>
        <v>0</v>
      </c>
      <c r="O536" s="34">
        <f>N536*Settings!$B$17</f>
        <v>0</v>
      </c>
      <c r="P536" s="34">
        <f>IFERROR(VLOOKUP(C536,Employees!$A$4:$E$103,5,FALSE),Settings!$B$18)</f>
        <v>100</v>
      </c>
      <c r="Q536" s="34">
        <f t="shared" si="34"/>
        <v>0</v>
      </c>
      <c r="R536" s="34">
        <f>H536*P536*Settings!$B$13</f>
        <v>0</v>
      </c>
      <c r="S536" s="34">
        <f>J536*P536*(Settings!$B$14-1)</f>
        <v>0</v>
      </c>
      <c r="T536" s="34">
        <f>K536*P536*(Settings!$B$15-1)</f>
        <v>0</v>
      </c>
      <c r="U536" s="34">
        <f t="shared" si="35"/>
        <v>0</v>
      </c>
      <c r="V536" s="26" t="str">
        <f>Auto_Roster!O536</f>
        <v>Pending</v>
      </c>
      <c r="W536" s="26" t="e">
        <f ca="1">_xludf.TEXTJOIN("; ",TRUE,Auto_Roster!N536,IF(G536&gt;Settings!$B$19,"Approval required &gt; standard hours",""),IF(AND(F536&lt;&gt;"Off",G536=0),"Missing claimed hours",""))</f>
        <v>#NAME?</v>
      </c>
      <c r="X536" s="7"/>
    </row>
    <row r="537" spans="1:24" x14ac:dyDescent="0.35">
      <c r="A537" s="31">
        <f>Auto_Roster!A537</f>
        <v>46169</v>
      </c>
      <c r="B537" s="31">
        <f>Auto_Roster!B537</f>
        <v>46167</v>
      </c>
      <c r="C537" s="26" t="str">
        <f>Auto_Roster!C537</f>
        <v/>
      </c>
      <c r="D537" s="26" t="str">
        <f>Auto_Roster!D537</f>
        <v/>
      </c>
      <c r="E537" s="26" t="str">
        <f>Auto_Roster!E537</f>
        <v/>
      </c>
      <c r="F537" s="26" t="str">
        <f>Auto_Roster!G537</f>
        <v/>
      </c>
      <c r="G537" s="33">
        <f>Auto_Roster!J537</f>
        <v>0</v>
      </c>
      <c r="H537" s="33">
        <f>IF(G537&gt;Settings!$B$19,G537-Settings!$B$19,0)</f>
        <v>0</v>
      </c>
      <c r="I537" s="33">
        <f t="shared" si="32"/>
        <v>0</v>
      </c>
      <c r="J537" s="33">
        <f>IF(Auto_Roster!M537="Y",G537,0)</f>
        <v>0</v>
      </c>
      <c r="K537" s="33">
        <f>IF(Auto_Roster!L537="Y",G537,0)</f>
        <v>0</v>
      </c>
      <c r="L537" s="26" t="str">
        <f>Auto_Roster!K537</f>
        <v>N</v>
      </c>
      <c r="M537" s="34">
        <f>IF(L537="Y",Settings!$B$16,0)</f>
        <v>0</v>
      </c>
      <c r="N537" s="33">
        <f t="shared" si="33"/>
        <v>0</v>
      </c>
      <c r="O537" s="34">
        <f>N537*Settings!$B$17</f>
        <v>0</v>
      </c>
      <c r="P537" s="34">
        <f>IFERROR(VLOOKUP(C537,Employees!$A$4:$E$103,5,FALSE),Settings!$B$18)</f>
        <v>100</v>
      </c>
      <c r="Q537" s="34">
        <f t="shared" si="34"/>
        <v>0</v>
      </c>
      <c r="R537" s="34">
        <f>H537*P537*Settings!$B$13</f>
        <v>0</v>
      </c>
      <c r="S537" s="34">
        <f>J537*P537*(Settings!$B$14-1)</f>
        <v>0</v>
      </c>
      <c r="T537" s="34">
        <f>K537*P537*(Settings!$B$15-1)</f>
        <v>0</v>
      </c>
      <c r="U537" s="34">
        <f t="shared" si="35"/>
        <v>0</v>
      </c>
      <c r="V537" s="26" t="str">
        <f>Auto_Roster!O537</f>
        <v>Pending</v>
      </c>
      <c r="W537" s="26" t="e">
        <f ca="1">_xludf.TEXTJOIN("; ",TRUE,Auto_Roster!N537,IF(G537&gt;Settings!$B$19,"Approval required &gt; standard hours",""),IF(AND(F537&lt;&gt;"Off",G537=0),"Missing claimed hours",""))</f>
        <v>#NAME?</v>
      </c>
      <c r="X537" s="7"/>
    </row>
    <row r="538" spans="1:24" x14ac:dyDescent="0.35">
      <c r="A538" s="31">
        <f>Auto_Roster!A538</f>
        <v>46169</v>
      </c>
      <c r="B538" s="31">
        <f>Auto_Roster!B538</f>
        <v>46167</v>
      </c>
      <c r="C538" s="26" t="str">
        <f>Auto_Roster!C538</f>
        <v/>
      </c>
      <c r="D538" s="26" t="str">
        <f>Auto_Roster!D538</f>
        <v/>
      </c>
      <c r="E538" s="26" t="str">
        <f>Auto_Roster!E538</f>
        <v/>
      </c>
      <c r="F538" s="26" t="str">
        <f>Auto_Roster!G538</f>
        <v/>
      </c>
      <c r="G538" s="33">
        <f>Auto_Roster!J538</f>
        <v>0</v>
      </c>
      <c r="H538" s="33">
        <f>IF(G538&gt;Settings!$B$19,G538-Settings!$B$19,0)</f>
        <v>0</v>
      </c>
      <c r="I538" s="33">
        <f t="shared" si="32"/>
        <v>0</v>
      </c>
      <c r="J538" s="33">
        <f>IF(Auto_Roster!M538="Y",G538,0)</f>
        <v>0</v>
      </c>
      <c r="K538" s="33">
        <f>IF(Auto_Roster!L538="Y",G538,0)</f>
        <v>0</v>
      </c>
      <c r="L538" s="26" t="str">
        <f>Auto_Roster!K538</f>
        <v>N</v>
      </c>
      <c r="M538" s="34">
        <f>IF(L538="Y",Settings!$B$16,0)</f>
        <v>0</v>
      </c>
      <c r="N538" s="33">
        <f t="shared" si="33"/>
        <v>0</v>
      </c>
      <c r="O538" s="34">
        <f>N538*Settings!$B$17</f>
        <v>0</v>
      </c>
      <c r="P538" s="34">
        <f>IFERROR(VLOOKUP(C538,Employees!$A$4:$E$103,5,FALSE),Settings!$B$18)</f>
        <v>100</v>
      </c>
      <c r="Q538" s="34">
        <f t="shared" si="34"/>
        <v>0</v>
      </c>
      <c r="R538" s="34">
        <f>H538*P538*Settings!$B$13</f>
        <v>0</v>
      </c>
      <c r="S538" s="34">
        <f>J538*P538*(Settings!$B$14-1)</f>
        <v>0</v>
      </c>
      <c r="T538" s="34">
        <f>K538*P538*(Settings!$B$15-1)</f>
        <v>0</v>
      </c>
      <c r="U538" s="34">
        <f t="shared" si="35"/>
        <v>0</v>
      </c>
      <c r="V538" s="26" t="str">
        <f>Auto_Roster!O538</f>
        <v>Pending</v>
      </c>
      <c r="W538" s="26" t="e">
        <f ca="1">_xludf.TEXTJOIN("; ",TRUE,Auto_Roster!N538,IF(G538&gt;Settings!$B$19,"Approval required &gt; standard hours",""),IF(AND(F538&lt;&gt;"Off",G538=0),"Missing claimed hours",""))</f>
        <v>#NAME?</v>
      </c>
      <c r="X538" s="7"/>
    </row>
    <row r="539" spans="1:24" x14ac:dyDescent="0.35">
      <c r="A539" s="31">
        <f>Auto_Roster!A539</f>
        <v>46169</v>
      </c>
      <c r="B539" s="31">
        <f>Auto_Roster!B539</f>
        <v>46167</v>
      </c>
      <c r="C539" s="26" t="str">
        <f>Auto_Roster!C539</f>
        <v/>
      </c>
      <c r="D539" s="26" t="str">
        <f>Auto_Roster!D539</f>
        <v/>
      </c>
      <c r="E539" s="26" t="str">
        <f>Auto_Roster!E539</f>
        <v/>
      </c>
      <c r="F539" s="26" t="str">
        <f>Auto_Roster!G539</f>
        <v/>
      </c>
      <c r="G539" s="33">
        <f>Auto_Roster!J539</f>
        <v>0</v>
      </c>
      <c r="H539" s="33">
        <f>IF(G539&gt;Settings!$B$19,G539-Settings!$B$19,0)</f>
        <v>0</v>
      </c>
      <c r="I539" s="33">
        <f t="shared" si="32"/>
        <v>0</v>
      </c>
      <c r="J539" s="33">
        <f>IF(Auto_Roster!M539="Y",G539,0)</f>
        <v>0</v>
      </c>
      <c r="K539" s="33">
        <f>IF(Auto_Roster!L539="Y",G539,0)</f>
        <v>0</v>
      </c>
      <c r="L539" s="26" t="str">
        <f>Auto_Roster!K539</f>
        <v>N</v>
      </c>
      <c r="M539" s="34">
        <f>IF(L539="Y",Settings!$B$16,0)</f>
        <v>0</v>
      </c>
      <c r="N539" s="33">
        <f t="shared" si="33"/>
        <v>0</v>
      </c>
      <c r="O539" s="34">
        <f>N539*Settings!$B$17</f>
        <v>0</v>
      </c>
      <c r="P539" s="34">
        <f>IFERROR(VLOOKUP(C539,Employees!$A$4:$E$103,5,FALSE),Settings!$B$18)</f>
        <v>100</v>
      </c>
      <c r="Q539" s="34">
        <f t="shared" si="34"/>
        <v>0</v>
      </c>
      <c r="R539" s="34">
        <f>H539*P539*Settings!$B$13</f>
        <v>0</v>
      </c>
      <c r="S539" s="34">
        <f>J539*P539*(Settings!$B$14-1)</f>
        <v>0</v>
      </c>
      <c r="T539" s="34">
        <f>K539*P539*(Settings!$B$15-1)</f>
        <v>0</v>
      </c>
      <c r="U539" s="34">
        <f t="shared" si="35"/>
        <v>0</v>
      </c>
      <c r="V539" s="26" t="str">
        <f>Auto_Roster!O539</f>
        <v>Pending</v>
      </c>
      <c r="W539" s="26" t="e">
        <f ca="1">_xludf.TEXTJOIN("; ",TRUE,Auto_Roster!N539,IF(G539&gt;Settings!$B$19,"Approval required &gt; standard hours",""),IF(AND(F539&lt;&gt;"Off",G539=0),"Missing claimed hours",""))</f>
        <v>#NAME?</v>
      </c>
      <c r="X539" s="7"/>
    </row>
    <row r="540" spans="1:24" x14ac:dyDescent="0.35">
      <c r="A540" s="31">
        <f>Auto_Roster!A540</f>
        <v>46169</v>
      </c>
      <c r="B540" s="31">
        <f>Auto_Roster!B540</f>
        <v>46167</v>
      </c>
      <c r="C540" s="26" t="str">
        <f>Auto_Roster!C540</f>
        <v/>
      </c>
      <c r="D540" s="26" t="str">
        <f>Auto_Roster!D540</f>
        <v/>
      </c>
      <c r="E540" s="26" t="str">
        <f>Auto_Roster!E540</f>
        <v/>
      </c>
      <c r="F540" s="26" t="str">
        <f>Auto_Roster!G540</f>
        <v/>
      </c>
      <c r="G540" s="33">
        <f>Auto_Roster!J540</f>
        <v>0</v>
      </c>
      <c r="H540" s="33">
        <f>IF(G540&gt;Settings!$B$19,G540-Settings!$B$19,0)</f>
        <v>0</v>
      </c>
      <c r="I540" s="33">
        <f t="shared" si="32"/>
        <v>0</v>
      </c>
      <c r="J540" s="33">
        <f>IF(Auto_Roster!M540="Y",G540,0)</f>
        <v>0</v>
      </c>
      <c r="K540" s="33">
        <f>IF(Auto_Roster!L540="Y",G540,0)</f>
        <v>0</v>
      </c>
      <c r="L540" s="26" t="str">
        <f>Auto_Roster!K540</f>
        <v>N</v>
      </c>
      <c r="M540" s="34">
        <f>IF(L540="Y",Settings!$B$16,0)</f>
        <v>0</v>
      </c>
      <c r="N540" s="33">
        <f t="shared" si="33"/>
        <v>0</v>
      </c>
      <c r="O540" s="34">
        <f>N540*Settings!$B$17</f>
        <v>0</v>
      </c>
      <c r="P540" s="34">
        <f>IFERROR(VLOOKUP(C540,Employees!$A$4:$E$103,5,FALSE),Settings!$B$18)</f>
        <v>100</v>
      </c>
      <c r="Q540" s="34">
        <f t="shared" si="34"/>
        <v>0</v>
      </c>
      <c r="R540" s="34">
        <f>H540*P540*Settings!$B$13</f>
        <v>0</v>
      </c>
      <c r="S540" s="34">
        <f>J540*P540*(Settings!$B$14-1)</f>
        <v>0</v>
      </c>
      <c r="T540" s="34">
        <f>K540*P540*(Settings!$B$15-1)</f>
        <v>0</v>
      </c>
      <c r="U540" s="34">
        <f t="shared" si="35"/>
        <v>0</v>
      </c>
      <c r="V540" s="26" t="str">
        <f>Auto_Roster!O540</f>
        <v>Pending</v>
      </c>
      <c r="W540" s="26" t="e">
        <f ca="1">_xludf.TEXTJOIN("; ",TRUE,Auto_Roster!N540,IF(G540&gt;Settings!$B$19,"Approval required &gt; standard hours",""),IF(AND(F540&lt;&gt;"Off",G540=0),"Missing claimed hours",""))</f>
        <v>#NAME?</v>
      </c>
      <c r="X540" s="7"/>
    </row>
    <row r="541" spans="1:24" x14ac:dyDescent="0.35">
      <c r="A541" s="31">
        <f>Auto_Roster!A541</f>
        <v>46169</v>
      </c>
      <c r="B541" s="31">
        <f>Auto_Roster!B541</f>
        <v>46167</v>
      </c>
      <c r="C541" s="26" t="str">
        <f>Auto_Roster!C541</f>
        <v/>
      </c>
      <c r="D541" s="26" t="str">
        <f>Auto_Roster!D541</f>
        <v/>
      </c>
      <c r="E541" s="26" t="str">
        <f>Auto_Roster!E541</f>
        <v/>
      </c>
      <c r="F541" s="26" t="str">
        <f>Auto_Roster!G541</f>
        <v/>
      </c>
      <c r="G541" s="33">
        <f>Auto_Roster!J541</f>
        <v>0</v>
      </c>
      <c r="H541" s="33">
        <f>IF(G541&gt;Settings!$B$19,G541-Settings!$B$19,0)</f>
        <v>0</v>
      </c>
      <c r="I541" s="33">
        <f t="shared" si="32"/>
        <v>0</v>
      </c>
      <c r="J541" s="33">
        <f>IF(Auto_Roster!M541="Y",G541,0)</f>
        <v>0</v>
      </c>
      <c r="K541" s="33">
        <f>IF(Auto_Roster!L541="Y",G541,0)</f>
        <v>0</v>
      </c>
      <c r="L541" s="26" t="str">
        <f>Auto_Roster!K541</f>
        <v>N</v>
      </c>
      <c r="M541" s="34">
        <f>IF(L541="Y",Settings!$B$16,0)</f>
        <v>0</v>
      </c>
      <c r="N541" s="33">
        <f t="shared" si="33"/>
        <v>0</v>
      </c>
      <c r="O541" s="34">
        <f>N541*Settings!$B$17</f>
        <v>0</v>
      </c>
      <c r="P541" s="34">
        <f>IFERROR(VLOOKUP(C541,Employees!$A$4:$E$103,5,FALSE),Settings!$B$18)</f>
        <v>100</v>
      </c>
      <c r="Q541" s="34">
        <f t="shared" si="34"/>
        <v>0</v>
      </c>
      <c r="R541" s="34">
        <f>H541*P541*Settings!$B$13</f>
        <v>0</v>
      </c>
      <c r="S541" s="34">
        <f>J541*P541*(Settings!$B$14-1)</f>
        <v>0</v>
      </c>
      <c r="T541" s="34">
        <f>K541*P541*(Settings!$B$15-1)</f>
        <v>0</v>
      </c>
      <c r="U541" s="34">
        <f t="shared" si="35"/>
        <v>0</v>
      </c>
      <c r="V541" s="26" t="str">
        <f>Auto_Roster!O541</f>
        <v>Pending</v>
      </c>
      <c r="W541" s="26" t="e">
        <f ca="1">_xludf.TEXTJOIN("; ",TRUE,Auto_Roster!N541,IF(G541&gt;Settings!$B$19,"Approval required &gt; standard hours",""),IF(AND(F541&lt;&gt;"Off",G541=0),"Missing claimed hours",""))</f>
        <v>#NAME?</v>
      </c>
      <c r="X541" s="7"/>
    </row>
    <row r="542" spans="1:24" x14ac:dyDescent="0.35">
      <c r="A542" s="31">
        <f>Auto_Roster!A542</f>
        <v>46169</v>
      </c>
      <c r="B542" s="31">
        <f>Auto_Roster!B542</f>
        <v>46167</v>
      </c>
      <c r="C542" s="26" t="str">
        <f>Auto_Roster!C542</f>
        <v/>
      </c>
      <c r="D542" s="26" t="str">
        <f>Auto_Roster!D542</f>
        <v/>
      </c>
      <c r="E542" s="26" t="str">
        <f>Auto_Roster!E542</f>
        <v/>
      </c>
      <c r="F542" s="26" t="str">
        <f>Auto_Roster!G542</f>
        <v/>
      </c>
      <c r="G542" s="33">
        <f>Auto_Roster!J542</f>
        <v>0</v>
      </c>
      <c r="H542" s="33">
        <f>IF(G542&gt;Settings!$B$19,G542-Settings!$B$19,0)</f>
        <v>0</v>
      </c>
      <c r="I542" s="33">
        <f t="shared" si="32"/>
        <v>0</v>
      </c>
      <c r="J542" s="33">
        <f>IF(Auto_Roster!M542="Y",G542,0)</f>
        <v>0</v>
      </c>
      <c r="K542" s="33">
        <f>IF(Auto_Roster!L542="Y",G542,0)</f>
        <v>0</v>
      </c>
      <c r="L542" s="26" t="str">
        <f>Auto_Roster!K542</f>
        <v>N</v>
      </c>
      <c r="M542" s="34">
        <f>IF(L542="Y",Settings!$B$16,0)</f>
        <v>0</v>
      </c>
      <c r="N542" s="33">
        <f t="shared" si="33"/>
        <v>0</v>
      </c>
      <c r="O542" s="34">
        <f>N542*Settings!$B$17</f>
        <v>0</v>
      </c>
      <c r="P542" s="34">
        <f>IFERROR(VLOOKUP(C542,Employees!$A$4:$E$103,5,FALSE),Settings!$B$18)</f>
        <v>100</v>
      </c>
      <c r="Q542" s="34">
        <f t="shared" si="34"/>
        <v>0</v>
      </c>
      <c r="R542" s="34">
        <f>H542*P542*Settings!$B$13</f>
        <v>0</v>
      </c>
      <c r="S542" s="34">
        <f>J542*P542*(Settings!$B$14-1)</f>
        <v>0</v>
      </c>
      <c r="T542" s="34">
        <f>K542*P542*(Settings!$B$15-1)</f>
        <v>0</v>
      </c>
      <c r="U542" s="34">
        <f t="shared" si="35"/>
        <v>0</v>
      </c>
      <c r="V542" s="26" t="str">
        <f>Auto_Roster!O542</f>
        <v>Pending</v>
      </c>
      <c r="W542" s="26" t="e">
        <f ca="1">_xludf.TEXTJOIN("; ",TRUE,Auto_Roster!N542,IF(G542&gt;Settings!$B$19,"Approval required &gt; standard hours",""),IF(AND(F542&lt;&gt;"Off",G542=0),"Missing claimed hours",""))</f>
        <v>#NAME?</v>
      </c>
      <c r="X542" s="7"/>
    </row>
    <row r="543" spans="1:24" x14ac:dyDescent="0.35">
      <c r="A543" s="31">
        <f>Auto_Roster!A543</f>
        <v>46169</v>
      </c>
      <c r="B543" s="31">
        <f>Auto_Roster!B543</f>
        <v>46167</v>
      </c>
      <c r="C543" s="26" t="str">
        <f>Auto_Roster!C543</f>
        <v/>
      </c>
      <c r="D543" s="26" t="str">
        <f>Auto_Roster!D543</f>
        <v/>
      </c>
      <c r="E543" s="26" t="str">
        <f>Auto_Roster!E543</f>
        <v/>
      </c>
      <c r="F543" s="26" t="str">
        <f>Auto_Roster!G543</f>
        <v/>
      </c>
      <c r="G543" s="33">
        <f>Auto_Roster!J543</f>
        <v>0</v>
      </c>
      <c r="H543" s="33">
        <f>IF(G543&gt;Settings!$B$19,G543-Settings!$B$19,0)</f>
        <v>0</v>
      </c>
      <c r="I543" s="33">
        <f t="shared" si="32"/>
        <v>0</v>
      </c>
      <c r="J543" s="33">
        <f>IF(Auto_Roster!M543="Y",G543,0)</f>
        <v>0</v>
      </c>
      <c r="K543" s="33">
        <f>IF(Auto_Roster!L543="Y",G543,0)</f>
        <v>0</v>
      </c>
      <c r="L543" s="26" t="str">
        <f>Auto_Roster!K543</f>
        <v>N</v>
      </c>
      <c r="M543" s="34">
        <f>IF(L543="Y",Settings!$B$16,0)</f>
        <v>0</v>
      </c>
      <c r="N543" s="33">
        <f t="shared" si="33"/>
        <v>0</v>
      </c>
      <c r="O543" s="34">
        <f>N543*Settings!$B$17</f>
        <v>0</v>
      </c>
      <c r="P543" s="34">
        <f>IFERROR(VLOOKUP(C543,Employees!$A$4:$E$103,5,FALSE),Settings!$B$18)</f>
        <v>100</v>
      </c>
      <c r="Q543" s="34">
        <f t="shared" si="34"/>
        <v>0</v>
      </c>
      <c r="R543" s="34">
        <f>H543*P543*Settings!$B$13</f>
        <v>0</v>
      </c>
      <c r="S543" s="34">
        <f>J543*P543*(Settings!$B$14-1)</f>
        <v>0</v>
      </c>
      <c r="T543" s="34">
        <f>K543*P543*(Settings!$B$15-1)</f>
        <v>0</v>
      </c>
      <c r="U543" s="34">
        <f t="shared" si="35"/>
        <v>0</v>
      </c>
      <c r="V543" s="26" t="str">
        <f>Auto_Roster!O543</f>
        <v>Pending</v>
      </c>
      <c r="W543" s="26" t="e">
        <f ca="1">_xludf.TEXTJOIN("; ",TRUE,Auto_Roster!N543,IF(G543&gt;Settings!$B$19,"Approval required &gt; standard hours",""),IF(AND(F543&lt;&gt;"Off",G543=0),"Missing claimed hours",""))</f>
        <v>#NAME?</v>
      </c>
      <c r="X543" s="7"/>
    </row>
    <row r="544" spans="1:24" x14ac:dyDescent="0.35">
      <c r="A544" s="31">
        <f>Auto_Roster!A544</f>
        <v>46170</v>
      </c>
      <c r="B544" s="31">
        <f>Auto_Roster!B544</f>
        <v>46167</v>
      </c>
      <c r="C544" s="26" t="str">
        <f>Auto_Roster!C544</f>
        <v>E001</v>
      </c>
      <c r="D544" s="26" t="str">
        <f>Auto_Roster!D544</f>
        <v>Musiwa Khavalani</v>
      </c>
      <c r="E544" s="26">
        <f>Auto_Roster!E544</f>
        <v>0</v>
      </c>
      <c r="F544" s="26" t="e">
        <f>Auto_Roster!G544</f>
        <v>#N/A</v>
      </c>
      <c r="G544" s="33" t="e">
        <f>Auto_Roster!J544</f>
        <v>#N/A</v>
      </c>
      <c r="H544" s="33" t="e">
        <f>IF(G544&gt;Settings!$B$19,G544-Settings!$B$19,0)</f>
        <v>#N/A</v>
      </c>
      <c r="I544" s="33" t="e">
        <f t="shared" si="32"/>
        <v>#N/A</v>
      </c>
      <c r="J544" s="33">
        <f>IF(Auto_Roster!M544="Y",G544,0)</f>
        <v>0</v>
      </c>
      <c r="K544" s="33">
        <f>IF(Auto_Roster!L544="Y",G544,0)</f>
        <v>0</v>
      </c>
      <c r="L544" s="26" t="str">
        <f>Auto_Roster!K544</f>
        <v>N</v>
      </c>
      <c r="M544" s="34">
        <f>IF(L544="Y",Settings!$B$16,0)</f>
        <v>0</v>
      </c>
      <c r="N544" s="33" t="e">
        <f t="shared" si="33"/>
        <v>#N/A</v>
      </c>
      <c r="O544" s="34" t="e">
        <f>N544*Settings!$B$17</f>
        <v>#N/A</v>
      </c>
      <c r="P544" s="34">
        <f>IFERROR(VLOOKUP(C544,Employees!$A$4:$E$103,5,FALSE),Settings!$B$18)</f>
        <v>100</v>
      </c>
      <c r="Q544" s="34" t="e">
        <f t="shared" si="34"/>
        <v>#N/A</v>
      </c>
      <c r="R544" s="34" t="e">
        <f>H544*P544*Settings!$B$13</f>
        <v>#N/A</v>
      </c>
      <c r="S544" s="34">
        <f>J544*P544*(Settings!$B$14-1)</f>
        <v>0</v>
      </c>
      <c r="T544" s="34">
        <f>K544*P544*(Settings!$B$15-1)</f>
        <v>0</v>
      </c>
      <c r="U544" s="34" t="e">
        <f t="shared" si="35"/>
        <v>#N/A</v>
      </c>
      <c r="V544" s="26" t="str">
        <f>Auto_Roster!O544</f>
        <v>Pending</v>
      </c>
      <c r="W544" s="26" t="e">
        <f ca="1">_xludf.TEXTJOIN("; ",TRUE,Auto_Roster!N544,IF(G544&gt;Settings!$B$19,"Approval required &gt; standard hours",""),IF(AND(F544&lt;&gt;"Off",G544=0),"Missing claimed hours",""))</f>
        <v>#NAME?</v>
      </c>
      <c r="X544" s="7"/>
    </row>
    <row r="545" spans="1:24" x14ac:dyDescent="0.35">
      <c r="A545" s="31">
        <f>Auto_Roster!A545</f>
        <v>46170</v>
      </c>
      <c r="B545" s="31">
        <f>Auto_Roster!B545</f>
        <v>46167</v>
      </c>
      <c r="C545" s="26" t="str">
        <f>Auto_Roster!C545</f>
        <v>E002</v>
      </c>
      <c r="D545" s="26" t="str">
        <f>Auto_Roster!D545</f>
        <v>Mpho  Nembemhia</v>
      </c>
      <c r="E545" s="26" t="str">
        <f>Auto_Roster!E545</f>
        <v>B</v>
      </c>
      <c r="F545" s="26" t="str">
        <f>Auto_Roster!G545</f>
        <v>Night</v>
      </c>
      <c r="G545" s="33">
        <f>Auto_Roster!J545</f>
        <v>8</v>
      </c>
      <c r="H545" s="33">
        <f>IF(G545&gt;Settings!$B$19,G545-Settings!$B$19,0)</f>
        <v>0</v>
      </c>
      <c r="I545" s="33">
        <f t="shared" si="32"/>
        <v>8</v>
      </c>
      <c r="J545" s="33">
        <f>IF(Auto_Roster!M545="Y",G545,0)</f>
        <v>0</v>
      </c>
      <c r="K545" s="33">
        <f>IF(Auto_Roster!L545="Y",G545,0)</f>
        <v>0</v>
      </c>
      <c r="L545" s="26" t="str">
        <f>Auto_Roster!K545</f>
        <v>N</v>
      </c>
      <c r="M545" s="34">
        <f>IF(L545="Y",Settings!$B$16,0)</f>
        <v>0</v>
      </c>
      <c r="N545" s="33">
        <f t="shared" si="33"/>
        <v>8</v>
      </c>
      <c r="O545" s="34">
        <f>N545*Settings!$B$17</f>
        <v>0</v>
      </c>
      <c r="P545" s="34">
        <f>IFERROR(VLOOKUP(C545,Employees!$A$4:$E$103,5,FALSE),Settings!$B$18)</f>
        <v>100</v>
      </c>
      <c r="Q545" s="34">
        <f t="shared" si="34"/>
        <v>800</v>
      </c>
      <c r="R545" s="34">
        <f>H545*P545*Settings!$B$13</f>
        <v>0</v>
      </c>
      <c r="S545" s="34">
        <f>J545*P545*(Settings!$B$14-1)</f>
        <v>0</v>
      </c>
      <c r="T545" s="34">
        <f>K545*P545*(Settings!$B$15-1)</f>
        <v>0</v>
      </c>
      <c r="U545" s="34">
        <f t="shared" si="35"/>
        <v>800</v>
      </c>
      <c r="V545" s="26" t="str">
        <f>Auto_Roster!O545</f>
        <v>Pending</v>
      </c>
      <c r="W545" s="26" t="e">
        <f ca="1">_xludf.TEXTJOIN("; ",TRUE,Auto_Roster!N545,IF(G545&gt;Settings!$B$19,"Approval required &gt; standard hours",""),IF(AND(F545&lt;&gt;"Off",G545=0),"Missing claimed hours",""))</f>
        <v>#NAME?</v>
      </c>
      <c r="X545" s="7"/>
    </row>
    <row r="546" spans="1:24" x14ac:dyDescent="0.35">
      <c r="A546" s="31">
        <f>Auto_Roster!A546</f>
        <v>46170</v>
      </c>
      <c r="B546" s="31">
        <f>Auto_Roster!B546</f>
        <v>46167</v>
      </c>
      <c r="C546" s="26" t="str">
        <f>Auto_Roster!C546</f>
        <v>E003</v>
      </c>
      <c r="D546" s="26" t="str">
        <f>Auto_Roster!D546</f>
        <v>Dimpho Makhafola</v>
      </c>
      <c r="E546" s="26" t="str">
        <f>Auto_Roster!E546</f>
        <v>C</v>
      </c>
      <c r="F546" s="26" t="str">
        <f>Auto_Roster!G546</f>
        <v>Evening</v>
      </c>
      <c r="G546" s="33">
        <f>Auto_Roster!J546</f>
        <v>8</v>
      </c>
      <c r="H546" s="33">
        <f>IF(G546&gt;Settings!$B$19,G546-Settings!$B$19,0)</f>
        <v>0</v>
      </c>
      <c r="I546" s="33">
        <f t="shared" si="32"/>
        <v>8</v>
      </c>
      <c r="J546" s="33">
        <f>IF(Auto_Roster!M546="Y",G546,0)</f>
        <v>0</v>
      </c>
      <c r="K546" s="33">
        <f>IF(Auto_Roster!L546="Y",G546,0)</f>
        <v>0</v>
      </c>
      <c r="L546" s="26" t="str">
        <f>Auto_Roster!K546</f>
        <v>N</v>
      </c>
      <c r="M546" s="34">
        <f>IF(L546="Y",Settings!$B$16,0)</f>
        <v>0</v>
      </c>
      <c r="N546" s="33">
        <f t="shared" si="33"/>
        <v>0</v>
      </c>
      <c r="O546" s="34">
        <f>N546*Settings!$B$17</f>
        <v>0</v>
      </c>
      <c r="P546" s="34">
        <f>IFERROR(VLOOKUP(C546,Employees!$A$4:$E$103,5,FALSE),Settings!$B$18)</f>
        <v>100</v>
      </c>
      <c r="Q546" s="34">
        <f t="shared" si="34"/>
        <v>800</v>
      </c>
      <c r="R546" s="34">
        <f>H546*P546*Settings!$B$13</f>
        <v>0</v>
      </c>
      <c r="S546" s="34">
        <f>J546*P546*(Settings!$B$14-1)</f>
        <v>0</v>
      </c>
      <c r="T546" s="34">
        <f>K546*P546*(Settings!$B$15-1)</f>
        <v>0</v>
      </c>
      <c r="U546" s="34">
        <f t="shared" si="35"/>
        <v>800</v>
      </c>
      <c r="V546" s="26" t="str">
        <f>Auto_Roster!O546</f>
        <v>Pending</v>
      </c>
      <c r="W546" s="26" t="e">
        <f ca="1">_xludf.TEXTJOIN("; ",TRUE,Auto_Roster!N546,IF(G546&gt;Settings!$B$19,"Approval required &gt; standard hours",""),IF(AND(F546&lt;&gt;"Off",G546=0),"Missing claimed hours",""))</f>
        <v>#NAME?</v>
      </c>
      <c r="X546" s="7"/>
    </row>
    <row r="547" spans="1:24" x14ac:dyDescent="0.35">
      <c r="A547" s="31">
        <f>Auto_Roster!A547</f>
        <v>46170</v>
      </c>
      <c r="B547" s="31">
        <f>Auto_Roster!B547</f>
        <v>46167</v>
      </c>
      <c r="C547" s="26" t="str">
        <f>Auto_Roster!C547</f>
        <v>E004</v>
      </c>
      <c r="D547" s="26" t="str">
        <f>Auto_Roster!D547</f>
        <v>Bashii Fall</v>
      </c>
      <c r="E547" s="26" t="str">
        <f>Auto_Roster!E547</f>
        <v>D</v>
      </c>
      <c r="F547" s="26" t="str">
        <f>Auto_Roster!G547</f>
        <v>Day</v>
      </c>
      <c r="G547" s="33">
        <f>Auto_Roster!J547</f>
        <v>8</v>
      </c>
      <c r="H547" s="33">
        <f>IF(G547&gt;Settings!$B$19,G547-Settings!$B$19,0)</f>
        <v>0</v>
      </c>
      <c r="I547" s="33">
        <f t="shared" si="32"/>
        <v>8</v>
      </c>
      <c r="J547" s="33">
        <f>IF(Auto_Roster!M547="Y",G547,0)</f>
        <v>0</v>
      </c>
      <c r="K547" s="33">
        <f>IF(Auto_Roster!L547="Y",G547,0)</f>
        <v>0</v>
      </c>
      <c r="L547" s="26" t="str">
        <f>Auto_Roster!K547</f>
        <v>N</v>
      </c>
      <c r="M547" s="34">
        <f>IF(L547="Y",Settings!$B$16,0)</f>
        <v>0</v>
      </c>
      <c r="N547" s="33">
        <f t="shared" si="33"/>
        <v>0</v>
      </c>
      <c r="O547" s="34">
        <f>N547*Settings!$B$17</f>
        <v>0</v>
      </c>
      <c r="P547" s="34">
        <f>IFERROR(VLOOKUP(C547,Employees!$A$4:$E$103,5,FALSE),Settings!$B$18)</f>
        <v>100</v>
      </c>
      <c r="Q547" s="34">
        <f t="shared" si="34"/>
        <v>800</v>
      </c>
      <c r="R547" s="34">
        <f>H547*P547*Settings!$B$13</f>
        <v>0</v>
      </c>
      <c r="S547" s="34">
        <f>J547*P547*(Settings!$B$14-1)</f>
        <v>0</v>
      </c>
      <c r="T547" s="34">
        <f>K547*P547*(Settings!$B$15-1)</f>
        <v>0</v>
      </c>
      <c r="U547" s="34">
        <f t="shared" si="35"/>
        <v>800</v>
      </c>
      <c r="V547" s="26" t="str">
        <f>Auto_Roster!O547</f>
        <v>Pending</v>
      </c>
      <c r="W547" s="26" t="e">
        <f ca="1">_xludf.TEXTJOIN("; ",TRUE,Auto_Roster!N547,IF(G547&gt;Settings!$B$19,"Approval required &gt; standard hours",""),IF(AND(F547&lt;&gt;"Off",G547=0),"Missing claimed hours",""))</f>
        <v>#NAME?</v>
      </c>
      <c r="X547" s="7"/>
    </row>
    <row r="548" spans="1:24" x14ac:dyDescent="0.35">
      <c r="A548" s="31">
        <f>Auto_Roster!A548</f>
        <v>46170</v>
      </c>
      <c r="B548" s="31">
        <f>Auto_Roster!B548</f>
        <v>46167</v>
      </c>
      <c r="C548" s="26" t="str">
        <f>Auto_Roster!C548</f>
        <v>E005</v>
      </c>
      <c r="D548" s="26" t="str">
        <f>Auto_Roster!D548</f>
        <v>Lesego Aphane</v>
      </c>
      <c r="E548" s="26" t="str">
        <f>Auto_Roster!E548</f>
        <v>A</v>
      </c>
      <c r="F548" s="26" t="str">
        <f>Auto_Roster!G548</f>
        <v>Off</v>
      </c>
      <c r="G548" s="33">
        <f>Auto_Roster!J548</f>
        <v>0</v>
      </c>
      <c r="H548" s="33">
        <f>IF(G548&gt;Settings!$B$19,G548-Settings!$B$19,0)</f>
        <v>0</v>
      </c>
      <c r="I548" s="33">
        <f t="shared" si="32"/>
        <v>0</v>
      </c>
      <c r="J548" s="33">
        <f>IF(Auto_Roster!M548="Y",G548,0)</f>
        <v>0</v>
      </c>
      <c r="K548" s="33">
        <f>IF(Auto_Roster!L548="Y",G548,0)</f>
        <v>0</v>
      </c>
      <c r="L548" s="26" t="str">
        <f>Auto_Roster!K548</f>
        <v>N</v>
      </c>
      <c r="M548" s="34">
        <f>IF(L548="Y",Settings!$B$16,0)</f>
        <v>0</v>
      </c>
      <c r="N548" s="33">
        <f t="shared" si="33"/>
        <v>0</v>
      </c>
      <c r="O548" s="34">
        <f>N548*Settings!$B$17</f>
        <v>0</v>
      </c>
      <c r="P548" s="34">
        <f>IFERROR(VLOOKUP(C548,Employees!$A$4:$E$103,5,FALSE),Settings!$B$18)</f>
        <v>100</v>
      </c>
      <c r="Q548" s="34">
        <f t="shared" si="34"/>
        <v>0</v>
      </c>
      <c r="R548" s="34">
        <f>H548*P548*Settings!$B$13</f>
        <v>0</v>
      </c>
      <c r="S548" s="34">
        <f>J548*P548*(Settings!$B$14-1)</f>
        <v>0</v>
      </c>
      <c r="T548" s="34">
        <f>K548*P548*(Settings!$B$15-1)</f>
        <v>0</v>
      </c>
      <c r="U548" s="34">
        <f t="shared" si="35"/>
        <v>0</v>
      </c>
      <c r="V548" s="26" t="str">
        <f>Auto_Roster!O548</f>
        <v>Pending</v>
      </c>
      <c r="W548" s="26" t="e">
        <f ca="1">_xludf.TEXTJOIN("; ",TRUE,Auto_Roster!N548,IF(G548&gt;Settings!$B$19,"Approval required &gt; standard hours",""),IF(AND(F548&lt;&gt;"Off",G548=0),"Missing claimed hours",""))</f>
        <v>#NAME?</v>
      </c>
      <c r="X548" s="7"/>
    </row>
    <row r="549" spans="1:24" x14ac:dyDescent="0.35">
      <c r="A549" s="31">
        <f>Auto_Roster!A549</f>
        <v>46170</v>
      </c>
      <c r="B549" s="31">
        <f>Auto_Roster!B549</f>
        <v>46167</v>
      </c>
      <c r="C549" s="26" t="str">
        <f>Auto_Roster!C549</f>
        <v>E006</v>
      </c>
      <c r="D549" s="26" t="str">
        <f>Auto_Roster!D549</f>
        <v>Nhalnahla</v>
      </c>
      <c r="E549" s="26" t="str">
        <f>Auto_Roster!E549</f>
        <v>B</v>
      </c>
      <c r="F549" s="26" t="str">
        <f>Auto_Roster!G549</f>
        <v>Night</v>
      </c>
      <c r="G549" s="33">
        <f>Auto_Roster!J549</f>
        <v>8</v>
      </c>
      <c r="H549" s="33">
        <f>IF(G549&gt;Settings!$B$19,G549-Settings!$B$19,0)</f>
        <v>0</v>
      </c>
      <c r="I549" s="33">
        <f t="shared" si="32"/>
        <v>8</v>
      </c>
      <c r="J549" s="33">
        <f>IF(Auto_Roster!M549="Y",G549,0)</f>
        <v>0</v>
      </c>
      <c r="K549" s="33">
        <f>IF(Auto_Roster!L549="Y",G549,0)</f>
        <v>0</v>
      </c>
      <c r="L549" s="26" t="str">
        <f>Auto_Roster!K549</f>
        <v>N</v>
      </c>
      <c r="M549" s="34">
        <f>IF(L549="Y",Settings!$B$16,0)</f>
        <v>0</v>
      </c>
      <c r="N549" s="33">
        <f t="shared" si="33"/>
        <v>8</v>
      </c>
      <c r="O549" s="34">
        <f>N549*Settings!$B$17</f>
        <v>0</v>
      </c>
      <c r="P549" s="34">
        <f>IFERROR(VLOOKUP(C549,Employees!$A$4:$E$103,5,FALSE),Settings!$B$18)</f>
        <v>100</v>
      </c>
      <c r="Q549" s="34">
        <f t="shared" si="34"/>
        <v>800</v>
      </c>
      <c r="R549" s="34">
        <f>H549*P549*Settings!$B$13</f>
        <v>0</v>
      </c>
      <c r="S549" s="34">
        <f>J549*P549*(Settings!$B$14-1)</f>
        <v>0</v>
      </c>
      <c r="T549" s="34">
        <f>K549*P549*(Settings!$B$15-1)</f>
        <v>0</v>
      </c>
      <c r="U549" s="34">
        <f t="shared" si="35"/>
        <v>800</v>
      </c>
      <c r="V549" s="26" t="str">
        <f>Auto_Roster!O549</f>
        <v>Pending</v>
      </c>
      <c r="W549" s="26" t="e">
        <f ca="1">_xludf.TEXTJOIN("; ",TRUE,Auto_Roster!N549,IF(G549&gt;Settings!$B$19,"Approval required &gt; standard hours",""),IF(AND(F549&lt;&gt;"Off",G549=0),"Missing claimed hours",""))</f>
        <v>#NAME?</v>
      </c>
      <c r="X549" s="7"/>
    </row>
    <row r="550" spans="1:24" x14ac:dyDescent="0.35">
      <c r="A550" s="31">
        <f>Auto_Roster!A550</f>
        <v>46170</v>
      </c>
      <c r="B550" s="31">
        <f>Auto_Roster!B550</f>
        <v>46167</v>
      </c>
      <c r="C550" s="26" t="str">
        <f>Auto_Roster!C550</f>
        <v>E007</v>
      </c>
      <c r="D550" s="26" t="str">
        <f>Auto_Roster!D550</f>
        <v>Joe</v>
      </c>
      <c r="E550" s="26" t="str">
        <f>Auto_Roster!E550</f>
        <v>C</v>
      </c>
      <c r="F550" s="26" t="str">
        <f>Auto_Roster!G550</f>
        <v>Evening</v>
      </c>
      <c r="G550" s="33">
        <f>Auto_Roster!J550</f>
        <v>8</v>
      </c>
      <c r="H550" s="33">
        <f>IF(G550&gt;Settings!$B$19,G550-Settings!$B$19,0)</f>
        <v>0</v>
      </c>
      <c r="I550" s="33">
        <f t="shared" si="32"/>
        <v>8</v>
      </c>
      <c r="J550" s="33">
        <f>IF(Auto_Roster!M550="Y",G550,0)</f>
        <v>0</v>
      </c>
      <c r="K550" s="33">
        <f>IF(Auto_Roster!L550="Y",G550,0)</f>
        <v>0</v>
      </c>
      <c r="L550" s="26" t="str">
        <f>Auto_Roster!K550</f>
        <v>N</v>
      </c>
      <c r="M550" s="34">
        <f>IF(L550="Y",Settings!$B$16,0)</f>
        <v>0</v>
      </c>
      <c r="N550" s="33">
        <f t="shared" si="33"/>
        <v>0</v>
      </c>
      <c r="O550" s="34">
        <f>N550*Settings!$B$17</f>
        <v>0</v>
      </c>
      <c r="P550" s="34">
        <f>IFERROR(VLOOKUP(C550,Employees!$A$4:$E$103,5,FALSE),Settings!$B$18)</f>
        <v>100</v>
      </c>
      <c r="Q550" s="34">
        <f t="shared" si="34"/>
        <v>800</v>
      </c>
      <c r="R550" s="34">
        <f>H550*P550*Settings!$B$13</f>
        <v>0</v>
      </c>
      <c r="S550" s="34">
        <f>J550*P550*(Settings!$B$14-1)</f>
        <v>0</v>
      </c>
      <c r="T550" s="34">
        <f>K550*P550*(Settings!$B$15-1)</f>
        <v>0</v>
      </c>
      <c r="U550" s="34">
        <f t="shared" si="35"/>
        <v>800</v>
      </c>
      <c r="V550" s="26" t="str">
        <f>Auto_Roster!O550</f>
        <v>Pending</v>
      </c>
      <c r="W550" s="26" t="e">
        <f ca="1">_xludf.TEXTJOIN("; ",TRUE,Auto_Roster!N550,IF(G550&gt;Settings!$B$19,"Approval required &gt; standard hours",""),IF(AND(F550&lt;&gt;"Off",G550=0),"Missing claimed hours",""))</f>
        <v>#NAME?</v>
      </c>
      <c r="X550" s="7"/>
    </row>
    <row r="551" spans="1:24" x14ac:dyDescent="0.35">
      <c r="A551" s="31">
        <f>Auto_Roster!A551</f>
        <v>46170</v>
      </c>
      <c r="B551" s="31">
        <f>Auto_Roster!B551</f>
        <v>46167</v>
      </c>
      <c r="C551" s="26" t="str">
        <f>Auto_Roster!C551</f>
        <v>E008</v>
      </c>
      <c r="D551" s="26" t="str">
        <f>Auto_Roster!D551</f>
        <v>Tim</v>
      </c>
      <c r="E551" s="26" t="str">
        <f>Auto_Roster!E551</f>
        <v>D</v>
      </c>
      <c r="F551" s="26" t="str">
        <f>Auto_Roster!G551</f>
        <v>Day</v>
      </c>
      <c r="G551" s="33">
        <f>Auto_Roster!J551</f>
        <v>8</v>
      </c>
      <c r="H551" s="33">
        <f>IF(G551&gt;Settings!$B$19,G551-Settings!$B$19,0)</f>
        <v>0</v>
      </c>
      <c r="I551" s="33">
        <f t="shared" si="32"/>
        <v>8</v>
      </c>
      <c r="J551" s="33">
        <f>IF(Auto_Roster!M551="Y",G551,0)</f>
        <v>0</v>
      </c>
      <c r="K551" s="33">
        <f>IF(Auto_Roster!L551="Y",G551,0)</f>
        <v>0</v>
      </c>
      <c r="L551" s="26" t="str">
        <f>Auto_Roster!K551</f>
        <v>N</v>
      </c>
      <c r="M551" s="34">
        <f>IF(L551="Y",Settings!$B$16,0)</f>
        <v>0</v>
      </c>
      <c r="N551" s="33">
        <f t="shared" si="33"/>
        <v>0</v>
      </c>
      <c r="O551" s="34">
        <f>N551*Settings!$B$17</f>
        <v>0</v>
      </c>
      <c r="P551" s="34">
        <f>IFERROR(VLOOKUP(C551,Employees!$A$4:$E$103,5,FALSE),Settings!$B$18)</f>
        <v>100</v>
      </c>
      <c r="Q551" s="34">
        <f t="shared" si="34"/>
        <v>800</v>
      </c>
      <c r="R551" s="34">
        <f>H551*P551*Settings!$B$13</f>
        <v>0</v>
      </c>
      <c r="S551" s="34">
        <f>J551*P551*(Settings!$B$14-1)</f>
        <v>0</v>
      </c>
      <c r="T551" s="34">
        <f>K551*P551*(Settings!$B$15-1)</f>
        <v>0</v>
      </c>
      <c r="U551" s="34">
        <f t="shared" si="35"/>
        <v>800</v>
      </c>
      <c r="V551" s="26" t="str">
        <f>Auto_Roster!O551</f>
        <v>Pending</v>
      </c>
      <c r="W551" s="26" t="e">
        <f ca="1">_xludf.TEXTJOIN("; ",TRUE,Auto_Roster!N551,IF(G551&gt;Settings!$B$19,"Approval required &gt; standard hours",""),IF(AND(F551&lt;&gt;"Off",G551=0),"Missing claimed hours",""))</f>
        <v>#NAME?</v>
      </c>
      <c r="X551" s="7"/>
    </row>
    <row r="552" spans="1:24" x14ac:dyDescent="0.35">
      <c r="A552" s="31">
        <f>Auto_Roster!A552</f>
        <v>46170</v>
      </c>
      <c r="B552" s="31">
        <f>Auto_Roster!B552</f>
        <v>46167</v>
      </c>
      <c r="C552" s="26" t="str">
        <f>Auto_Roster!C552</f>
        <v>E009</v>
      </c>
      <c r="D552" s="26" t="str">
        <f>Auto_Roster!D552</f>
        <v>Frank</v>
      </c>
      <c r="E552" s="26" t="str">
        <f>Auto_Roster!E552</f>
        <v>A</v>
      </c>
      <c r="F552" s="26" t="str">
        <f>Auto_Roster!G552</f>
        <v>Off</v>
      </c>
      <c r="G552" s="33">
        <f>Auto_Roster!J552</f>
        <v>0</v>
      </c>
      <c r="H552" s="33">
        <f>IF(G552&gt;Settings!$B$19,G552-Settings!$B$19,0)</f>
        <v>0</v>
      </c>
      <c r="I552" s="33">
        <f t="shared" si="32"/>
        <v>0</v>
      </c>
      <c r="J552" s="33">
        <f>IF(Auto_Roster!M552="Y",G552,0)</f>
        <v>0</v>
      </c>
      <c r="K552" s="33">
        <f>IF(Auto_Roster!L552="Y",G552,0)</f>
        <v>0</v>
      </c>
      <c r="L552" s="26" t="str">
        <f>Auto_Roster!K552</f>
        <v>N</v>
      </c>
      <c r="M552" s="34">
        <f>IF(L552="Y",Settings!$B$16,0)</f>
        <v>0</v>
      </c>
      <c r="N552" s="33">
        <f t="shared" si="33"/>
        <v>0</v>
      </c>
      <c r="O552" s="34">
        <f>N552*Settings!$B$17</f>
        <v>0</v>
      </c>
      <c r="P552" s="34">
        <f>IFERROR(VLOOKUP(C552,Employees!$A$4:$E$103,5,FALSE),Settings!$B$18)</f>
        <v>100</v>
      </c>
      <c r="Q552" s="34">
        <f t="shared" si="34"/>
        <v>0</v>
      </c>
      <c r="R552" s="34">
        <f>H552*P552*Settings!$B$13</f>
        <v>0</v>
      </c>
      <c r="S552" s="34">
        <f>J552*P552*(Settings!$B$14-1)</f>
        <v>0</v>
      </c>
      <c r="T552" s="34">
        <f>K552*P552*(Settings!$B$15-1)</f>
        <v>0</v>
      </c>
      <c r="U552" s="34">
        <f t="shared" si="35"/>
        <v>0</v>
      </c>
      <c r="V552" s="26" t="str">
        <f>Auto_Roster!O552</f>
        <v>Pending</v>
      </c>
      <c r="W552" s="26" t="e">
        <f ca="1">_xludf.TEXTJOIN("; ",TRUE,Auto_Roster!N552,IF(G552&gt;Settings!$B$19,"Approval required &gt; standard hours",""),IF(AND(F552&lt;&gt;"Off",G552=0),"Missing claimed hours",""))</f>
        <v>#NAME?</v>
      </c>
      <c r="X552" s="7"/>
    </row>
    <row r="553" spans="1:24" x14ac:dyDescent="0.35">
      <c r="A553" s="31">
        <f>Auto_Roster!A553</f>
        <v>46170</v>
      </c>
      <c r="B553" s="31">
        <f>Auto_Roster!B553</f>
        <v>46167</v>
      </c>
      <c r="C553" s="26" t="str">
        <f>Auto_Roster!C553</f>
        <v/>
      </c>
      <c r="D553" s="26" t="str">
        <f>Auto_Roster!D553</f>
        <v/>
      </c>
      <c r="E553" s="26" t="str">
        <f>Auto_Roster!E553</f>
        <v/>
      </c>
      <c r="F553" s="26" t="str">
        <f>Auto_Roster!G553</f>
        <v/>
      </c>
      <c r="G553" s="33">
        <f>Auto_Roster!J553</f>
        <v>0</v>
      </c>
      <c r="H553" s="33">
        <f>IF(G553&gt;Settings!$B$19,G553-Settings!$B$19,0)</f>
        <v>0</v>
      </c>
      <c r="I553" s="33">
        <f t="shared" si="32"/>
        <v>0</v>
      </c>
      <c r="J553" s="33">
        <f>IF(Auto_Roster!M553="Y",G553,0)</f>
        <v>0</v>
      </c>
      <c r="K553" s="33">
        <f>IF(Auto_Roster!L553="Y",G553,0)</f>
        <v>0</v>
      </c>
      <c r="L553" s="26" t="str">
        <f>Auto_Roster!K553</f>
        <v>N</v>
      </c>
      <c r="M553" s="34">
        <f>IF(L553="Y",Settings!$B$16,0)</f>
        <v>0</v>
      </c>
      <c r="N553" s="33">
        <f t="shared" si="33"/>
        <v>0</v>
      </c>
      <c r="O553" s="34">
        <f>N553*Settings!$B$17</f>
        <v>0</v>
      </c>
      <c r="P553" s="34">
        <f>IFERROR(VLOOKUP(C553,Employees!$A$4:$E$103,5,FALSE),Settings!$B$18)</f>
        <v>100</v>
      </c>
      <c r="Q553" s="34">
        <f t="shared" si="34"/>
        <v>0</v>
      </c>
      <c r="R553" s="34">
        <f>H553*P553*Settings!$B$13</f>
        <v>0</v>
      </c>
      <c r="S553" s="34">
        <f>J553*P553*(Settings!$B$14-1)</f>
        <v>0</v>
      </c>
      <c r="T553" s="34">
        <f>K553*P553*(Settings!$B$15-1)</f>
        <v>0</v>
      </c>
      <c r="U553" s="34">
        <f t="shared" si="35"/>
        <v>0</v>
      </c>
      <c r="V553" s="26" t="str">
        <f>Auto_Roster!O553</f>
        <v>Pending</v>
      </c>
      <c r="W553" s="26" t="e">
        <f ca="1">_xludf.TEXTJOIN("; ",TRUE,Auto_Roster!N553,IF(G553&gt;Settings!$B$19,"Approval required &gt; standard hours",""),IF(AND(F553&lt;&gt;"Off",G553=0),"Missing claimed hours",""))</f>
        <v>#NAME?</v>
      </c>
      <c r="X553" s="7"/>
    </row>
    <row r="554" spans="1:24" x14ac:dyDescent="0.35">
      <c r="A554" s="31">
        <f>Auto_Roster!A554</f>
        <v>46170</v>
      </c>
      <c r="B554" s="31">
        <f>Auto_Roster!B554</f>
        <v>46167</v>
      </c>
      <c r="C554" s="26" t="str">
        <f>Auto_Roster!C554</f>
        <v/>
      </c>
      <c r="D554" s="26" t="str">
        <f>Auto_Roster!D554</f>
        <v/>
      </c>
      <c r="E554" s="26" t="str">
        <f>Auto_Roster!E554</f>
        <v/>
      </c>
      <c r="F554" s="26" t="str">
        <f>Auto_Roster!G554</f>
        <v/>
      </c>
      <c r="G554" s="33">
        <f>Auto_Roster!J554</f>
        <v>0</v>
      </c>
      <c r="H554" s="33">
        <f>IF(G554&gt;Settings!$B$19,G554-Settings!$B$19,0)</f>
        <v>0</v>
      </c>
      <c r="I554" s="33">
        <f t="shared" si="32"/>
        <v>0</v>
      </c>
      <c r="J554" s="33">
        <f>IF(Auto_Roster!M554="Y",G554,0)</f>
        <v>0</v>
      </c>
      <c r="K554" s="33">
        <f>IF(Auto_Roster!L554="Y",G554,0)</f>
        <v>0</v>
      </c>
      <c r="L554" s="26" t="str">
        <f>Auto_Roster!K554</f>
        <v>N</v>
      </c>
      <c r="M554" s="34">
        <f>IF(L554="Y",Settings!$B$16,0)</f>
        <v>0</v>
      </c>
      <c r="N554" s="33">
        <f t="shared" si="33"/>
        <v>0</v>
      </c>
      <c r="O554" s="34">
        <f>N554*Settings!$B$17</f>
        <v>0</v>
      </c>
      <c r="P554" s="34">
        <f>IFERROR(VLOOKUP(C554,Employees!$A$4:$E$103,5,FALSE),Settings!$B$18)</f>
        <v>100</v>
      </c>
      <c r="Q554" s="34">
        <f t="shared" si="34"/>
        <v>0</v>
      </c>
      <c r="R554" s="34">
        <f>H554*P554*Settings!$B$13</f>
        <v>0</v>
      </c>
      <c r="S554" s="34">
        <f>J554*P554*(Settings!$B$14-1)</f>
        <v>0</v>
      </c>
      <c r="T554" s="34">
        <f>K554*P554*(Settings!$B$15-1)</f>
        <v>0</v>
      </c>
      <c r="U554" s="34">
        <f t="shared" si="35"/>
        <v>0</v>
      </c>
      <c r="V554" s="26" t="str">
        <f>Auto_Roster!O554</f>
        <v>Pending</v>
      </c>
      <c r="W554" s="26" t="e">
        <f ca="1">_xludf.TEXTJOIN("; ",TRUE,Auto_Roster!N554,IF(G554&gt;Settings!$B$19,"Approval required &gt; standard hours",""),IF(AND(F554&lt;&gt;"Off",G554=0),"Missing claimed hours",""))</f>
        <v>#NAME?</v>
      </c>
      <c r="X554" s="7"/>
    </row>
    <row r="555" spans="1:24" x14ac:dyDescent="0.35">
      <c r="A555" s="31">
        <f>Auto_Roster!A555</f>
        <v>46170</v>
      </c>
      <c r="B555" s="31">
        <f>Auto_Roster!B555</f>
        <v>46167</v>
      </c>
      <c r="C555" s="26" t="str">
        <f>Auto_Roster!C555</f>
        <v/>
      </c>
      <c r="D555" s="26" t="str">
        <f>Auto_Roster!D555</f>
        <v/>
      </c>
      <c r="E555" s="26" t="str">
        <f>Auto_Roster!E555</f>
        <v/>
      </c>
      <c r="F555" s="26" t="str">
        <f>Auto_Roster!G555</f>
        <v/>
      </c>
      <c r="G555" s="33">
        <f>Auto_Roster!J555</f>
        <v>0</v>
      </c>
      <c r="H555" s="33">
        <f>IF(G555&gt;Settings!$B$19,G555-Settings!$B$19,0)</f>
        <v>0</v>
      </c>
      <c r="I555" s="33">
        <f t="shared" si="32"/>
        <v>0</v>
      </c>
      <c r="J555" s="33">
        <f>IF(Auto_Roster!M555="Y",G555,0)</f>
        <v>0</v>
      </c>
      <c r="K555" s="33">
        <f>IF(Auto_Roster!L555="Y",G555,0)</f>
        <v>0</v>
      </c>
      <c r="L555" s="26" t="str">
        <f>Auto_Roster!K555</f>
        <v>N</v>
      </c>
      <c r="M555" s="34">
        <f>IF(L555="Y",Settings!$B$16,0)</f>
        <v>0</v>
      </c>
      <c r="N555" s="33">
        <f t="shared" si="33"/>
        <v>0</v>
      </c>
      <c r="O555" s="34">
        <f>N555*Settings!$B$17</f>
        <v>0</v>
      </c>
      <c r="P555" s="34">
        <f>IFERROR(VLOOKUP(C555,Employees!$A$4:$E$103,5,FALSE),Settings!$B$18)</f>
        <v>100</v>
      </c>
      <c r="Q555" s="34">
        <f t="shared" si="34"/>
        <v>0</v>
      </c>
      <c r="R555" s="34">
        <f>H555*P555*Settings!$B$13</f>
        <v>0</v>
      </c>
      <c r="S555" s="34">
        <f>J555*P555*(Settings!$B$14-1)</f>
        <v>0</v>
      </c>
      <c r="T555" s="34">
        <f>K555*P555*(Settings!$B$15-1)</f>
        <v>0</v>
      </c>
      <c r="U555" s="34">
        <f t="shared" si="35"/>
        <v>0</v>
      </c>
      <c r="V555" s="26" t="str">
        <f>Auto_Roster!O555</f>
        <v>Pending</v>
      </c>
      <c r="W555" s="26" t="e">
        <f ca="1">_xludf.TEXTJOIN("; ",TRUE,Auto_Roster!N555,IF(G555&gt;Settings!$B$19,"Approval required &gt; standard hours",""),IF(AND(F555&lt;&gt;"Off",G555=0),"Missing claimed hours",""))</f>
        <v>#NAME?</v>
      </c>
      <c r="X555" s="7"/>
    </row>
    <row r="556" spans="1:24" x14ac:dyDescent="0.35">
      <c r="A556" s="31">
        <f>Auto_Roster!A556</f>
        <v>46170</v>
      </c>
      <c r="B556" s="31">
        <f>Auto_Roster!B556</f>
        <v>46167</v>
      </c>
      <c r="C556" s="26" t="str">
        <f>Auto_Roster!C556</f>
        <v/>
      </c>
      <c r="D556" s="26" t="str">
        <f>Auto_Roster!D556</f>
        <v/>
      </c>
      <c r="E556" s="26" t="str">
        <f>Auto_Roster!E556</f>
        <v/>
      </c>
      <c r="F556" s="26" t="str">
        <f>Auto_Roster!G556</f>
        <v/>
      </c>
      <c r="G556" s="33">
        <f>Auto_Roster!J556</f>
        <v>0</v>
      </c>
      <c r="H556" s="33">
        <f>IF(G556&gt;Settings!$B$19,G556-Settings!$B$19,0)</f>
        <v>0</v>
      </c>
      <c r="I556" s="33">
        <f t="shared" si="32"/>
        <v>0</v>
      </c>
      <c r="J556" s="33">
        <f>IF(Auto_Roster!M556="Y",G556,0)</f>
        <v>0</v>
      </c>
      <c r="K556" s="33">
        <f>IF(Auto_Roster!L556="Y",G556,0)</f>
        <v>0</v>
      </c>
      <c r="L556" s="26" t="str">
        <f>Auto_Roster!K556</f>
        <v>N</v>
      </c>
      <c r="M556" s="34">
        <f>IF(L556="Y",Settings!$B$16,0)</f>
        <v>0</v>
      </c>
      <c r="N556" s="33">
        <f t="shared" si="33"/>
        <v>0</v>
      </c>
      <c r="O556" s="34">
        <f>N556*Settings!$B$17</f>
        <v>0</v>
      </c>
      <c r="P556" s="34">
        <f>IFERROR(VLOOKUP(C556,Employees!$A$4:$E$103,5,FALSE),Settings!$B$18)</f>
        <v>100</v>
      </c>
      <c r="Q556" s="34">
        <f t="shared" si="34"/>
        <v>0</v>
      </c>
      <c r="R556" s="34">
        <f>H556*P556*Settings!$B$13</f>
        <v>0</v>
      </c>
      <c r="S556" s="34">
        <f>J556*P556*(Settings!$B$14-1)</f>
        <v>0</v>
      </c>
      <c r="T556" s="34">
        <f>K556*P556*(Settings!$B$15-1)</f>
        <v>0</v>
      </c>
      <c r="U556" s="34">
        <f t="shared" si="35"/>
        <v>0</v>
      </c>
      <c r="V556" s="26" t="str">
        <f>Auto_Roster!O556</f>
        <v>Pending</v>
      </c>
      <c r="W556" s="26" t="e">
        <f ca="1">_xludf.TEXTJOIN("; ",TRUE,Auto_Roster!N556,IF(G556&gt;Settings!$B$19,"Approval required &gt; standard hours",""),IF(AND(F556&lt;&gt;"Off",G556=0),"Missing claimed hours",""))</f>
        <v>#NAME?</v>
      </c>
      <c r="X556" s="7"/>
    </row>
    <row r="557" spans="1:24" x14ac:dyDescent="0.35">
      <c r="A557" s="31">
        <f>Auto_Roster!A557</f>
        <v>46170</v>
      </c>
      <c r="B557" s="31">
        <f>Auto_Roster!B557</f>
        <v>46167</v>
      </c>
      <c r="C557" s="26" t="str">
        <f>Auto_Roster!C557</f>
        <v/>
      </c>
      <c r="D557" s="26" t="str">
        <f>Auto_Roster!D557</f>
        <v/>
      </c>
      <c r="E557" s="26" t="str">
        <f>Auto_Roster!E557</f>
        <v/>
      </c>
      <c r="F557" s="26" t="str">
        <f>Auto_Roster!G557</f>
        <v/>
      </c>
      <c r="G557" s="33">
        <f>Auto_Roster!J557</f>
        <v>0</v>
      </c>
      <c r="H557" s="33">
        <f>IF(G557&gt;Settings!$B$19,G557-Settings!$B$19,0)</f>
        <v>0</v>
      </c>
      <c r="I557" s="33">
        <f t="shared" si="32"/>
        <v>0</v>
      </c>
      <c r="J557" s="33">
        <f>IF(Auto_Roster!M557="Y",G557,0)</f>
        <v>0</v>
      </c>
      <c r="K557" s="33">
        <f>IF(Auto_Roster!L557="Y",G557,0)</f>
        <v>0</v>
      </c>
      <c r="L557" s="26" t="str">
        <f>Auto_Roster!K557</f>
        <v>N</v>
      </c>
      <c r="M557" s="34">
        <f>IF(L557="Y",Settings!$B$16,0)</f>
        <v>0</v>
      </c>
      <c r="N557" s="33">
        <f t="shared" si="33"/>
        <v>0</v>
      </c>
      <c r="O557" s="34">
        <f>N557*Settings!$B$17</f>
        <v>0</v>
      </c>
      <c r="P557" s="34">
        <f>IFERROR(VLOOKUP(C557,Employees!$A$4:$E$103,5,FALSE),Settings!$B$18)</f>
        <v>100</v>
      </c>
      <c r="Q557" s="34">
        <f t="shared" si="34"/>
        <v>0</v>
      </c>
      <c r="R557" s="34">
        <f>H557*P557*Settings!$B$13</f>
        <v>0</v>
      </c>
      <c r="S557" s="34">
        <f>J557*P557*(Settings!$B$14-1)</f>
        <v>0</v>
      </c>
      <c r="T557" s="34">
        <f>K557*P557*(Settings!$B$15-1)</f>
        <v>0</v>
      </c>
      <c r="U557" s="34">
        <f t="shared" si="35"/>
        <v>0</v>
      </c>
      <c r="V557" s="26" t="str">
        <f>Auto_Roster!O557</f>
        <v>Pending</v>
      </c>
      <c r="W557" s="26" t="e">
        <f ca="1">_xludf.TEXTJOIN("; ",TRUE,Auto_Roster!N557,IF(G557&gt;Settings!$B$19,"Approval required &gt; standard hours",""),IF(AND(F557&lt;&gt;"Off",G557=0),"Missing claimed hours",""))</f>
        <v>#NAME?</v>
      </c>
      <c r="X557" s="7"/>
    </row>
    <row r="558" spans="1:24" x14ac:dyDescent="0.35">
      <c r="A558" s="31">
        <f>Auto_Roster!A558</f>
        <v>46170</v>
      </c>
      <c r="B558" s="31">
        <f>Auto_Roster!B558</f>
        <v>46167</v>
      </c>
      <c r="C558" s="26" t="str">
        <f>Auto_Roster!C558</f>
        <v/>
      </c>
      <c r="D558" s="26" t="str">
        <f>Auto_Roster!D558</f>
        <v/>
      </c>
      <c r="E558" s="26" t="str">
        <f>Auto_Roster!E558</f>
        <v/>
      </c>
      <c r="F558" s="26" t="str">
        <f>Auto_Roster!G558</f>
        <v/>
      </c>
      <c r="G558" s="33">
        <f>Auto_Roster!J558</f>
        <v>0</v>
      </c>
      <c r="H558" s="33">
        <f>IF(G558&gt;Settings!$B$19,G558-Settings!$B$19,0)</f>
        <v>0</v>
      </c>
      <c r="I558" s="33">
        <f t="shared" si="32"/>
        <v>0</v>
      </c>
      <c r="J558" s="33">
        <f>IF(Auto_Roster!M558="Y",G558,0)</f>
        <v>0</v>
      </c>
      <c r="K558" s="33">
        <f>IF(Auto_Roster!L558="Y",G558,0)</f>
        <v>0</v>
      </c>
      <c r="L558" s="26" t="str">
        <f>Auto_Roster!K558</f>
        <v>N</v>
      </c>
      <c r="M558" s="34">
        <f>IF(L558="Y",Settings!$B$16,0)</f>
        <v>0</v>
      </c>
      <c r="N558" s="33">
        <f t="shared" si="33"/>
        <v>0</v>
      </c>
      <c r="O558" s="34">
        <f>N558*Settings!$B$17</f>
        <v>0</v>
      </c>
      <c r="P558" s="34">
        <f>IFERROR(VLOOKUP(C558,Employees!$A$4:$E$103,5,FALSE),Settings!$B$18)</f>
        <v>100</v>
      </c>
      <c r="Q558" s="34">
        <f t="shared" si="34"/>
        <v>0</v>
      </c>
      <c r="R558" s="34">
        <f>H558*P558*Settings!$B$13</f>
        <v>0</v>
      </c>
      <c r="S558" s="34">
        <f>J558*P558*(Settings!$B$14-1)</f>
        <v>0</v>
      </c>
      <c r="T558" s="34">
        <f>K558*P558*(Settings!$B$15-1)</f>
        <v>0</v>
      </c>
      <c r="U558" s="34">
        <f t="shared" si="35"/>
        <v>0</v>
      </c>
      <c r="V558" s="26" t="str">
        <f>Auto_Roster!O558</f>
        <v>Pending</v>
      </c>
      <c r="W558" s="26" t="e">
        <f ca="1">_xludf.TEXTJOIN("; ",TRUE,Auto_Roster!N558,IF(G558&gt;Settings!$B$19,"Approval required &gt; standard hours",""),IF(AND(F558&lt;&gt;"Off",G558=0),"Missing claimed hours",""))</f>
        <v>#NAME?</v>
      </c>
      <c r="X558" s="7"/>
    </row>
    <row r="559" spans="1:24" x14ac:dyDescent="0.35">
      <c r="A559" s="31">
        <f>Auto_Roster!A559</f>
        <v>46170</v>
      </c>
      <c r="B559" s="31">
        <f>Auto_Roster!B559</f>
        <v>46167</v>
      </c>
      <c r="C559" s="26" t="str">
        <f>Auto_Roster!C559</f>
        <v/>
      </c>
      <c r="D559" s="26" t="str">
        <f>Auto_Roster!D559</f>
        <v/>
      </c>
      <c r="E559" s="26" t="str">
        <f>Auto_Roster!E559</f>
        <v/>
      </c>
      <c r="F559" s="26" t="str">
        <f>Auto_Roster!G559</f>
        <v/>
      </c>
      <c r="G559" s="33">
        <f>Auto_Roster!J559</f>
        <v>0</v>
      </c>
      <c r="H559" s="33">
        <f>IF(G559&gt;Settings!$B$19,G559-Settings!$B$19,0)</f>
        <v>0</v>
      </c>
      <c r="I559" s="33">
        <f t="shared" si="32"/>
        <v>0</v>
      </c>
      <c r="J559" s="33">
        <f>IF(Auto_Roster!M559="Y",G559,0)</f>
        <v>0</v>
      </c>
      <c r="K559" s="33">
        <f>IF(Auto_Roster!L559="Y",G559,0)</f>
        <v>0</v>
      </c>
      <c r="L559" s="26" t="str">
        <f>Auto_Roster!K559</f>
        <v>N</v>
      </c>
      <c r="M559" s="34">
        <f>IF(L559="Y",Settings!$B$16,0)</f>
        <v>0</v>
      </c>
      <c r="N559" s="33">
        <f t="shared" si="33"/>
        <v>0</v>
      </c>
      <c r="O559" s="34">
        <f>N559*Settings!$B$17</f>
        <v>0</v>
      </c>
      <c r="P559" s="34">
        <f>IFERROR(VLOOKUP(C559,Employees!$A$4:$E$103,5,FALSE),Settings!$B$18)</f>
        <v>100</v>
      </c>
      <c r="Q559" s="34">
        <f t="shared" si="34"/>
        <v>0</v>
      </c>
      <c r="R559" s="34">
        <f>H559*P559*Settings!$B$13</f>
        <v>0</v>
      </c>
      <c r="S559" s="34">
        <f>J559*P559*(Settings!$B$14-1)</f>
        <v>0</v>
      </c>
      <c r="T559" s="34">
        <f>K559*P559*(Settings!$B$15-1)</f>
        <v>0</v>
      </c>
      <c r="U559" s="34">
        <f t="shared" si="35"/>
        <v>0</v>
      </c>
      <c r="V559" s="26" t="str">
        <f>Auto_Roster!O559</f>
        <v>Pending</v>
      </c>
      <c r="W559" s="26" t="e">
        <f ca="1">_xludf.TEXTJOIN("; ",TRUE,Auto_Roster!N559,IF(G559&gt;Settings!$B$19,"Approval required &gt; standard hours",""),IF(AND(F559&lt;&gt;"Off",G559=0),"Missing claimed hours",""))</f>
        <v>#NAME?</v>
      </c>
      <c r="X559" s="7"/>
    </row>
    <row r="560" spans="1:24" x14ac:dyDescent="0.35">
      <c r="A560" s="31">
        <f>Auto_Roster!A560</f>
        <v>46170</v>
      </c>
      <c r="B560" s="31">
        <f>Auto_Roster!B560</f>
        <v>46167</v>
      </c>
      <c r="C560" s="26" t="str">
        <f>Auto_Roster!C560</f>
        <v/>
      </c>
      <c r="D560" s="26" t="str">
        <f>Auto_Roster!D560</f>
        <v/>
      </c>
      <c r="E560" s="26" t="str">
        <f>Auto_Roster!E560</f>
        <v/>
      </c>
      <c r="F560" s="26" t="str">
        <f>Auto_Roster!G560</f>
        <v/>
      </c>
      <c r="G560" s="33">
        <f>Auto_Roster!J560</f>
        <v>0</v>
      </c>
      <c r="H560" s="33">
        <f>IF(G560&gt;Settings!$B$19,G560-Settings!$B$19,0)</f>
        <v>0</v>
      </c>
      <c r="I560" s="33">
        <f t="shared" si="32"/>
        <v>0</v>
      </c>
      <c r="J560" s="33">
        <f>IF(Auto_Roster!M560="Y",G560,0)</f>
        <v>0</v>
      </c>
      <c r="K560" s="33">
        <f>IF(Auto_Roster!L560="Y",G560,0)</f>
        <v>0</v>
      </c>
      <c r="L560" s="26" t="str">
        <f>Auto_Roster!K560</f>
        <v>N</v>
      </c>
      <c r="M560" s="34">
        <f>IF(L560="Y",Settings!$B$16,0)</f>
        <v>0</v>
      </c>
      <c r="N560" s="33">
        <f t="shared" si="33"/>
        <v>0</v>
      </c>
      <c r="O560" s="34">
        <f>N560*Settings!$B$17</f>
        <v>0</v>
      </c>
      <c r="P560" s="34">
        <f>IFERROR(VLOOKUP(C560,Employees!$A$4:$E$103,5,FALSE),Settings!$B$18)</f>
        <v>100</v>
      </c>
      <c r="Q560" s="34">
        <f t="shared" si="34"/>
        <v>0</v>
      </c>
      <c r="R560" s="34">
        <f>H560*P560*Settings!$B$13</f>
        <v>0</v>
      </c>
      <c r="S560" s="34">
        <f>J560*P560*(Settings!$B$14-1)</f>
        <v>0</v>
      </c>
      <c r="T560" s="34">
        <f>K560*P560*(Settings!$B$15-1)</f>
        <v>0</v>
      </c>
      <c r="U560" s="34">
        <f t="shared" si="35"/>
        <v>0</v>
      </c>
      <c r="V560" s="26" t="str">
        <f>Auto_Roster!O560</f>
        <v>Pending</v>
      </c>
      <c r="W560" s="26" t="e">
        <f ca="1">_xludf.TEXTJOIN("; ",TRUE,Auto_Roster!N560,IF(G560&gt;Settings!$B$19,"Approval required &gt; standard hours",""),IF(AND(F560&lt;&gt;"Off",G560=0),"Missing claimed hours",""))</f>
        <v>#NAME?</v>
      </c>
      <c r="X560" s="7"/>
    </row>
    <row r="561" spans="1:24" x14ac:dyDescent="0.35">
      <c r="A561" s="31">
        <f>Auto_Roster!A561</f>
        <v>46170</v>
      </c>
      <c r="B561" s="31">
        <f>Auto_Roster!B561</f>
        <v>46167</v>
      </c>
      <c r="C561" s="26" t="str">
        <f>Auto_Roster!C561</f>
        <v/>
      </c>
      <c r="D561" s="26" t="str">
        <f>Auto_Roster!D561</f>
        <v/>
      </c>
      <c r="E561" s="26" t="str">
        <f>Auto_Roster!E561</f>
        <v/>
      </c>
      <c r="F561" s="26" t="str">
        <f>Auto_Roster!G561</f>
        <v/>
      </c>
      <c r="G561" s="33">
        <f>Auto_Roster!J561</f>
        <v>0</v>
      </c>
      <c r="H561" s="33">
        <f>IF(G561&gt;Settings!$B$19,G561-Settings!$B$19,0)</f>
        <v>0</v>
      </c>
      <c r="I561" s="33">
        <f t="shared" si="32"/>
        <v>0</v>
      </c>
      <c r="J561" s="33">
        <f>IF(Auto_Roster!M561="Y",G561,0)</f>
        <v>0</v>
      </c>
      <c r="K561" s="33">
        <f>IF(Auto_Roster!L561="Y",G561,0)</f>
        <v>0</v>
      </c>
      <c r="L561" s="26" t="str">
        <f>Auto_Roster!K561</f>
        <v>N</v>
      </c>
      <c r="M561" s="34">
        <f>IF(L561="Y",Settings!$B$16,0)</f>
        <v>0</v>
      </c>
      <c r="N561" s="33">
        <f t="shared" si="33"/>
        <v>0</v>
      </c>
      <c r="O561" s="34">
        <f>N561*Settings!$B$17</f>
        <v>0</v>
      </c>
      <c r="P561" s="34">
        <f>IFERROR(VLOOKUP(C561,Employees!$A$4:$E$103,5,FALSE),Settings!$B$18)</f>
        <v>100</v>
      </c>
      <c r="Q561" s="34">
        <f t="shared" si="34"/>
        <v>0</v>
      </c>
      <c r="R561" s="34">
        <f>H561*P561*Settings!$B$13</f>
        <v>0</v>
      </c>
      <c r="S561" s="34">
        <f>J561*P561*(Settings!$B$14-1)</f>
        <v>0</v>
      </c>
      <c r="T561" s="34">
        <f>K561*P561*(Settings!$B$15-1)</f>
        <v>0</v>
      </c>
      <c r="U561" s="34">
        <f t="shared" si="35"/>
        <v>0</v>
      </c>
      <c r="V561" s="26" t="str">
        <f>Auto_Roster!O561</f>
        <v>Pending</v>
      </c>
      <c r="W561" s="26" t="e">
        <f ca="1">_xludf.TEXTJOIN("; ",TRUE,Auto_Roster!N561,IF(G561&gt;Settings!$B$19,"Approval required &gt; standard hours",""),IF(AND(F561&lt;&gt;"Off",G561=0),"Missing claimed hours",""))</f>
        <v>#NAME?</v>
      </c>
      <c r="X561" s="7"/>
    </row>
    <row r="562" spans="1:24" x14ac:dyDescent="0.35">
      <c r="A562" s="31">
        <f>Auto_Roster!A562</f>
        <v>46170</v>
      </c>
      <c r="B562" s="31">
        <f>Auto_Roster!B562</f>
        <v>46167</v>
      </c>
      <c r="C562" s="26" t="str">
        <f>Auto_Roster!C562</f>
        <v/>
      </c>
      <c r="D562" s="26" t="str">
        <f>Auto_Roster!D562</f>
        <v/>
      </c>
      <c r="E562" s="26" t="str">
        <f>Auto_Roster!E562</f>
        <v/>
      </c>
      <c r="F562" s="26" t="str">
        <f>Auto_Roster!G562</f>
        <v/>
      </c>
      <c r="G562" s="33">
        <f>Auto_Roster!J562</f>
        <v>0</v>
      </c>
      <c r="H562" s="33">
        <f>IF(G562&gt;Settings!$B$19,G562-Settings!$B$19,0)</f>
        <v>0</v>
      </c>
      <c r="I562" s="33">
        <f t="shared" si="32"/>
        <v>0</v>
      </c>
      <c r="J562" s="33">
        <f>IF(Auto_Roster!M562="Y",G562,0)</f>
        <v>0</v>
      </c>
      <c r="K562" s="33">
        <f>IF(Auto_Roster!L562="Y",G562,0)</f>
        <v>0</v>
      </c>
      <c r="L562" s="26" t="str">
        <f>Auto_Roster!K562</f>
        <v>N</v>
      </c>
      <c r="M562" s="34">
        <f>IF(L562="Y",Settings!$B$16,0)</f>
        <v>0</v>
      </c>
      <c r="N562" s="33">
        <f t="shared" si="33"/>
        <v>0</v>
      </c>
      <c r="O562" s="34">
        <f>N562*Settings!$B$17</f>
        <v>0</v>
      </c>
      <c r="P562" s="34">
        <f>IFERROR(VLOOKUP(C562,Employees!$A$4:$E$103,5,FALSE),Settings!$B$18)</f>
        <v>100</v>
      </c>
      <c r="Q562" s="34">
        <f t="shared" si="34"/>
        <v>0</v>
      </c>
      <c r="R562" s="34">
        <f>H562*P562*Settings!$B$13</f>
        <v>0</v>
      </c>
      <c r="S562" s="34">
        <f>J562*P562*(Settings!$B$14-1)</f>
        <v>0</v>
      </c>
      <c r="T562" s="34">
        <f>K562*P562*(Settings!$B$15-1)</f>
        <v>0</v>
      </c>
      <c r="U562" s="34">
        <f t="shared" si="35"/>
        <v>0</v>
      </c>
      <c r="V562" s="26" t="str">
        <f>Auto_Roster!O562</f>
        <v>Pending</v>
      </c>
      <c r="W562" s="26" t="e">
        <f ca="1">_xludf.TEXTJOIN("; ",TRUE,Auto_Roster!N562,IF(G562&gt;Settings!$B$19,"Approval required &gt; standard hours",""),IF(AND(F562&lt;&gt;"Off",G562=0),"Missing claimed hours",""))</f>
        <v>#NAME?</v>
      </c>
      <c r="X562" s="7"/>
    </row>
    <row r="563" spans="1:24" x14ac:dyDescent="0.35">
      <c r="A563" s="31">
        <f>Auto_Roster!A563</f>
        <v>46170</v>
      </c>
      <c r="B563" s="31">
        <f>Auto_Roster!B563</f>
        <v>46167</v>
      </c>
      <c r="C563" s="26" t="str">
        <f>Auto_Roster!C563</f>
        <v/>
      </c>
      <c r="D563" s="26" t="str">
        <f>Auto_Roster!D563</f>
        <v/>
      </c>
      <c r="E563" s="26" t="str">
        <f>Auto_Roster!E563</f>
        <v/>
      </c>
      <c r="F563" s="26" t="str">
        <f>Auto_Roster!G563</f>
        <v/>
      </c>
      <c r="G563" s="33">
        <f>Auto_Roster!J563</f>
        <v>0</v>
      </c>
      <c r="H563" s="33">
        <f>IF(G563&gt;Settings!$B$19,G563-Settings!$B$19,0)</f>
        <v>0</v>
      </c>
      <c r="I563" s="33">
        <f t="shared" si="32"/>
        <v>0</v>
      </c>
      <c r="J563" s="33">
        <f>IF(Auto_Roster!M563="Y",G563,0)</f>
        <v>0</v>
      </c>
      <c r="K563" s="33">
        <f>IF(Auto_Roster!L563="Y",G563,0)</f>
        <v>0</v>
      </c>
      <c r="L563" s="26" t="str">
        <f>Auto_Roster!K563</f>
        <v>N</v>
      </c>
      <c r="M563" s="34">
        <f>IF(L563="Y",Settings!$B$16,0)</f>
        <v>0</v>
      </c>
      <c r="N563" s="33">
        <f t="shared" si="33"/>
        <v>0</v>
      </c>
      <c r="O563" s="34">
        <f>N563*Settings!$B$17</f>
        <v>0</v>
      </c>
      <c r="P563" s="34">
        <f>IFERROR(VLOOKUP(C563,Employees!$A$4:$E$103,5,FALSE),Settings!$B$18)</f>
        <v>100</v>
      </c>
      <c r="Q563" s="34">
        <f t="shared" si="34"/>
        <v>0</v>
      </c>
      <c r="R563" s="34">
        <f>H563*P563*Settings!$B$13</f>
        <v>0</v>
      </c>
      <c r="S563" s="34">
        <f>J563*P563*(Settings!$B$14-1)</f>
        <v>0</v>
      </c>
      <c r="T563" s="34">
        <f>K563*P563*(Settings!$B$15-1)</f>
        <v>0</v>
      </c>
      <c r="U563" s="34">
        <f t="shared" si="35"/>
        <v>0</v>
      </c>
      <c r="V563" s="26" t="str">
        <f>Auto_Roster!O563</f>
        <v>Pending</v>
      </c>
      <c r="W563" s="26" t="e">
        <f ca="1">_xludf.TEXTJOIN("; ",TRUE,Auto_Roster!N563,IF(G563&gt;Settings!$B$19,"Approval required &gt; standard hours",""),IF(AND(F563&lt;&gt;"Off",G563=0),"Missing claimed hours",""))</f>
        <v>#NAME?</v>
      </c>
      <c r="X563" s="7"/>
    </row>
    <row r="564" spans="1:24" x14ac:dyDescent="0.35">
      <c r="A564" s="31">
        <f>Auto_Roster!A564</f>
        <v>46171</v>
      </c>
      <c r="B564" s="31">
        <f>Auto_Roster!B564</f>
        <v>46167</v>
      </c>
      <c r="C564" s="26" t="str">
        <f>Auto_Roster!C564</f>
        <v>E001</v>
      </c>
      <c r="D564" s="26" t="str">
        <f>Auto_Roster!D564</f>
        <v>Musiwa Khavalani</v>
      </c>
      <c r="E564" s="26">
        <f>Auto_Roster!E564</f>
        <v>0</v>
      </c>
      <c r="F564" s="26" t="e">
        <f>Auto_Roster!G564</f>
        <v>#N/A</v>
      </c>
      <c r="G564" s="33" t="e">
        <f>Auto_Roster!J564</f>
        <v>#N/A</v>
      </c>
      <c r="H564" s="33" t="e">
        <f>IF(G564&gt;Settings!$B$19,G564-Settings!$B$19,0)</f>
        <v>#N/A</v>
      </c>
      <c r="I564" s="33" t="e">
        <f t="shared" si="32"/>
        <v>#N/A</v>
      </c>
      <c r="J564" s="33">
        <f>IF(Auto_Roster!M564="Y",G564,0)</f>
        <v>0</v>
      </c>
      <c r="K564" s="33">
        <f>IF(Auto_Roster!L564="Y",G564,0)</f>
        <v>0</v>
      </c>
      <c r="L564" s="26" t="str">
        <f>Auto_Roster!K564</f>
        <v>N</v>
      </c>
      <c r="M564" s="34">
        <f>IF(L564="Y",Settings!$B$16,0)</f>
        <v>0</v>
      </c>
      <c r="N564" s="33" t="e">
        <f t="shared" si="33"/>
        <v>#N/A</v>
      </c>
      <c r="O564" s="34" t="e">
        <f>N564*Settings!$B$17</f>
        <v>#N/A</v>
      </c>
      <c r="P564" s="34">
        <f>IFERROR(VLOOKUP(C564,Employees!$A$4:$E$103,5,FALSE),Settings!$B$18)</f>
        <v>100</v>
      </c>
      <c r="Q564" s="34" t="e">
        <f t="shared" si="34"/>
        <v>#N/A</v>
      </c>
      <c r="R564" s="34" t="e">
        <f>H564*P564*Settings!$B$13</f>
        <v>#N/A</v>
      </c>
      <c r="S564" s="34">
        <f>J564*P564*(Settings!$B$14-1)</f>
        <v>0</v>
      </c>
      <c r="T564" s="34">
        <f>K564*P564*(Settings!$B$15-1)</f>
        <v>0</v>
      </c>
      <c r="U564" s="34" t="e">
        <f t="shared" si="35"/>
        <v>#N/A</v>
      </c>
      <c r="V564" s="26" t="str">
        <f>Auto_Roster!O564</f>
        <v>Pending</v>
      </c>
      <c r="W564" s="26" t="e">
        <f ca="1">_xludf.TEXTJOIN("; ",TRUE,Auto_Roster!N564,IF(G564&gt;Settings!$B$19,"Approval required &gt; standard hours",""),IF(AND(F564&lt;&gt;"Off",G564=0),"Missing claimed hours",""))</f>
        <v>#NAME?</v>
      </c>
      <c r="X564" s="7"/>
    </row>
    <row r="565" spans="1:24" x14ac:dyDescent="0.35">
      <c r="A565" s="31">
        <f>Auto_Roster!A565</f>
        <v>46171</v>
      </c>
      <c r="B565" s="31">
        <f>Auto_Roster!B565</f>
        <v>46167</v>
      </c>
      <c r="C565" s="26" t="str">
        <f>Auto_Roster!C565</f>
        <v>E002</v>
      </c>
      <c r="D565" s="26" t="str">
        <f>Auto_Roster!D565</f>
        <v>Mpho  Nembemhia</v>
      </c>
      <c r="E565" s="26" t="str">
        <f>Auto_Roster!E565</f>
        <v>B</v>
      </c>
      <c r="F565" s="26" t="str">
        <f>Auto_Roster!G565</f>
        <v>Off</v>
      </c>
      <c r="G565" s="33">
        <f>Auto_Roster!J565</f>
        <v>0</v>
      </c>
      <c r="H565" s="33">
        <f>IF(G565&gt;Settings!$B$19,G565-Settings!$B$19,0)</f>
        <v>0</v>
      </c>
      <c r="I565" s="33">
        <f t="shared" si="32"/>
        <v>0</v>
      </c>
      <c r="J565" s="33">
        <f>IF(Auto_Roster!M565="Y",G565,0)</f>
        <v>0</v>
      </c>
      <c r="K565" s="33">
        <f>IF(Auto_Roster!L565="Y",G565,0)</f>
        <v>0</v>
      </c>
      <c r="L565" s="26" t="str">
        <f>Auto_Roster!K565</f>
        <v>N</v>
      </c>
      <c r="M565" s="34">
        <f>IF(L565="Y",Settings!$B$16,0)</f>
        <v>0</v>
      </c>
      <c r="N565" s="33">
        <f t="shared" si="33"/>
        <v>0</v>
      </c>
      <c r="O565" s="34">
        <f>N565*Settings!$B$17</f>
        <v>0</v>
      </c>
      <c r="P565" s="34">
        <f>IFERROR(VLOOKUP(C565,Employees!$A$4:$E$103,5,FALSE),Settings!$B$18)</f>
        <v>100</v>
      </c>
      <c r="Q565" s="34">
        <f t="shared" si="34"/>
        <v>0</v>
      </c>
      <c r="R565" s="34">
        <f>H565*P565*Settings!$B$13</f>
        <v>0</v>
      </c>
      <c r="S565" s="34">
        <f>J565*P565*(Settings!$B$14-1)</f>
        <v>0</v>
      </c>
      <c r="T565" s="34">
        <f>K565*P565*(Settings!$B$15-1)</f>
        <v>0</v>
      </c>
      <c r="U565" s="34">
        <f t="shared" si="35"/>
        <v>0</v>
      </c>
      <c r="V565" s="26" t="str">
        <f>Auto_Roster!O565</f>
        <v>Pending</v>
      </c>
      <c r="W565" s="26" t="e">
        <f ca="1">_xludf.TEXTJOIN("; ",TRUE,Auto_Roster!N565,IF(G565&gt;Settings!$B$19,"Approval required &gt; standard hours",""),IF(AND(F565&lt;&gt;"Off",G565=0),"Missing claimed hours",""))</f>
        <v>#NAME?</v>
      </c>
      <c r="X565" s="7"/>
    </row>
    <row r="566" spans="1:24" x14ac:dyDescent="0.35">
      <c r="A566" s="31">
        <f>Auto_Roster!A566</f>
        <v>46171</v>
      </c>
      <c r="B566" s="31">
        <f>Auto_Roster!B566</f>
        <v>46167</v>
      </c>
      <c r="C566" s="26" t="str">
        <f>Auto_Roster!C566</f>
        <v>E003</v>
      </c>
      <c r="D566" s="26" t="str">
        <f>Auto_Roster!D566</f>
        <v>Dimpho Makhafola</v>
      </c>
      <c r="E566" s="26" t="str">
        <f>Auto_Roster!E566</f>
        <v>C</v>
      </c>
      <c r="F566" s="26" t="str">
        <f>Auto_Roster!G566</f>
        <v>Evening</v>
      </c>
      <c r="G566" s="33">
        <f>Auto_Roster!J566</f>
        <v>8</v>
      </c>
      <c r="H566" s="33">
        <f>IF(G566&gt;Settings!$B$19,G566-Settings!$B$19,0)</f>
        <v>0</v>
      </c>
      <c r="I566" s="33">
        <f t="shared" si="32"/>
        <v>8</v>
      </c>
      <c r="J566" s="33">
        <f>IF(Auto_Roster!M566="Y",G566,0)</f>
        <v>0</v>
      </c>
      <c r="K566" s="33">
        <f>IF(Auto_Roster!L566="Y",G566,0)</f>
        <v>0</v>
      </c>
      <c r="L566" s="26" t="str">
        <f>Auto_Roster!K566</f>
        <v>N</v>
      </c>
      <c r="M566" s="34">
        <f>IF(L566="Y",Settings!$B$16,0)</f>
        <v>0</v>
      </c>
      <c r="N566" s="33">
        <f t="shared" si="33"/>
        <v>0</v>
      </c>
      <c r="O566" s="34">
        <f>N566*Settings!$B$17</f>
        <v>0</v>
      </c>
      <c r="P566" s="34">
        <f>IFERROR(VLOOKUP(C566,Employees!$A$4:$E$103,5,FALSE),Settings!$B$18)</f>
        <v>100</v>
      </c>
      <c r="Q566" s="34">
        <f t="shared" si="34"/>
        <v>800</v>
      </c>
      <c r="R566" s="34">
        <f>H566*P566*Settings!$B$13</f>
        <v>0</v>
      </c>
      <c r="S566" s="34">
        <f>J566*P566*(Settings!$B$14-1)</f>
        <v>0</v>
      </c>
      <c r="T566" s="34">
        <f>K566*P566*(Settings!$B$15-1)</f>
        <v>0</v>
      </c>
      <c r="U566" s="34">
        <f t="shared" si="35"/>
        <v>800</v>
      </c>
      <c r="V566" s="26" t="str">
        <f>Auto_Roster!O566</f>
        <v>Pending</v>
      </c>
      <c r="W566" s="26" t="e">
        <f ca="1">_xludf.TEXTJOIN("; ",TRUE,Auto_Roster!N566,IF(G566&gt;Settings!$B$19,"Approval required &gt; standard hours",""),IF(AND(F566&lt;&gt;"Off",G566=0),"Missing claimed hours",""))</f>
        <v>#NAME?</v>
      </c>
      <c r="X566" s="7"/>
    </row>
    <row r="567" spans="1:24" x14ac:dyDescent="0.35">
      <c r="A567" s="31">
        <f>Auto_Roster!A567</f>
        <v>46171</v>
      </c>
      <c r="B567" s="31">
        <f>Auto_Roster!B567</f>
        <v>46167</v>
      </c>
      <c r="C567" s="26" t="str">
        <f>Auto_Roster!C567</f>
        <v>E004</v>
      </c>
      <c r="D567" s="26" t="str">
        <f>Auto_Roster!D567</f>
        <v>Bashii Fall</v>
      </c>
      <c r="E567" s="26" t="str">
        <f>Auto_Roster!E567</f>
        <v>D</v>
      </c>
      <c r="F567" s="26" t="str">
        <f>Auto_Roster!G567</f>
        <v>Night</v>
      </c>
      <c r="G567" s="33">
        <f>Auto_Roster!J567</f>
        <v>8</v>
      </c>
      <c r="H567" s="33">
        <f>IF(G567&gt;Settings!$B$19,G567-Settings!$B$19,0)</f>
        <v>0</v>
      </c>
      <c r="I567" s="33">
        <f t="shared" si="32"/>
        <v>8</v>
      </c>
      <c r="J567" s="33">
        <f>IF(Auto_Roster!M567="Y",G567,0)</f>
        <v>0</v>
      </c>
      <c r="K567" s="33">
        <f>IF(Auto_Roster!L567="Y",G567,0)</f>
        <v>0</v>
      </c>
      <c r="L567" s="26" t="str">
        <f>Auto_Roster!K567</f>
        <v>N</v>
      </c>
      <c r="M567" s="34">
        <f>IF(L567="Y",Settings!$B$16,0)</f>
        <v>0</v>
      </c>
      <c r="N567" s="33">
        <f t="shared" si="33"/>
        <v>8</v>
      </c>
      <c r="O567" s="34">
        <f>N567*Settings!$B$17</f>
        <v>0</v>
      </c>
      <c r="P567" s="34">
        <f>IFERROR(VLOOKUP(C567,Employees!$A$4:$E$103,5,FALSE),Settings!$B$18)</f>
        <v>100</v>
      </c>
      <c r="Q567" s="34">
        <f t="shared" si="34"/>
        <v>800</v>
      </c>
      <c r="R567" s="34">
        <f>H567*P567*Settings!$B$13</f>
        <v>0</v>
      </c>
      <c r="S567" s="34">
        <f>J567*P567*(Settings!$B$14-1)</f>
        <v>0</v>
      </c>
      <c r="T567" s="34">
        <f>K567*P567*(Settings!$B$15-1)</f>
        <v>0</v>
      </c>
      <c r="U567" s="34">
        <f t="shared" si="35"/>
        <v>800</v>
      </c>
      <c r="V567" s="26" t="str">
        <f>Auto_Roster!O567</f>
        <v>Pending</v>
      </c>
      <c r="W567" s="26" t="e">
        <f ca="1">_xludf.TEXTJOIN("; ",TRUE,Auto_Roster!N567,IF(G567&gt;Settings!$B$19,"Approval required &gt; standard hours",""),IF(AND(F567&lt;&gt;"Off",G567=0),"Missing claimed hours",""))</f>
        <v>#NAME?</v>
      </c>
      <c r="X567" s="7"/>
    </row>
    <row r="568" spans="1:24" x14ac:dyDescent="0.35">
      <c r="A568" s="31">
        <f>Auto_Roster!A568</f>
        <v>46171</v>
      </c>
      <c r="B568" s="31">
        <f>Auto_Roster!B568</f>
        <v>46167</v>
      </c>
      <c r="C568" s="26" t="str">
        <f>Auto_Roster!C568</f>
        <v>E005</v>
      </c>
      <c r="D568" s="26" t="str">
        <f>Auto_Roster!D568</f>
        <v>Lesego Aphane</v>
      </c>
      <c r="E568" s="26" t="str">
        <f>Auto_Roster!E568</f>
        <v>A</v>
      </c>
      <c r="F568" s="26" t="str">
        <f>Auto_Roster!G568</f>
        <v>Day</v>
      </c>
      <c r="G568" s="33">
        <f>Auto_Roster!J568</f>
        <v>8</v>
      </c>
      <c r="H568" s="33">
        <f>IF(G568&gt;Settings!$B$19,G568-Settings!$B$19,0)</f>
        <v>0</v>
      </c>
      <c r="I568" s="33">
        <f t="shared" si="32"/>
        <v>8</v>
      </c>
      <c r="J568" s="33">
        <f>IF(Auto_Roster!M568="Y",G568,0)</f>
        <v>0</v>
      </c>
      <c r="K568" s="33">
        <f>IF(Auto_Roster!L568="Y",G568,0)</f>
        <v>0</v>
      </c>
      <c r="L568" s="26" t="str">
        <f>Auto_Roster!K568</f>
        <v>N</v>
      </c>
      <c r="M568" s="34">
        <f>IF(L568="Y",Settings!$B$16,0)</f>
        <v>0</v>
      </c>
      <c r="N568" s="33">
        <f t="shared" si="33"/>
        <v>0</v>
      </c>
      <c r="O568" s="34">
        <f>N568*Settings!$B$17</f>
        <v>0</v>
      </c>
      <c r="P568" s="34">
        <f>IFERROR(VLOOKUP(C568,Employees!$A$4:$E$103,5,FALSE),Settings!$B$18)</f>
        <v>100</v>
      </c>
      <c r="Q568" s="34">
        <f t="shared" si="34"/>
        <v>800</v>
      </c>
      <c r="R568" s="34">
        <f>H568*P568*Settings!$B$13</f>
        <v>0</v>
      </c>
      <c r="S568" s="34">
        <f>J568*P568*(Settings!$B$14-1)</f>
        <v>0</v>
      </c>
      <c r="T568" s="34">
        <f>K568*P568*(Settings!$B$15-1)</f>
        <v>0</v>
      </c>
      <c r="U568" s="34">
        <f t="shared" si="35"/>
        <v>800</v>
      </c>
      <c r="V568" s="26" t="str">
        <f>Auto_Roster!O568</f>
        <v>Pending</v>
      </c>
      <c r="W568" s="26" t="e">
        <f ca="1">_xludf.TEXTJOIN("; ",TRUE,Auto_Roster!N568,IF(G568&gt;Settings!$B$19,"Approval required &gt; standard hours",""),IF(AND(F568&lt;&gt;"Off",G568=0),"Missing claimed hours",""))</f>
        <v>#NAME?</v>
      </c>
      <c r="X568" s="7"/>
    </row>
    <row r="569" spans="1:24" x14ac:dyDescent="0.35">
      <c r="A569" s="31">
        <f>Auto_Roster!A569</f>
        <v>46171</v>
      </c>
      <c r="B569" s="31">
        <f>Auto_Roster!B569</f>
        <v>46167</v>
      </c>
      <c r="C569" s="26" t="str">
        <f>Auto_Roster!C569</f>
        <v>E006</v>
      </c>
      <c r="D569" s="26" t="str">
        <f>Auto_Roster!D569</f>
        <v>Nhalnahla</v>
      </c>
      <c r="E569" s="26" t="str">
        <f>Auto_Roster!E569</f>
        <v>B</v>
      </c>
      <c r="F569" s="26" t="str">
        <f>Auto_Roster!G569</f>
        <v>Off</v>
      </c>
      <c r="G569" s="33">
        <f>Auto_Roster!J569</f>
        <v>0</v>
      </c>
      <c r="H569" s="33">
        <f>IF(G569&gt;Settings!$B$19,G569-Settings!$B$19,0)</f>
        <v>0</v>
      </c>
      <c r="I569" s="33">
        <f t="shared" si="32"/>
        <v>0</v>
      </c>
      <c r="J569" s="33">
        <f>IF(Auto_Roster!M569="Y",G569,0)</f>
        <v>0</v>
      </c>
      <c r="K569" s="33">
        <f>IF(Auto_Roster!L569="Y",G569,0)</f>
        <v>0</v>
      </c>
      <c r="L569" s="26" t="str">
        <f>Auto_Roster!K569</f>
        <v>N</v>
      </c>
      <c r="M569" s="34">
        <f>IF(L569="Y",Settings!$B$16,0)</f>
        <v>0</v>
      </c>
      <c r="N569" s="33">
        <f t="shared" si="33"/>
        <v>0</v>
      </c>
      <c r="O569" s="34">
        <f>N569*Settings!$B$17</f>
        <v>0</v>
      </c>
      <c r="P569" s="34">
        <f>IFERROR(VLOOKUP(C569,Employees!$A$4:$E$103,5,FALSE),Settings!$B$18)</f>
        <v>100</v>
      </c>
      <c r="Q569" s="34">
        <f t="shared" si="34"/>
        <v>0</v>
      </c>
      <c r="R569" s="34">
        <f>H569*P569*Settings!$B$13</f>
        <v>0</v>
      </c>
      <c r="S569" s="34">
        <f>J569*P569*(Settings!$B$14-1)</f>
        <v>0</v>
      </c>
      <c r="T569" s="34">
        <f>K569*P569*(Settings!$B$15-1)</f>
        <v>0</v>
      </c>
      <c r="U569" s="34">
        <f t="shared" si="35"/>
        <v>0</v>
      </c>
      <c r="V569" s="26" t="str">
        <f>Auto_Roster!O569</f>
        <v>Pending</v>
      </c>
      <c r="W569" s="26" t="e">
        <f ca="1">_xludf.TEXTJOIN("; ",TRUE,Auto_Roster!N569,IF(G569&gt;Settings!$B$19,"Approval required &gt; standard hours",""),IF(AND(F569&lt;&gt;"Off",G569=0),"Missing claimed hours",""))</f>
        <v>#NAME?</v>
      </c>
      <c r="X569" s="7"/>
    </row>
    <row r="570" spans="1:24" x14ac:dyDescent="0.35">
      <c r="A570" s="31">
        <f>Auto_Roster!A570</f>
        <v>46171</v>
      </c>
      <c r="B570" s="31">
        <f>Auto_Roster!B570</f>
        <v>46167</v>
      </c>
      <c r="C570" s="26" t="str">
        <f>Auto_Roster!C570</f>
        <v>E007</v>
      </c>
      <c r="D570" s="26" t="str">
        <f>Auto_Roster!D570</f>
        <v>Joe</v>
      </c>
      <c r="E570" s="26" t="str">
        <f>Auto_Roster!E570</f>
        <v>C</v>
      </c>
      <c r="F570" s="26" t="str">
        <f>Auto_Roster!G570</f>
        <v>Evening</v>
      </c>
      <c r="G570" s="33">
        <f>Auto_Roster!J570</f>
        <v>8</v>
      </c>
      <c r="H570" s="33">
        <f>IF(G570&gt;Settings!$B$19,G570-Settings!$B$19,0)</f>
        <v>0</v>
      </c>
      <c r="I570" s="33">
        <f t="shared" si="32"/>
        <v>8</v>
      </c>
      <c r="J570" s="33">
        <f>IF(Auto_Roster!M570="Y",G570,0)</f>
        <v>0</v>
      </c>
      <c r="K570" s="33">
        <f>IF(Auto_Roster!L570="Y",G570,0)</f>
        <v>0</v>
      </c>
      <c r="L570" s="26" t="str">
        <f>Auto_Roster!K570</f>
        <v>N</v>
      </c>
      <c r="M570" s="34">
        <f>IF(L570="Y",Settings!$B$16,0)</f>
        <v>0</v>
      </c>
      <c r="N570" s="33">
        <f t="shared" si="33"/>
        <v>0</v>
      </c>
      <c r="O570" s="34">
        <f>N570*Settings!$B$17</f>
        <v>0</v>
      </c>
      <c r="P570" s="34">
        <f>IFERROR(VLOOKUP(C570,Employees!$A$4:$E$103,5,FALSE),Settings!$B$18)</f>
        <v>100</v>
      </c>
      <c r="Q570" s="34">
        <f t="shared" si="34"/>
        <v>800</v>
      </c>
      <c r="R570" s="34">
        <f>H570*P570*Settings!$B$13</f>
        <v>0</v>
      </c>
      <c r="S570" s="34">
        <f>J570*P570*(Settings!$B$14-1)</f>
        <v>0</v>
      </c>
      <c r="T570" s="34">
        <f>K570*P570*(Settings!$B$15-1)</f>
        <v>0</v>
      </c>
      <c r="U570" s="34">
        <f t="shared" si="35"/>
        <v>800</v>
      </c>
      <c r="V570" s="26" t="str">
        <f>Auto_Roster!O570</f>
        <v>Pending</v>
      </c>
      <c r="W570" s="26" t="e">
        <f ca="1">_xludf.TEXTJOIN("; ",TRUE,Auto_Roster!N570,IF(G570&gt;Settings!$B$19,"Approval required &gt; standard hours",""),IF(AND(F570&lt;&gt;"Off",G570=0),"Missing claimed hours",""))</f>
        <v>#NAME?</v>
      </c>
      <c r="X570" s="7"/>
    </row>
    <row r="571" spans="1:24" x14ac:dyDescent="0.35">
      <c r="A571" s="31">
        <f>Auto_Roster!A571</f>
        <v>46171</v>
      </c>
      <c r="B571" s="31">
        <f>Auto_Roster!B571</f>
        <v>46167</v>
      </c>
      <c r="C571" s="26" t="str">
        <f>Auto_Roster!C571</f>
        <v>E008</v>
      </c>
      <c r="D571" s="26" t="str">
        <f>Auto_Roster!D571</f>
        <v>Tim</v>
      </c>
      <c r="E571" s="26" t="str">
        <f>Auto_Roster!E571</f>
        <v>D</v>
      </c>
      <c r="F571" s="26" t="str">
        <f>Auto_Roster!G571</f>
        <v>Night</v>
      </c>
      <c r="G571" s="33">
        <f>Auto_Roster!J571</f>
        <v>8</v>
      </c>
      <c r="H571" s="33">
        <f>IF(G571&gt;Settings!$B$19,G571-Settings!$B$19,0)</f>
        <v>0</v>
      </c>
      <c r="I571" s="33">
        <f t="shared" si="32"/>
        <v>8</v>
      </c>
      <c r="J571" s="33">
        <f>IF(Auto_Roster!M571="Y",G571,0)</f>
        <v>0</v>
      </c>
      <c r="K571" s="33">
        <f>IF(Auto_Roster!L571="Y",G571,0)</f>
        <v>0</v>
      </c>
      <c r="L571" s="26" t="str">
        <f>Auto_Roster!K571</f>
        <v>N</v>
      </c>
      <c r="M571" s="34">
        <f>IF(L571="Y",Settings!$B$16,0)</f>
        <v>0</v>
      </c>
      <c r="N571" s="33">
        <f t="shared" si="33"/>
        <v>8</v>
      </c>
      <c r="O571" s="34">
        <f>N571*Settings!$B$17</f>
        <v>0</v>
      </c>
      <c r="P571" s="34">
        <f>IFERROR(VLOOKUP(C571,Employees!$A$4:$E$103,5,FALSE),Settings!$B$18)</f>
        <v>100</v>
      </c>
      <c r="Q571" s="34">
        <f t="shared" si="34"/>
        <v>800</v>
      </c>
      <c r="R571" s="34">
        <f>H571*P571*Settings!$B$13</f>
        <v>0</v>
      </c>
      <c r="S571" s="34">
        <f>J571*P571*(Settings!$B$14-1)</f>
        <v>0</v>
      </c>
      <c r="T571" s="34">
        <f>K571*P571*(Settings!$B$15-1)</f>
        <v>0</v>
      </c>
      <c r="U571" s="34">
        <f t="shared" si="35"/>
        <v>800</v>
      </c>
      <c r="V571" s="26" t="str">
        <f>Auto_Roster!O571</f>
        <v>Pending</v>
      </c>
      <c r="W571" s="26" t="e">
        <f ca="1">_xludf.TEXTJOIN("; ",TRUE,Auto_Roster!N571,IF(G571&gt;Settings!$B$19,"Approval required &gt; standard hours",""),IF(AND(F571&lt;&gt;"Off",G571=0),"Missing claimed hours",""))</f>
        <v>#NAME?</v>
      </c>
      <c r="X571" s="7"/>
    </row>
    <row r="572" spans="1:24" x14ac:dyDescent="0.35">
      <c r="A572" s="31">
        <f>Auto_Roster!A572</f>
        <v>46171</v>
      </c>
      <c r="B572" s="31">
        <f>Auto_Roster!B572</f>
        <v>46167</v>
      </c>
      <c r="C572" s="26" t="str">
        <f>Auto_Roster!C572</f>
        <v>E009</v>
      </c>
      <c r="D572" s="26" t="str">
        <f>Auto_Roster!D572</f>
        <v>Frank</v>
      </c>
      <c r="E572" s="26" t="str">
        <f>Auto_Roster!E572</f>
        <v>A</v>
      </c>
      <c r="F572" s="26" t="str">
        <f>Auto_Roster!G572</f>
        <v>Day</v>
      </c>
      <c r="G572" s="33">
        <f>Auto_Roster!J572</f>
        <v>8</v>
      </c>
      <c r="H572" s="33">
        <f>IF(G572&gt;Settings!$B$19,G572-Settings!$B$19,0)</f>
        <v>0</v>
      </c>
      <c r="I572" s="33">
        <f t="shared" si="32"/>
        <v>8</v>
      </c>
      <c r="J572" s="33">
        <f>IF(Auto_Roster!M572="Y",G572,0)</f>
        <v>0</v>
      </c>
      <c r="K572" s="33">
        <f>IF(Auto_Roster!L572="Y",G572,0)</f>
        <v>0</v>
      </c>
      <c r="L572" s="26" t="str">
        <f>Auto_Roster!K572</f>
        <v>N</v>
      </c>
      <c r="M572" s="34">
        <f>IF(L572="Y",Settings!$B$16,0)</f>
        <v>0</v>
      </c>
      <c r="N572" s="33">
        <f t="shared" si="33"/>
        <v>0</v>
      </c>
      <c r="O572" s="34">
        <f>N572*Settings!$B$17</f>
        <v>0</v>
      </c>
      <c r="P572" s="34">
        <f>IFERROR(VLOOKUP(C572,Employees!$A$4:$E$103,5,FALSE),Settings!$B$18)</f>
        <v>100</v>
      </c>
      <c r="Q572" s="34">
        <f t="shared" si="34"/>
        <v>800</v>
      </c>
      <c r="R572" s="34">
        <f>H572*P572*Settings!$B$13</f>
        <v>0</v>
      </c>
      <c r="S572" s="34">
        <f>J572*P572*(Settings!$B$14-1)</f>
        <v>0</v>
      </c>
      <c r="T572" s="34">
        <f>K572*P572*(Settings!$B$15-1)</f>
        <v>0</v>
      </c>
      <c r="U572" s="34">
        <f t="shared" si="35"/>
        <v>800</v>
      </c>
      <c r="V572" s="26" t="str">
        <f>Auto_Roster!O572</f>
        <v>Pending</v>
      </c>
      <c r="W572" s="26" t="e">
        <f ca="1">_xludf.TEXTJOIN("; ",TRUE,Auto_Roster!N572,IF(G572&gt;Settings!$B$19,"Approval required &gt; standard hours",""),IF(AND(F572&lt;&gt;"Off",G572=0),"Missing claimed hours",""))</f>
        <v>#NAME?</v>
      </c>
      <c r="X572" s="7"/>
    </row>
    <row r="573" spans="1:24" x14ac:dyDescent="0.35">
      <c r="A573" s="31">
        <f>Auto_Roster!A573</f>
        <v>46171</v>
      </c>
      <c r="B573" s="31">
        <f>Auto_Roster!B573</f>
        <v>46167</v>
      </c>
      <c r="C573" s="26" t="str">
        <f>Auto_Roster!C573</f>
        <v/>
      </c>
      <c r="D573" s="26" t="str">
        <f>Auto_Roster!D573</f>
        <v/>
      </c>
      <c r="E573" s="26" t="str">
        <f>Auto_Roster!E573</f>
        <v/>
      </c>
      <c r="F573" s="26" t="str">
        <f>Auto_Roster!G573</f>
        <v/>
      </c>
      <c r="G573" s="33">
        <f>Auto_Roster!J573</f>
        <v>0</v>
      </c>
      <c r="H573" s="33">
        <f>IF(G573&gt;Settings!$B$19,G573-Settings!$B$19,0)</f>
        <v>0</v>
      </c>
      <c r="I573" s="33">
        <f t="shared" si="32"/>
        <v>0</v>
      </c>
      <c r="J573" s="33">
        <f>IF(Auto_Roster!M573="Y",G573,0)</f>
        <v>0</v>
      </c>
      <c r="K573" s="33">
        <f>IF(Auto_Roster!L573="Y",G573,0)</f>
        <v>0</v>
      </c>
      <c r="L573" s="26" t="str">
        <f>Auto_Roster!K573</f>
        <v>N</v>
      </c>
      <c r="M573" s="34">
        <f>IF(L573="Y",Settings!$B$16,0)</f>
        <v>0</v>
      </c>
      <c r="N573" s="33">
        <f t="shared" si="33"/>
        <v>0</v>
      </c>
      <c r="O573" s="34">
        <f>N573*Settings!$B$17</f>
        <v>0</v>
      </c>
      <c r="P573" s="34">
        <f>IFERROR(VLOOKUP(C573,Employees!$A$4:$E$103,5,FALSE),Settings!$B$18)</f>
        <v>100</v>
      </c>
      <c r="Q573" s="34">
        <f t="shared" si="34"/>
        <v>0</v>
      </c>
      <c r="R573" s="34">
        <f>H573*P573*Settings!$B$13</f>
        <v>0</v>
      </c>
      <c r="S573" s="34">
        <f>J573*P573*(Settings!$B$14-1)</f>
        <v>0</v>
      </c>
      <c r="T573" s="34">
        <f>K573*P573*(Settings!$B$15-1)</f>
        <v>0</v>
      </c>
      <c r="U573" s="34">
        <f t="shared" si="35"/>
        <v>0</v>
      </c>
      <c r="V573" s="26" t="str">
        <f>Auto_Roster!O573</f>
        <v>Pending</v>
      </c>
      <c r="W573" s="26" t="e">
        <f ca="1">_xludf.TEXTJOIN("; ",TRUE,Auto_Roster!N573,IF(G573&gt;Settings!$B$19,"Approval required &gt; standard hours",""),IF(AND(F573&lt;&gt;"Off",G573=0),"Missing claimed hours",""))</f>
        <v>#NAME?</v>
      </c>
      <c r="X573" s="7"/>
    </row>
    <row r="574" spans="1:24" x14ac:dyDescent="0.35">
      <c r="A574" s="31">
        <f>Auto_Roster!A574</f>
        <v>46171</v>
      </c>
      <c r="B574" s="31">
        <f>Auto_Roster!B574</f>
        <v>46167</v>
      </c>
      <c r="C574" s="26" t="str">
        <f>Auto_Roster!C574</f>
        <v/>
      </c>
      <c r="D574" s="26" t="str">
        <f>Auto_Roster!D574</f>
        <v/>
      </c>
      <c r="E574" s="26" t="str">
        <f>Auto_Roster!E574</f>
        <v/>
      </c>
      <c r="F574" s="26" t="str">
        <f>Auto_Roster!G574</f>
        <v/>
      </c>
      <c r="G574" s="33">
        <f>Auto_Roster!J574</f>
        <v>0</v>
      </c>
      <c r="H574" s="33">
        <f>IF(G574&gt;Settings!$B$19,G574-Settings!$B$19,0)</f>
        <v>0</v>
      </c>
      <c r="I574" s="33">
        <f t="shared" si="32"/>
        <v>0</v>
      </c>
      <c r="J574" s="33">
        <f>IF(Auto_Roster!M574="Y",G574,0)</f>
        <v>0</v>
      </c>
      <c r="K574" s="33">
        <f>IF(Auto_Roster!L574="Y",G574,0)</f>
        <v>0</v>
      </c>
      <c r="L574" s="26" t="str">
        <f>Auto_Roster!K574</f>
        <v>N</v>
      </c>
      <c r="M574" s="34">
        <f>IF(L574="Y",Settings!$B$16,0)</f>
        <v>0</v>
      </c>
      <c r="N574" s="33">
        <f t="shared" si="33"/>
        <v>0</v>
      </c>
      <c r="O574" s="34">
        <f>N574*Settings!$B$17</f>
        <v>0</v>
      </c>
      <c r="P574" s="34">
        <f>IFERROR(VLOOKUP(C574,Employees!$A$4:$E$103,5,FALSE),Settings!$B$18)</f>
        <v>100</v>
      </c>
      <c r="Q574" s="34">
        <f t="shared" si="34"/>
        <v>0</v>
      </c>
      <c r="R574" s="34">
        <f>H574*P574*Settings!$B$13</f>
        <v>0</v>
      </c>
      <c r="S574" s="34">
        <f>J574*P574*(Settings!$B$14-1)</f>
        <v>0</v>
      </c>
      <c r="T574" s="34">
        <f>K574*P574*(Settings!$B$15-1)</f>
        <v>0</v>
      </c>
      <c r="U574" s="34">
        <f t="shared" si="35"/>
        <v>0</v>
      </c>
      <c r="V574" s="26" t="str">
        <f>Auto_Roster!O574</f>
        <v>Pending</v>
      </c>
      <c r="W574" s="26" t="e">
        <f ca="1">_xludf.TEXTJOIN("; ",TRUE,Auto_Roster!N574,IF(G574&gt;Settings!$B$19,"Approval required &gt; standard hours",""),IF(AND(F574&lt;&gt;"Off",G574=0),"Missing claimed hours",""))</f>
        <v>#NAME?</v>
      </c>
      <c r="X574" s="7"/>
    </row>
    <row r="575" spans="1:24" x14ac:dyDescent="0.35">
      <c r="A575" s="31">
        <f>Auto_Roster!A575</f>
        <v>46171</v>
      </c>
      <c r="B575" s="31">
        <f>Auto_Roster!B575</f>
        <v>46167</v>
      </c>
      <c r="C575" s="26" t="str">
        <f>Auto_Roster!C575</f>
        <v/>
      </c>
      <c r="D575" s="26" t="str">
        <f>Auto_Roster!D575</f>
        <v/>
      </c>
      <c r="E575" s="26" t="str">
        <f>Auto_Roster!E575</f>
        <v/>
      </c>
      <c r="F575" s="26" t="str">
        <f>Auto_Roster!G575</f>
        <v/>
      </c>
      <c r="G575" s="33">
        <f>Auto_Roster!J575</f>
        <v>0</v>
      </c>
      <c r="H575" s="33">
        <f>IF(G575&gt;Settings!$B$19,G575-Settings!$B$19,0)</f>
        <v>0</v>
      </c>
      <c r="I575" s="33">
        <f t="shared" si="32"/>
        <v>0</v>
      </c>
      <c r="J575" s="33">
        <f>IF(Auto_Roster!M575="Y",G575,0)</f>
        <v>0</v>
      </c>
      <c r="K575" s="33">
        <f>IF(Auto_Roster!L575="Y",G575,0)</f>
        <v>0</v>
      </c>
      <c r="L575" s="26" t="str">
        <f>Auto_Roster!K575</f>
        <v>N</v>
      </c>
      <c r="M575" s="34">
        <f>IF(L575="Y",Settings!$B$16,0)</f>
        <v>0</v>
      </c>
      <c r="N575" s="33">
        <f t="shared" si="33"/>
        <v>0</v>
      </c>
      <c r="O575" s="34">
        <f>N575*Settings!$B$17</f>
        <v>0</v>
      </c>
      <c r="P575" s="34">
        <f>IFERROR(VLOOKUP(C575,Employees!$A$4:$E$103,5,FALSE),Settings!$B$18)</f>
        <v>100</v>
      </c>
      <c r="Q575" s="34">
        <f t="shared" si="34"/>
        <v>0</v>
      </c>
      <c r="R575" s="34">
        <f>H575*P575*Settings!$B$13</f>
        <v>0</v>
      </c>
      <c r="S575" s="34">
        <f>J575*P575*(Settings!$B$14-1)</f>
        <v>0</v>
      </c>
      <c r="T575" s="34">
        <f>K575*P575*(Settings!$B$15-1)</f>
        <v>0</v>
      </c>
      <c r="U575" s="34">
        <f t="shared" si="35"/>
        <v>0</v>
      </c>
      <c r="V575" s="26" t="str">
        <f>Auto_Roster!O575</f>
        <v>Pending</v>
      </c>
      <c r="W575" s="26" t="e">
        <f ca="1">_xludf.TEXTJOIN("; ",TRUE,Auto_Roster!N575,IF(G575&gt;Settings!$B$19,"Approval required &gt; standard hours",""),IF(AND(F575&lt;&gt;"Off",G575=0),"Missing claimed hours",""))</f>
        <v>#NAME?</v>
      </c>
      <c r="X575" s="7"/>
    </row>
    <row r="576" spans="1:24" x14ac:dyDescent="0.35">
      <c r="A576" s="31">
        <f>Auto_Roster!A576</f>
        <v>46171</v>
      </c>
      <c r="B576" s="31">
        <f>Auto_Roster!B576</f>
        <v>46167</v>
      </c>
      <c r="C576" s="26" t="str">
        <f>Auto_Roster!C576</f>
        <v/>
      </c>
      <c r="D576" s="26" t="str">
        <f>Auto_Roster!D576</f>
        <v/>
      </c>
      <c r="E576" s="26" t="str">
        <f>Auto_Roster!E576</f>
        <v/>
      </c>
      <c r="F576" s="26" t="str">
        <f>Auto_Roster!G576</f>
        <v/>
      </c>
      <c r="G576" s="33">
        <f>Auto_Roster!J576</f>
        <v>0</v>
      </c>
      <c r="H576" s="33">
        <f>IF(G576&gt;Settings!$B$19,G576-Settings!$B$19,0)</f>
        <v>0</v>
      </c>
      <c r="I576" s="33">
        <f t="shared" si="32"/>
        <v>0</v>
      </c>
      <c r="J576" s="33">
        <f>IF(Auto_Roster!M576="Y",G576,0)</f>
        <v>0</v>
      </c>
      <c r="K576" s="33">
        <f>IF(Auto_Roster!L576="Y",G576,0)</f>
        <v>0</v>
      </c>
      <c r="L576" s="26" t="str">
        <f>Auto_Roster!K576</f>
        <v>N</v>
      </c>
      <c r="M576" s="34">
        <f>IF(L576="Y",Settings!$B$16,0)</f>
        <v>0</v>
      </c>
      <c r="N576" s="33">
        <f t="shared" si="33"/>
        <v>0</v>
      </c>
      <c r="O576" s="34">
        <f>N576*Settings!$B$17</f>
        <v>0</v>
      </c>
      <c r="P576" s="34">
        <f>IFERROR(VLOOKUP(C576,Employees!$A$4:$E$103,5,FALSE),Settings!$B$18)</f>
        <v>100</v>
      </c>
      <c r="Q576" s="34">
        <f t="shared" si="34"/>
        <v>0</v>
      </c>
      <c r="R576" s="34">
        <f>H576*P576*Settings!$B$13</f>
        <v>0</v>
      </c>
      <c r="S576" s="34">
        <f>J576*P576*(Settings!$B$14-1)</f>
        <v>0</v>
      </c>
      <c r="T576" s="34">
        <f>K576*P576*(Settings!$B$15-1)</f>
        <v>0</v>
      </c>
      <c r="U576" s="34">
        <f t="shared" si="35"/>
        <v>0</v>
      </c>
      <c r="V576" s="26" t="str">
        <f>Auto_Roster!O576</f>
        <v>Pending</v>
      </c>
      <c r="W576" s="26" t="e">
        <f ca="1">_xludf.TEXTJOIN("; ",TRUE,Auto_Roster!N576,IF(G576&gt;Settings!$B$19,"Approval required &gt; standard hours",""),IF(AND(F576&lt;&gt;"Off",G576=0),"Missing claimed hours",""))</f>
        <v>#NAME?</v>
      </c>
      <c r="X576" s="7"/>
    </row>
    <row r="577" spans="1:24" x14ac:dyDescent="0.35">
      <c r="A577" s="31">
        <f>Auto_Roster!A577</f>
        <v>46171</v>
      </c>
      <c r="B577" s="31">
        <f>Auto_Roster!B577</f>
        <v>46167</v>
      </c>
      <c r="C577" s="26" t="str">
        <f>Auto_Roster!C577</f>
        <v/>
      </c>
      <c r="D577" s="26" t="str">
        <f>Auto_Roster!D577</f>
        <v/>
      </c>
      <c r="E577" s="26" t="str">
        <f>Auto_Roster!E577</f>
        <v/>
      </c>
      <c r="F577" s="26" t="str">
        <f>Auto_Roster!G577</f>
        <v/>
      </c>
      <c r="G577" s="33">
        <f>Auto_Roster!J577</f>
        <v>0</v>
      </c>
      <c r="H577" s="33">
        <f>IF(G577&gt;Settings!$B$19,G577-Settings!$B$19,0)</f>
        <v>0</v>
      </c>
      <c r="I577" s="33">
        <f t="shared" si="32"/>
        <v>0</v>
      </c>
      <c r="J577" s="33">
        <f>IF(Auto_Roster!M577="Y",G577,0)</f>
        <v>0</v>
      </c>
      <c r="K577" s="33">
        <f>IF(Auto_Roster!L577="Y",G577,0)</f>
        <v>0</v>
      </c>
      <c r="L577" s="26" t="str">
        <f>Auto_Roster!K577</f>
        <v>N</v>
      </c>
      <c r="M577" s="34">
        <f>IF(L577="Y",Settings!$B$16,0)</f>
        <v>0</v>
      </c>
      <c r="N577" s="33">
        <f t="shared" si="33"/>
        <v>0</v>
      </c>
      <c r="O577" s="34">
        <f>N577*Settings!$B$17</f>
        <v>0</v>
      </c>
      <c r="P577" s="34">
        <f>IFERROR(VLOOKUP(C577,Employees!$A$4:$E$103,5,FALSE),Settings!$B$18)</f>
        <v>100</v>
      </c>
      <c r="Q577" s="34">
        <f t="shared" si="34"/>
        <v>0</v>
      </c>
      <c r="R577" s="34">
        <f>H577*P577*Settings!$B$13</f>
        <v>0</v>
      </c>
      <c r="S577" s="34">
        <f>J577*P577*(Settings!$B$14-1)</f>
        <v>0</v>
      </c>
      <c r="T577" s="34">
        <f>K577*P577*(Settings!$B$15-1)</f>
        <v>0</v>
      </c>
      <c r="U577" s="34">
        <f t="shared" si="35"/>
        <v>0</v>
      </c>
      <c r="V577" s="26" t="str">
        <f>Auto_Roster!O577</f>
        <v>Pending</v>
      </c>
      <c r="W577" s="26" t="e">
        <f ca="1">_xludf.TEXTJOIN("; ",TRUE,Auto_Roster!N577,IF(G577&gt;Settings!$B$19,"Approval required &gt; standard hours",""),IF(AND(F577&lt;&gt;"Off",G577=0),"Missing claimed hours",""))</f>
        <v>#NAME?</v>
      </c>
      <c r="X577" s="7"/>
    </row>
    <row r="578" spans="1:24" x14ac:dyDescent="0.35">
      <c r="A578" s="31">
        <f>Auto_Roster!A578</f>
        <v>46171</v>
      </c>
      <c r="B578" s="31">
        <f>Auto_Roster!B578</f>
        <v>46167</v>
      </c>
      <c r="C578" s="26" t="str">
        <f>Auto_Roster!C578</f>
        <v/>
      </c>
      <c r="D578" s="26" t="str">
        <f>Auto_Roster!D578</f>
        <v/>
      </c>
      <c r="E578" s="26" t="str">
        <f>Auto_Roster!E578</f>
        <v/>
      </c>
      <c r="F578" s="26" t="str">
        <f>Auto_Roster!G578</f>
        <v/>
      </c>
      <c r="G578" s="33">
        <f>Auto_Roster!J578</f>
        <v>0</v>
      </c>
      <c r="H578" s="33">
        <f>IF(G578&gt;Settings!$B$19,G578-Settings!$B$19,0)</f>
        <v>0</v>
      </c>
      <c r="I578" s="33">
        <f t="shared" si="32"/>
        <v>0</v>
      </c>
      <c r="J578" s="33">
        <f>IF(Auto_Roster!M578="Y",G578,0)</f>
        <v>0</v>
      </c>
      <c r="K578" s="33">
        <f>IF(Auto_Roster!L578="Y",G578,0)</f>
        <v>0</v>
      </c>
      <c r="L578" s="26" t="str">
        <f>Auto_Roster!K578</f>
        <v>N</v>
      </c>
      <c r="M578" s="34">
        <f>IF(L578="Y",Settings!$B$16,0)</f>
        <v>0</v>
      </c>
      <c r="N578" s="33">
        <f t="shared" si="33"/>
        <v>0</v>
      </c>
      <c r="O578" s="34">
        <f>N578*Settings!$B$17</f>
        <v>0</v>
      </c>
      <c r="P578" s="34">
        <f>IFERROR(VLOOKUP(C578,Employees!$A$4:$E$103,5,FALSE),Settings!$B$18)</f>
        <v>100</v>
      </c>
      <c r="Q578" s="34">
        <f t="shared" si="34"/>
        <v>0</v>
      </c>
      <c r="R578" s="34">
        <f>H578*P578*Settings!$B$13</f>
        <v>0</v>
      </c>
      <c r="S578" s="34">
        <f>J578*P578*(Settings!$B$14-1)</f>
        <v>0</v>
      </c>
      <c r="T578" s="34">
        <f>K578*P578*(Settings!$B$15-1)</f>
        <v>0</v>
      </c>
      <c r="U578" s="34">
        <f t="shared" si="35"/>
        <v>0</v>
      </c>
      <c r="V578" s="26" t="str">
        <f>Auto_Roster!O578</f>
        <v>Pending</v>
      </c>
      <c r="W578" s="26" t="e">
        <f ca="1">_xludf.TEXTJOIN("; ",TRUE,Auto_Roster!N578,IF(G578&gt;Settings!$B$19,"Approval required &gt; standard hours",""),IF(AND(F578&lt;&gt;"Off",G578=0),"Missing claimed hours",""))</f>
        <v>#NAME?</v>
      </c>
      <c r="X578" s="7"/>
    </row>
    <row r="579" spans="1:24" x14ac:dyDescent="0.35">
      <c r="A579" s="31">
        <f>Auto_Roster!A579</f>
        <v>46171</v>
      </c>
      <c r="B579" s="31">
        <f>Auto_Roster!B579</f>
        <v>46167</v>
      </c>
      <c r="C579" s="26" t="str">
        <f>Auto_Roster!C579</f>
        <v/>
      </c>
      <c r="D579" s="26" t="str">
        <f>Auto_Roster!D579</f>
        <v/>
      </c>
      <c r="E579" s="26" t="str">
        <f>Auto_Roster!E579</f>
        <v/>
      </c>
      <c r="F579" s="26" t="str">
        <f>Auto_Roster!G579</f>
        <v/>
      </c>
      <c r="G579" s="33">
        <f>Auto_Roster!J579</f>
        <v>0</v>
      </c>
      <c r="H579" s="33">
        <f>IF(G579&gt;Settings!$B$19,G579-Settings!$B$19,0)</f>
        <v>0</v>
      </c>
      <c r="I579" s="33">
        <f t="shared" si="32"/>
        <v>0</v>
      </c>
      <c r="J579" s="33">
        <f>IF(Auto_Roster!M579="Y",G579,0)</f>
        <v>0</v>
      </c>
      <c r="K579" s="33">
        <f>IF(Auto_Roster!L579="Y",G579,0)</f>
        <v>0</v>
      </c>
      <c r="L579" s="26" t="str">
        <f>Auto_Roster!K579</f>
        <v>N</v>
      </c>
      <c r="M579" s="34">
        <f>IF(L579="Y",Settings!$B$16,0)</f>
        <v>0</v>
      </c>
      <c r="N579" s="33">
        <f t="shared" si="33"/>
        <v>0</v>
      </c>
      <c r="O579" s="34">
        <f>N579*Settings!$B$17</f>
        <v>0</v>
      </c>
      <c r="P579" s="34">
        <f>IFERROR(VLOOKUP(C579,Employees!$A$4:$E$103,5,FALSE),Settings!$B$18)</f>
        <v>100</v>
      </c>
      <c r="Q579" s="34">
        <f t="shared" si="34"/>
        <v>0</v>
      </c>
      <c r="R579" s="34">
        <f>H579*P579*Settings!$B$13</f>
        <v>0</v>
      </c>
      <c r="S579" s="34">
        <f>J579*P579*(Settings!$B$14-1)</f>
        <v>0</v>
      </c>
      <c r="T579" s="34">
        <f>K579*P579*(Settings!$B$15-1)</f>
        <v>0</v>
      </c>
      <c r="U579" s="34">
        <f t="shared" si="35"/>
        <v>0</v>
      </c>
      <c r="V579" s="26" t="str">
        <f>Auto_Roster!O579</f>
        <v>Pending</v>
      </c>
      <c r="W579" s="26" t="e">
        <f ca="1">_xludf.TEXTJOIN("; ",TRUE,Auto_Roster!N579,IF(G579&gt;Settings!$B$19,"Approval required &gt; standard hours",""),IF(AND(F579&lt;&gt;"Off",G579=0),"Missing claimed hours",""))</f>
        <v>#NAME?</v>
      </c>
      <c r="X579" s="7"/>
    </row>
    <row r="580" spans="1:24" x14ac:dyDescent="0.35">
      <c r="A580" s="31">
        <f>Auto_Roster!A580</f>
        <v>46171</v>
      </c>
      <c r="B580" s="31">
        <f>Auto_Roster!B580</f>
        <v>46167</v>
      </c>
      <c r="C580" s="26" t="str">
        <f>Auto_Roster!C580</f>
        <v/>
      </c>
      <c r="D580" s="26" t="str">
        <f>Auto_Roster!D580</f>
        <v/>
      </c>
      <c r="E580" s="26" t="str">
        <f>Auto_Roster!E580</f>
        <v/>
      </c>
      <c r="F580" s="26" t="str">
        <f>Auto_Roster!G580</f>
        <v/>
      </c>
      <c r="G580" s="33">
        <f>Auto_Roster!J580</f>
        <v>0</v>
      </c>
      <c r="H580" s="33">
        <f>IF(G580&gt;Settings!$B$19,G580-Settings!$B$19,0)</f>
        <v>0</v>
      </c>
      <c r="I580" s="33">
        <f t="shared" ref="I580:I623" si="36">MAX(0,G580-H580)</f>
        <v>0</v>
      </c>
      <c r="J580" s="33">
        <f>IF(Auto_Roster!M580="Y",G580,0)</f>
        <v>0</v>
      </c>
      <c r="K580" s="33">
        <f>IF(Auto_Roster!L580="Y",G580,0)</f>
        <v>0</v>
      </c>
      <c r="L580" s="26" t="str">
        <f>Auto_Roster!K580</f>
        <v>N</v>
      </c>
      <c r="M580" s="34">
        <f>IF(L580="Y",Settings!$B$16,0)</f>
        <v>0</v>
      </c>
      <c r="N580" s="33">
        <f t="shared" ref="N580:N623" si="37">IF(F580="Night",G580,0)</f>
        <v>0</v>
      </c>
      <c r="O580" s="34">
        <f>N580*Settings!$B$17</f>
        <v>0</v>
      </c>
      <c r="P580" s="34">
        <f>IFERROR(VLOOKUP(C580,Employees!$A$4:$E$103,5,FALSE),Settings!$B$18)</f>
        <v>100</v>
      </c>
      <c r="Q580" s="34">
        <f t="shared" ref="Q580:Q623" si="38">I580*P580</f>
        <v>0</v>
      </c>
      <c r="R580" s="34">
        <f>H580*P580*Settings!$B$13</f>
        <v>0</v>
      </c>
      <c r="S580" s="34">
        <f>J580*P580*(Settings!$B$14-1)</f>
        <v>0</v>
      </c>
      <c r="T580" s="34">
        <f>K580*P580*(Settings!$B$15-1)</f>
        <v>0</v>
      </c>
      <c r="U580" s="34">
        <f t="shared" ref="U580:U623" si="39">SUM(Q580:T580)+M580+O580</f>
        <v>0</v>
      </c>
      <c r="V580" s="26" t="str">
        <f>Auto_Roster!O580</f>
        <v>Pending</v>
      </c>
      <c r="W580" s="26" t="e">
        <f ca="1">_xludf.TEXTJOIN("; ",TRUE,Auto_Roster!N580,IF(G580&gt;Settings!$B$19,"Approval required &gt; standard hours",""),IF(AND(F580&lt;&gt;"Off",G580=0),"Missing claimed hours",""))</f>
        <v>#NAME?</v>
      </c>
      <c r="X580" s="7"/>
    </row>
    <row r="581" spans="1:24" x14ac:dyDescent="0.35">
      <c r="A581" s="31">
        <f>Auto_Roster!A581</f>
        <v>46171</v>
      </c>
      <c r="B581" s="31">
        <f>Auto_Roster!B581</f>
        <v>46167</v>
      </c>
      <c r="C581" s="26" t="str">
        <f>Auto_Roster!C581</f>
        <v/>
      </c>
      <c r="D581" s="26" t="str">
        <f>Auto_Roster!D581</f>
        <v/>
      </c>
      <c r="E581" s="26" t="str">
        <f>Auto_Roster!E581</f>
        <v/>
      </c>
      <c r="F581" s="26" t="str">
        <f>Auto_Roster!G581</f>
        <v/>
      </c>
      <c r="G581" s="33">
        <f>Auto_Roster!J581</f>
        <v>0</v>
      </c>
      <c r="H581" s="33">
        <f>IF(G581&gt;Settings!$B$19,G581-Settings!$B$19,0)</f>
        <v>0</v>
      </c>
      <c r="I581" s="33">
        <f t="shared" si="36"/>
        <v>0</v>
      </c>
      <c r="J581" s="33">
        <f>IF(Auto_Roster!M581="Y",G581,0)</f>
        <v>0</v>
      </c>
      <c r="K581" s="33">
        <f>IF(Auto_Roster!L581="Y",G581,0)</f>
        <v>0</v>
      </c>
      <c r="L581" s="26" t="str">
        <f>Auto_Roster!K581</f>
        <v>N</v>
      </c>
      <c r="M581" s="34">
        <f>IF(L581="Y",Settings!$B$16,0)</f>
        <v>0</v>
      </c>
      <c r="N581" s="33">
        <f t="shared" si="37"/>
        <v>0</v>
      </c>
      <c r="O581" s="34">
        <f>N581*Settings!$B$17</f>
        <v>0</v>
      </c>
      <c r="P581" s="34">
        <f>IFERROR(VLOOKUP(C581,Employees!$A$4:$E$103,5,FALSE),Settings!$B$18)</f>
        <v>100</v>
      </c>
      <c r="Q581" s="34">
        <f t="shared" si="38"/>
        <v>0</v>
      </c>
      <c r="R581" s="34">
        <f>H581*P581*Settings!$B$13</f>
        <v>0</v>
      </c>
      <c r="S581" s="34">
        <f>J581*P581*(Settings!$B$14-1)</f>
        <v>0</v>
      </c>
      <c r="T581" s="34">
        <f>K581*P581*(Settings!$B$15-1)</f>
        <v>0</v>
      </c>
      <c r="U581" s="34">
        <f t="shared" si="39"/>
        <v>0</v>
      </c>
      <c r="V581" s="26" t="str">
        <f>Auto_Roster!O581</f>
        <v>Pending</v>
      </c>
      <c r="W581" s="26" t="e">
        <f ca="1">_xludf.TEXTJOIN("; ",TRUE,Auto_Roster!N581,IF(G581&gt;Settings!$B$19,"Approval required &gt; standard hours",""),IF(AND(F581&lt;&gt;"Off",G581=0),"Missing claimed hours",""))</f>
        <v>#NAME?</v>
      </c>
      <c r="X581" s="7"/>
    </row>
    <row r="582" spans="1:24" x14ac:dyDescent="0.35">
      <c r="A582" s="31">
        <f>Auto_Roster!A582</f>
        <v>46171</v>
      </c>
      <c r="B582" s="31">
        <f>Auto_Roster!B582</f>
        <v>46167</v>
      </c>
      <c r="C582" s="26" t="str">
        <f>Auto_Roster!C582</f>
        <v/>
      </c>
      <c r="D582" s="26" t="str">
        <f>Auto_Roster!D582</f>
        <v/>
      </c>
      <c r="E582" s="26" t="str">
        <f>Auto_Roster!E582</f>
        <v/>
      </c>
      <c r="F582" s="26" t="str">
        <f>Auto_Roster!G582</f>
        <v/>
      </c>
      <c r="G582" s="33">
        <f>Auto_Roster!J582</f>
        <v>0</v>
      </c>
      <c r="H582" s="33">
        <f>IF(G582&gt;Settings!$B$19,G582-Settings!$B$19,0)</f>
        <v>0</v>
      </c>
      <c r="I582" s="33">
        <f t="shared" si="36"/>
        <v>0</v>
      </c>
      <c r="J582" s="33">
        <f>IF(Auto_Roster!M582="Y",G582,0)</f>
        <v>0</v>
      </c>
      <c r="K582" s="33">
        <f>IF(Auto_Roster!L582="Y",G582,0)</f>
        <v>0</v>
      </c>
      <c r="L582" s="26" t="str">
        <f>Auto_Roster!K582</f>
        <v>N</v>
      </c>
      <c r="M582" s="34">
        <f>IF(L582="Y",Settings!$B$16,0)</f>
        <v>0</v>
      </c>
      <c r="N582" s="33">
        <f t="shared" si="37"/>
        <v>0</v>
      </c>
      <c r="O582" s="34">
        <f>N582*Settings!$B$17</f>
        <v>0</v>
      </c>
      <c r="P582" s="34">
        <f>IFERROR(VLOOKUP(C582,Employees!$A$4:$E$103,5,FALSE),Settings!$B$18)</f>
        <v>100</v>
      </c>
      <c r="Q582" s="34">
        <f t="shared" si="38"/>
        <v>0</v>
      </c>
      <c r="R582" s="34">
        <f>H582*P582*Settings!$B$13</f>
        <v>0</v>
      </c>
      <c r="S582" s="34">
        <f>J582*P582*(Settings!$B$14-1)</f>
        <v>0</v>
      </c>
      <c r="T582" s="34">
        <f>K582*P582*(Settings!$B$15-1)</f>
        <v>0</v>
      </c>
      <c r="U582" s="34">
        <f t="shared" si="39"/>
        <v>0</v>
      </c>
      <c r="V582" s="26" t="str">
        <f>Auto_Roster!O582</f>
        <v>Pending</v>
      </c>
      <c r="W582" s="26" t="e">
        <f ca="1">_xludf.TEXTJOIN("; ",TRUE,Auto_Roster!N582,IF(G582&gt;Settings!$B$19,"Approval required &gt; standard hours",""),IF(AND(F582&lt;&gt;"Off",G582=0),"Missing claimed hours",""))</f>
        <v>#NAME?</v>
      </c>
      <c r="X582" s="7"/>
    </row>
    <row r="583" spans="1:24" x14ac:dyDescent="0.35">
      <c r="A583" s="31">
        <f>Auto_Roster!A583</f>
        <v>46171</v>
      </c>
      <c r="B583" s="31">
        <f>Auto_Roster!B583</f>
        <v>46167</v>
      </c>
      <c r="C583" s="26" t="str">
        <f>Auto_Roster!C583</f>
        <v/>
      </c>
      <c r="D583" s="26" t="str">
        <f>Auto_Roster!D583</f>
        <v/>
      </c>
      <c r="E583" s="26" t="str">
        <f>Auto_Roster!E583</f>
        <v/>
      </c>
      <c r="F583" s="26" t="str">
        <f>Auto_Roster!G583</f>
        <v/>
      </c>
      <c r="G583" s="33">
        <f>Auto_Roster!J583</f>
        <v>0</v>
      </c>
      <c r="H583" s="33">
        <f>IF(G583&gt;Settings!$B$19,G583-Settings!$B$19,0)</f>
        <v>0</v>
      </c>
      <c r="I583" s="33">
        <f t="shared" si="36"/>
        <v>0</v>
      </c>
      <c r="J583" s="33">
        <f>IF(Auto_Roster!M583="Y",G583,0)</f>
        <v>0</v>
      </c>
      <c r="K583" s="33">
        <f>IF(Auto_Roster!L583="Y",G583,0)</f>
        <v>0</v>
      </c>
      <c r="L583" s="26" t="str">
        <f>Auto_Roster!K583</f>
        <v>N</v>
      </c>
      <c r="M583" s="34">
        <f>IF(L583="Y",Settings!$B$16,0)</f>
        <v>0</v>
      </c>
      <c r="N583" s="33">
        <f t="shared" si="37"/>
        <v>0</v>
      </c>
      <c r="O583" s="34">
        <f>N583*Settings!$B$17</f>
        <v>0</v>
      </c>
      <c r="P583" s="34">
        <f>IFERROR(VLOOKUP(C583,Employees!$A$4:$E$103,5,FALSE),Settings!$B$18)</f>
        <v>100</v>
      </c>
      <c r="Q583" s="34">
        <f t="shared" si="38"/>
        <v>0</v>
      </c>
      <c r="R583" s="34">
        <f>H583*P583*Settings!$B$13</f>
        <v>0</v>
      </c>
      <c r="S583" s="34">
        <f>J583*P583*(Settings!$B$14-1)</f>
        <v>0</v>
      </c>
      <c r="T583" s="34">
        <f>K583*P583*(Settings!$B$15-1)</f>
        <v>0</v>
      </c>
      <c r="U583" s="34">
        <f t="shared" si="39"/>
        <v>0</v>
      </c>
      <c r="V583" s="26" t="str">
        <f>Auto_Roster!O583</f>
        <v>Pending</v>
      </c>
      <c r="W583" s="26" t="e">
        <f ca="1">_xludf.TEXTJOIN("; ",TRUE,Auto_Roster!N583,IF(G583&gt;Settings!$B$19,"Approval required &gt; standard hours",""),IF(AND(F583&lt;&gt;"Off",G583=0),"Missing claimed hours",""))</f>
        <v>#NAME?</v>
      </c>
      <c r="X583" s="7"/>
    </row>
    <row r="584" spans="1:24" x14ac:dyDescent="0.35">
      <c r="A584" s="31">
        <f>Auto_Roster!A584</f>
        <v>46172</v>
      </c>
      <c r="B584" s="31">
        <f>Auto_Roster!B584</f>
        <v>46167</v>
      </c>
      <c r="C584" s="26" t="str">
        <f>Auto_Roster!C584</f>
        <v>E001</v>
      </c>
      <c r="D584" s="26" t="str">
        <f>Auto_Roster!D584</f>
        <v>Musiwa Khavalani</v>
      </c>
      <c r="E584" s="26">
        <f>Auto_Roster!E584</f>
        <v>0</v>
      </c>
      <c r="F584" s="26" t="e">
        <f>Auto_Roster!G584</f>
        <v>#N/A</v>
      </c>
      <c r="G584" s="33" t="e">
        <f>Auto_Roster!J584</f>
        <v>#N/A</v>
      </c>
      <c r="H584" s="33" t="e">
        <f>IF(G584&gt;Settings!$B$19,G584-Settings!$B$19,0)</f>
        <v>#N/A</v>
      </c>
      <c r="I584" s="33" t="e">
        <f t="shared" si="36"/>
        <v>#N/A</v>
      </c>
      <c r="J584" s="33">
        <f>IF(Auto_Roster!M584="Y",G584,0)</f>
        <v>0</v>
      </c>
      <c r="K584" s="33">
        <f>IF(Auto_Roster!L584="Y",G584,0)</f>
        <v>0</v>
      </c>
      <c r="L584" s="26" t="str">
        <f>Auto_Roster!K584</f>
        <v>N</v>
      </c>
      <c r="M584" s="34">
        <f>IF(L584="Y",Settings!$B$16,0)</f>
        <v>0</v>
      </c>
      <c r="N584" s="33" t="e">
        <f t="shared" si="37"/>
        <v>#N/A</v>
      </c>
      <c r="O584" s="34" t="e">
        <f>N584*Settings!$B$17</f>
        <v>#N/A</v>
      </c>
      <c r="P584" s="34">
        <f>IFERROR(VLOOKUP(C584,Employees!$A$4:$E$103,5,FALSE),Settings!$B$18)</f>
        <v>100</v>
      </c>
      <c r="Q584" s="34" t="e">
        <f t="shared" si="38"/>
        <v>#N/A</v>
      </c>
      <c r="R584" s="34" t="e">
        <f>H584*P584*Settings!$B$13</f>
        <v>#N/A</v>
      </c>
      <c r="S584" s="34">
        <f>J584*P584*(Settings!$B$14-1)</f>
        <v>0</v>
      </c>
      <c r="T584" s="34">
        <f>K584*P584*(Settings!$B$15-1)</f>
        <v>0</v>
      </c>
      <c r="U584" s="34" t="e">
        <f t="shared" si="39"/>
        <v>#N/A</v>
      </c>
      <c r="V584" s="26" t="str">
        <f>Auto_Roster!O584</f>
        <v>Pending</v>
      </c>
      <c r="W584" s="26" t="e">
        <f ca="1">_xludf.TEXTJOIN("; ",TRUE,Auto_Roster!N584,IF(G584&gt;Settings!$B$19,"Approval required &gt; standard hours",""),IF(AND(F584&lt;&gt;"Off",G584=0),"Missing claimed hours",""))</f>
        <v>#NAME?</v>
      </c>
      <c r="X584" s="7"/>
    </row>
    <row r="585" spans="1:24" x14ac:dyDescent="0.35">
      <c r="A585" s="31">
        <f>Auto_Roster!A585</f>
        <v>46172</v>
      </c>
      <c r="B585" s="31">
        <f>Auto_Roster!B585</f>
        <v>46167</v>
      </c>
      <c r="C585" s="26" t="str">
        <f>Auto_Roster!C585</f>
        <v>E002</v>
      </c>
      <c r="D585" s="26" t="str">
        <f>Auto_Roster!D585</f>
        <v>Mpho  Nembemhia</v>
      </c>
      <c r="E585" s="26" t="str">
        <f>Auto_Roster!E585</f>
        <v>B</v>
      </c>
      <c r="F585" s="26" t="str">
        <f>Auto_Roster!G585</f>
        <v>Day</v>
      </c>
      <c r="G585" s="33">
        <f>Auto_Roster!J585</f>
        <v>8</v>
      </c>
      <c r="H585" s="33">
        <f>IF(G585&gt;Settings!$B$19,G585-Settings!$B$19,0)</f>
        <v>0</v>
      </c>
      <c r="I585" s="33">
        <f t="shared" si="36"/>
        <v>8</v>
      </c>
      <c r="J585" s="33">
        <f>IF(Auto_Roster!M585="Y",G585,0)</f>
        <v>0</v>
      </c>
      <c r="K585" s="33">
        <f>IF(Auto_Roster!L585="Y",G585,0)</f>
        <v>0</v>
      </c>
      <c r="L585" s="26" t="str">
        <f>Auto_Roster!K585</f>
        <v>N</v>
      </c>
      <c r="M585" s="34">
        <f>IF(L585="Y",Settings!$B$16,0)</f>
        <v>0</v>
      </c>
      <c r="N585" s="33">
        <f t="shared" si="37"/>
        <v>0</v>
      </c>
      <c r="O585" s="34">
        <f>N585*Settings!$B$17</f>
        <v>0</v>
      </c>
      <c r="P585" s="34">
        <f>IFERROR(VLOOKUP(C585,Employees!$A$4:$E$103,5,FALSE),Settings!$B$18)</f>
        <v>100</v>
      </c>
      <c r="Q585" s="34">
        <f t="shared" si="38"/>
        <v>800</v>
      </c>
      <c r="R585" s="34">
        <f>H585*P585*Settings!$B$13</f>
        <v>0</v>
      </c>
      <c r="S585" s="34">
        <f>J585*P585*(Settings!$B$14-1)</f>
        <v>0</v>
      </c>
      <c r="T585" s="34">
        <f>K585*P585*(Settings!$B$15-1)</f>
        <v>0</v>
      </c>
      <c r="U585" s="34">
        <f t="shared" si="39"/>
        <v>800</v>
      </c>
      <c r="V585" s="26" t="str">
        <f>Auto_Roster!O585</f>
        <v>Pending</v>
      </c>
      <c r="W585" s="26" t="e">
        <f ca="1">_xludf.TEXTJOIN("; ",TRUE,Auto_Roster!N585,IF(G585&gt;Settings!$B$19,"Approval required &gt; standard hours",""),IF(AND(F585&lt;&gt;"Off",G585=0),"Missing claimed hours",""))</f>
        <v>#NAME?</v>
      </c>
      <c r="X585" s="7"/>
    </row>
    <row r="586" spans="1:24" x14ac:dyDescent="0.35">
      <c r="A586" s="31">
        <f>Auto_Roster!A586</f>
        <v>46172</v>
      </c>
      <c r="B586" s="31">
        <f>Auto_Roster!B586</f>
        <v>46167</v>
      </c>
      <c r="C586" s="26" t="str">
        <f>Auto_Roster!C586</f>
        <v>E003</v>
      </c>
      <c r="D586" s="26" t="str">
        <f>Auto_Roster!D586</f>
        <v>Dimpho Makhafola</v>
      </c>
      <c r="E586" s="26" t="str">
        <f>Auto_Roster!E586</f>
        <v>C</v>
      </c>
      <c r="F586" s="26" t="str">
        <f>Auto_Roster!G586</f>
        <v>Off</v>
      </c>
      <c r="G586" s="33">
        <f>Auto_Roster!J586</f>
        <v>0</v>
      </c>
      <c r="H586" s="33">
        <f>IF(G586&gt;Settings!$B$19,G586-Settings!$B$19,0)</f>
        <v>0</v>
      </c>
      <c r="I586" s="33">
        <f t="shared" si="36"/>
        <v>0</v>
      </c>
      <c r="J586" s="33">
        <f>IF(Auto_Roster!M586="Y",G586,0)</f>
        <v>0</v>
      </c>
      <c r="K586" s="33">
        <f>IF(Auto_Roster!L586="Y",G586,0)</f>
        <v>0</v>
      </c>
      <c r="L586" s="26" t="str">
        <f>Auto_Roster!K586</f>
        <v>N</v>
      </c>
      <c r="M586" s="34">
        <f>IF(L586="Y",Settings!$B$16,0)</f>
        <v>0</v>
      </c>
      <c r="N586" s="33">
        <f t="shared" si="37"/>
        <v>0</v>
      </c>
      <c r="O586" s="34">
        <f>N586*Settings!$B$17</f>
        <v>0</v>
      </c>
      <c r="P586" s="34">
        <f>IFERROR(VLOOKUP(C586,Employees!$A$4:$E$103,5,FALSE),Settings!$B$18)</f>
        <v>100</v>
      </c>
      <c r="Q586" s="34">
        <f t="shared" si="38"/>
        <v>0</v>
      </c>
      <c r="R586" s="34">
        <f>H586*P586*Settings!$B$13</f>
        <v>0</v>
      </c>
      <c r="S586" s="34">
        <f>J586*P586*(Settings!$B$14-1)</f>
        <v>0</v>
      </c>
      <c r="T586" s="34">
        <f>K586*P586*(Settings!$B$15-1)</f>
        <v>0</v>
      </c>
      <c r="U586" s="34">
        <f t="shared" si="39"/>
        <v>0</v>
      </c>
      <c r="V586" s="26" t="str">
        <f>Auto_Roster!O586</f>
        <v>Pending</v>
      </c>
      <c r="W586" s="26" t="e">
        <f ca="1">_xludf.TEXTJOIN("; ",TRUE,Auto_Roster!N586,IF(G586&gt;Settings!$B$19,"Approval required &gt; standard hours",""),IF(AND(F586&lt;&gt;"Off",G586=0),"Missing claimed hours",""))</f>
        <v>#NAME?</v>
      </c>
      <c r="X586" s="7"/>
    </row>
    <row r="587" spans="1:24" x14ac:dyDescent="0.35">
      <c r="A587" s="31">
        <f>Auto_Roster!A587</f>
        <v>46172</v>
      </c>
      <c r="B587" s="31">
        <f>Auto_Roster!B587</f>
        <v>46167</v>
      </c>
      <c r="C587" s="26" t="str">
        <f>Auto_Roster!C587</f>
        <v>E004</v>
      </c>
      <c r="D587" s="26" t="str">
        <f>Auto_Roster!D587</f>
        <v>Bashii Fall</v>
      </c>
      <c r="E587" s="26" t="str">
        <f>Auto_Roster!E587</f>
        <v>D</v>
      </c>
      <c r="F587" s="26" t="str">
        <f>Auto_Roster!G587</f>
        <v>Night</v>
      </c>
      <c r="G587" s="33">
        <f>Auto_Roster!J587</f>
        <v>8</v>
      </c>
      <c r="H587" s="33">
        <f>IF(G587&gt;Settings!$B$19,G587-Settings!$B$19,0)</f>
        <v>0</v>
      </c>
      <c r="I587" s="33">
        <f t="shared" si="36"/>
        <v>8</v>
      </c>
      <c r="J587" s="33">
        <f>IF(Auto_Roster!M587="Y",G587,0)</f>
        <v>0</v>
      </c>
      <c r="K587" s="33">
        <f>IF(Auto_Roster!L587="Y",G587,0)</f>
        <v>0</v>
      </c>
      <c r="L587" s="26" t="str">
        <f>Auto_Roster!K587</f>
        <v>N</v>
      </c>
      <c r="M587" s="34">
        <f>IF(L587="Y",Settings!$B$16,0)</f>
        <v>0</v>
      </c>
      <c r="N587" s="33">
        <f t="shared" si="37"/>
        <v>8</v>
      </c>
      <c r="O587" s="34">
        <f>N587*Settings!$B$17</f>
        <v>0</v>
      </c>
      <c r="P587" s="34">
        <f>IFERROR(VLOOKUP(C587,Employees!$A$4:$E$103,5,FALSE),Settings!$B$18)</f>
        <v>100</v>
      </c>
      <c r="Q587" s="34">
        <f t="shared" si="38"/>
        <v>800</v>
      </c>
      <c r="R587" s="34">
        <f>H587*P587*Settings!$B$13</f>
        <v>0</v>
      </c>
      <c r="S587" s="34">
        <f>J587*P587*(Settings!$B$14-1)</f>
        <v>0</v>
      </c>
      <c r="T587" s="34">
        <f>K587*P587*(Settings!$B$15-1)</f>
        <v>0</v>
      </c>
      <c r="U587" s="34">
        <f t="shared" si="39"/>
        <v>800</v>
      </c>
      <c r="V587" s="26" t="str">
        <f>Auto_Roster!O587</f>
        <v>Pending</v>
      </c>
      <c r="W587" s="26" t="e">
        <f ca="1">_xludf.TEXTJOIN("; ",TRUE,Auto_Roster!N587,IF(G587&gt;Settings!$B$19,"Approval required &gt; standard hours",""),IF(AND(F587&lt;&gt;"Off",G587=0),"Missing claimed hours",""))</f>
        <v>#NAME?</v>
      </c>
      <c r="X587" s="7"/>
    </row>
    <row r="588" spans="1:24" x14ac:dyDescent="0.35">
      <c r="A588" s="31">
        <f>Auto_Roster!A588</f>
        <v>46172</v>
      </c>
      <c r="B588" s="31">
        <f>Auto_Roster!B588</f>
        <v>46167</v>
      </c>
      <c r="C588" s="26" t="str">
        <f>Auto_Roster!C588</f>
        <v>E005</v>
      </c>
      <c r="D588" s="26" t="str">
        <f>Auto_Roster!D588</f>
        <v>Lesego Aphane</v>
      </c>
      <c r="E588" s="26" t="str">
        <f>Auto_Roster!E588</f>
        <v>A</v>
      </c>
      <c r="F588" s="26" t="str">
        <f>Auto_Roster!G588</f>
        <v>Evening</v>
      </c>
      <c r="G588" s="33">
        <f>Auto_Roster!J588</f>
        <v>8</v>
      </c>
      <c r="H588" s="33">
        <f>IF(G588&gt;Settings!$B$19,G588-Settings!$B$19,0)</f>
        <v>0</v>
      </c>
      <c r="I588" s="33">
        <f t="shared" si="36"/>
        <v>8</v>
      </c>
      <c r="J588" s="33">
        <f>IF(Auto_Roster!M588="Y",G588,0)</f>
        <v>0</v>
      </c>
      <c r="K588" s="33">
        <f>IF(Auto_Roster!L588="Y",G588,0)</f>
        <v>0</v>
      </c>
      <c r="L588" s="26" t="str">
        <f>Auto_Roster!K588</f>
        <v>N</v>
      </c>
      <c r="M588" s="34">
        <f>IF(L588="Y",Settings!$B$16,0)</f>
        <v>0</v>
      </c>
      <c r="N588" s="33">
        <f t="shared" si="37"/>
        <v>0</v>
      </c>
      <c r="O588" s="34">
        <f>N588*Settings!$B$17</f>
        <v>0</v>
      </c>
      <c r="P588" s="34">
        <f>IFERROR(VLOOKUP(C588,Employees!$A$4:$E$103,5,FALSE),Settings!$B$18)</f>
        <v>100</v>
      </c>
      <c r="Q588" s="34">
        <f t="shared" si="38"/>
        <v>800</v>
      </c>
      <c r="R588" s="34">
        <f>H588*P588*Settings!$B$13</f>
        <v>0</v>
      </c>
      <c r="S588" s="34">
        <f>J588*P588*(Settings!$B$14-1)</f>
        <v>0</v>
      </c>
      <c r="T588" s="34">
        <f>K588*P588*(Settings!$B$15-1)</f>
        <v>0</v>
      </c>
      <c r="U588" s="34">
        <f t="shared" si="39"/>
        <v>800</v>
      </c>
      <c r="V588" s="26" t="str">
        <f>Auto_Roster!O588</f>
        <v>Pending</v>
      </c>
      <c r="W588" s="26" t="e">
        <f ca="1">_xludf.TEXTJOIN("; ",TRUE,Auto_Roster!N588,IF(G588&gt;Settings!$B$19,"Approval required &gt; standard hours",""),IF(AND(F588&lt;&gt;"Off",G588=0),"Missing claimed hours",""))</f>
        <v>#NAME?</v>
      </c>
      <c r="X588" s="7"/>
    </row>
    <row r="589" spans="1:24" x14ac:dyDescent="0.35">
      <c r="A589" s="31">
        <f>Auto_Roster!A589</f>
        <v>46172</v>
      </c>
      <c r="B589" s="31">
        <f>Auto_Roster!B589</f>
        <v>46167</v>
      </c>
      <c r="C589" s="26" t="str">
        <f>Auto_Roster!C589</f>
        <v>E006</v>
      </c>
      <c r="D589" s="26" t="str">
        <f>Auto_Roster!D589</f>
        <v>Nhalnahla</v>
      </c>
      <c r="E589" s="26" t="str">
        <f>Auto_Roster!E589</f>
        <v>B</v>
      </c>
      <c r="F589" s="26" t="str">
        <f>Auto_Roster!G589</f>
        <v>Day</v>
      </c>
      <c r="G589" s="33">
        <f>Auto_Roster!J589</f>
        <v>8</v>
      </c>
      <c r="H589" s="33">
        <f>IF(G589&gt;Settings!$B$19,G589-Settings!$B$19,0)</f>
        <v>0</v>
      </c>
      <c r="I589" s="33">
        <f t="shared" si="36"/>
        <v>8</v>
      </c>
      <c r="J589" s="33">
        <f>IF(Auto_Roster!M589="Y",G589,0)</f>
        <v>0</v>
      </c>
      <c r="K589" s="33">
        <f>IF(Auto_Roster!L589="Y",G589,0)</f>
        <v>0</v>
      </c>
      <c r="L589" s="26" t="str">
        <f>Auto_Roster!K589</f>
        <v>N</v>
      </c>
      <c r="M589" s="34">
        <f>IF(L589="Y",Settings!$B$16,0)</f>
        <v>0</v>
      </c>
      <c r="N589" s="33">
        <f t="shared" si="37"/>
        <v>0</v>
      </c>
      <c r="O589" s="34">
        <f>N589*Settings!$B$17</f>
        <v>0</v>
      </c>
      <c r="P589" s="34">
        <f>IFERROR(VLOOKUP(C589,Employees!$A$4:$E$103,5,FALSE),Settings!$B$18)</f>
        <v>100</v>
      </c>
      <c r="Q589" s="34">
        <f t="shared" si="38"/>
        <v>800</v>
      </c>
      <c r="R589" s="34">
        <f>H589*P589*Settings!$B$13</f>
        <v>0</v>
      </c>
      <c r="S589" s="34">
        <f>J589*P589*(Settings!$B$14-1)</f>
        <v>0</v>
      </c>
      <c r="T589" s="34">
        <f>K589*P589*(Settings!$B$15-1)</f>
        <v>0</v>
      </c>
      <c r="U589" s="34">
        <f t="shared" si="39"/>
        <v>800</v>
      </c>
      <c r="V589" s="26" t="str">
        <f>Auto_Roster!O589</f>
        <v>Pending</v>
      </c>
      <c r="W589" s="26" t="e">
        <f ca="1">_xludf.TEXTJOIN("; ",TRUE,Auto_Roster!N589,IF(G589&gt;Settings!$B$19,"Approval required &gt; standard hours",""),IF(AND(F589&lt;&gt;"Off",G589=0),"Missing claimed hours",""))</f>
        <v>#NAME?</v>
      </c>
      <c r="X589" s="7"/>
    </row>
    <row r="590" spans="1:24" x14ac:dyDescent="0.35">
      <c r="A590" s="31">
        <f>Auto_Roster!A590</f>
        <v>46172</v>
      </c>
      <c r="B590" s="31">
        <f>Auto_Roster!B590</f>
        <v>46167</v>
      </c>
      <c r="C590" s="26" t="str">
        <f>Auto_Roster!C590</f>
        <v>E007</v>
      </c>
      <c r="D590" s="26" t="str">
        <f>Auto_Roster!D590</f>
        <v>Joe</v>
      </c>
      <c r="E590" s="26" t="str">
        <f>Auto_Roster!E590</f>
        <v>C</v>
      </c>
      <c r="F590" s="26" t="str">
        <f>Auto_Roster!G590</f>
        <v>Off</v>
      </c>
      <c r="G590" s="33">
        <f>Auto_Roster!J590</f>
        <v>0</v>
      </c>
      <c r="H590" s="33">
        <f>IF(G590&gt;Settings!$B$19,G590-Settings!$B$19,0)</f>
        <v>0</v>
      </c>
      <c r="I590" s="33">
        <f t="shared" si="36"/>
        <v>0</v>
      </c>
      <c r="J590" s="33">
        <f>IF(Auto_Roster!M590="Y",G590,0)</f>
        <v>0</v>
      </c>
      <c r="K590" s="33">
        <f>IF(Auto_Roster!L590="Y",G590,0)</f>
        <v>0</v>
      </c>
      <c r="L590" s="26" t="str">
        <f>Auto_Roster!K590</f>
        <v>N</v>
      </c>
      <c r="M590" s="34">
        <f>IF(L590="Y",Settings!$B$16,0)</f>
        <v>0</v>
      </c>
      <c r="N590" s="33">
        <f t="shared" si="37"/>
        <v>0</v>
      </c>
      <c r="O590" s="34">
        <f>N590*Settings!$B$17</f>
        <v>0</v>
      </c>
      <c r="P590" s="34">
        <f>IFERROR(VLOOKUP(C590,Employees!$A$4:$E$103,5,FALSE),Settings!$B$18)</f>
        <v>100</v>
      </c>
      <c r="Q590" s="34">
        <f t="shared" si="38"/>
        <v>0</v>
      </c>
      <c r="R590" s="34">
        <f>H590*P590*Settings!$B$13</f>
        <v>0</v>
      </c>
      <c r="S590" s="34">
        <f>J590*P590*(Settings!$B$14-1)</f>
        <v>0</v>
      </c>
      <c r="T590" s="34">
        <f>K590*P590*(Settings!$B$15-1)</f>
        <v>0</v>
      </c>
      <c r="U590" s="34">
        <f t="shared" si="39"/>
        <v>0</v>
      </c>
      <c r="V590" s="26" t="str">
        <f>Auto_Roster!O590</f>
        <v>Pending</v>
      </c>
      <c r="W590" s="26" t="e">
        <f ca="1">_xludf.TEXTJOIN("; ",TRUE,Auto_Roster!N590,IF(G590&gt;Settings!$B$19,"Approval required &gt; standard hours",""),IF(AND(F590&lt;&gt;"Off",G590=0),"Missing claimed hours",""))</f>
        <v>#NAME?</v>
      </c>
      <c r="X590" s="7"/>
    </row>
    <row r="591" spans="1:24" x14ac:dyDescent="0.35">
      <c r="A591" s="31">
        <f>Auto_Roster!A591</f>
        <v>46172</v>
      </c>
      <c r="B591" s="31">
        <f>Auto_Roster!B591</f>
        <v>46167</v>
      </c>
      <c r="C591" s="26" t="str">
        <f>Auto_Roster!C591</f>
        <v>E008</v>
      </c>
      <c r="D591" s="26" t="str">
        <f>Auto_Roster!D591</f>
        <v>Tim</v>
      </c>
      <c r="E591" s="26" t="str">
        <f>Auto_Roster!E591</f>
        <v>D</v>
      </c>
      <c r="F591" s="26" t="str">
        <f>Auto_Roster!G591</f>
        <v>Night</v>
      </c>
      <c r="G591" s="33">
        <f>Auto_Roster!J591</f>
        <v>8</v>
      </c>
      <c r="H591" s="33">
        <f>IF(G591&gt;Settings!$B$19,G591-Settings!$B$19,0)</f>
        <v>0</v>
      </c>
      <c r="I591" s="33">
        <f t="shared" si="36"/>
        <v>8</v>
      </c>
      <c r="J591" s="33">
        <f>IF(Auto_Roster!M591="Y",G591,0)</f>
        <v>0</v>
      </c>
      <c r="K591" s="33">
        <f>IF(Auto_Roster!L591="Y",G591,0)</f>
        <v>0</v>
      </c>
      <c r="L591" s="26" t="str">
        <f>Auto_Roster!K591</f>
        <v>N</v>
      </c>
      <c r="M591" s="34">
        <f>IF(L591="Y",Settings!$B$16,0)</f>
        <v>0</v>
      </c>
      <c r="N591" s="33">
        <f t="shared" si="37"/>
        <v>8</v>
      </c>
      <c r="O591" s="34">
        <f>N591*Settings!$B$17</f>
        <v>0</v>
      </c>
      <c r="P591" s="34">
        <f>IFERROR(VLOOKUP(C591,Employees!$A$4:$E$103,5,FALSE),Settings!$B$18)</f>
        <v>100</v>
      </c>
      <c r="Q591" s="34">
        <f t="shared" si="38"/>
        <v>800</v>
      </c>
      <c r="R591" s="34">
        <f>H591*P591*Settings!$B$13</f>
        <v>0</v>
      </c>
      <c r="S591" s="34">
        <f>J591*P591*(Settings!$B$14-1)</f>
        <v>0</v>
      </c>
      <c r="T591" s="34">
        <f>K591*P591*(Settings!$B$15-1)</f>
        <v>0</v>
      </c>
      <c r="U591" s="34">
        <f t="shared" si="39"/>
        <v>800</v>
      </c>
      <c r="V591" s="26" t="str">
        <f>Auto_Roster!O591</f>
        <v>Pending</v>
      </c>
      <c r="W591" s="26" t="e">
        <f ca="1">_xludf.TEXTJOIN("; ",TRUE,Auto_Roster!N591,IF(G591&gt;Settings!$B$19,"Approval required &gt; standard hours",""),IF(AND(F591&lt;&gt;"Off",G591=0),"Missing claimed hours",""))</f>
        <v>#NAME?</v>
      </c>
      <c r="X591" s="7"/>
    </row>
    <row r="592" spans="1:24" x14ac:dyDescent="0.35">
      <c r="A592" s="31">
        <f>Auto_Roster!A592</f>
        <v>46172</v>
      </c>
      <c r="B592" s="31">
        <f>Auto_Roster!B592</f>
        <v>46167</v>
      </c>
      <c r="C592" s="26" t="str">
        <f>Auto_Roster!C592</f>
        <v>E009</v>
      </c>
      <c r="D592" s="26" t="str">
        <f>Auto_Roster!D592</f>
        <v>Frank</v>
      </c>
      <c r="E592" s="26" t="str">
        <f>Auto_Roster!E592</f>
        <v>A</v>
      </c>
      <c r="F592" s="26" t="str">
        <f>Auto_Roster!G592</f>
        <v>Evening</v>
      </c>
      <c r="G592" s="33">
        <f>Auto_Roster!J592</f>
        <v>8</v>
      </c>
      <c r="H592" s="33">
        <f>IF(G592&gt;Settings!$B$19,G592-Settings!$B$19,0)</f>
        <v>0</v>
      </c>
      <c r="I592" s="33">
        <f t="shared" si="36"/>
        <v>8</v>
      </c>
      <c r="J592" s="33">
        <f>IF(Auto_Roster!M592="Y",G592,0)</f>
        <v>0</v>
      </c>
      <c r="K592" s="33">
        <f>IF(Auto_Roster!L592="Y",G592,0)</f>
        <v>0</v>
      </c>
      <c r="L592" s="26" t="str">
        <f>Auto_Roster!K592</f>
        <v>N</v>
      </c>
      <c r="M592" s="34">
        <f>IF(L592="Y",Settings!$B$16,0)</f>
        <v>0</v>
      </c>
      <c r="N592" s="33">
        <f t="shared" si="37"/>
        <v>0</v>
      </c>
      <c r="O592" s="34">
        <f>N592*Settings!$B$17</f>
        <v>0</v>
      </c>
      <c r="P592" s="34">
        <f>IFERROR(VLOOKUP(C592,Employees!$A$4:$E$103,5,FALSE),Settings!$B$18)</f>
        <v>100</v>
      </c>
      <c r="Q592" s="34">
        <f t="shared" si="38"/>
        <v>800</v>
      </c>
      <c r="R592" s="34">
        <f>H592*P592*Settings!$B$13</f>
        <v>0</v>
      </c>
      <c r="S592" s="34">
        <f>J592*P592*(Settings!$B$14-1)</f>
        <v>0</v>
      </c>
      <c r="T592" s="34">
        <f>K592*P592*(Settings!$B$15-1)</f>
        <v>0</v>
      </c>
      <c r="U592" s="34">
        <f t="shared" si="39"/>
        <v>800</v>
      </c>
      <c r="V592" s="26" t="str">
        <f>Auto_Roster!O592</f>
        <v>Pending</v>
      </c>
      <c r="W592" s="26" t="e">
        <f ca="1">_xludf.TEXTJOIN("; ",TRUE,Auto_Roster!N592,IF(G592&gt;Settings!$B$19,"Approval required &gt; standard hours",""),IF(AND(F592&lt;&gt;"Off",G592=0),"Missing claimed hours",""))</f>
        <v>#NAME?</v>
      </c>
      <c r="X592" s="7"/>
    </row>
    <row r="593" spans="1:24" x14ac:dyDescent="0.35">
      <c r="A593" s="31">
        <f>Auto_Roster!A593</f>
        <v>46172</v>
      </c>
      <c r="B593" s="31">
        <f>Auto_Roster!B593</f>
        <v>46167</v>
      </c>
      <c r="C593" s="26" t="str">
        <f>Auto_Roster!C593</f>
        <v/>
      </c>
      <c r="D593" s="26" t="str">
        <f>Auto_Roster!D593</f>
        <v/>
      </c>
      <c r="E593" s="26" t="str">
        <f>Auto_Roster!E593</f>
        <v/>
      </c>
      <c r="F593" s="26" t="str">
        <f>Auto_Roster!G593</f>
        <v/>
      </c>
      <c r="G593" s="33">
        <f>Auto_Roster!J593</f>
        <v>0</v>
      </c>
      <c r="H593" s="33">
        <f>IF(G593&gt;Settings!$B$19,G593-Settings!$B$19,0)</f>
        <v>0</v>
      </c>
      <c r="I593" s="33">
        <f t="shared" si="36"/>
        <v>0</v>
      </c>
      <c r="J593" s="33">
        <f>IF(Auto_Roster!M593="Y",G593,0)</f>
        <v>0</v>
      </c>
      <c r="K593" s="33">
        <f>IF(Auto_Roster!L593="Y",G593,0)</f>
        <v>0</v>
      </c>
      <c r="L593" s="26" t="str">
        <f>Auto_Roster!K593</f>
        <v>N</v>
      </c>
      <c r="M593" s="34">
        <f>IF(L593="Y",Settings!$B$16,0)</f>
        <v>0</v>
      </c>
      <c r="N593" s="33">
        <f t="shared" si="37"/>
        <v>0</v>
      </c>
      <c r="O593" s="34">
        <f>N593*Settings!$B$17</f>
        <v>0</v>
      </c>
      <c r="P593" s="34">
        <f>IFERROR(VLOOKUP(C593,Employees!$A$4:$E$103,5,FALSE),Settings!$B$18)</f>
        <v>100</v>
      </c>
      <c r="Q593" s="34">
        <f t="shared" si="38"/>
        <v>0</v>
      </c>
      <c r="R593" s="34">
        <f>H593*P593*Settings!$B$13</f>
        <v>0</v>
      </c>
      <c r="S593" s="34">
        <f>J593*P593*(Settings!$B$14-1)</f>
        <v>0</v>
      </c>
      <c r="T593" s="34">
        <f>K593*P593*(Settings!$B$15-1)</f>
        <v>0</v>
      </c>
      <c r="U593" s="34">
        <f t="shared" si="39"/>
        <v>0</v>
      </c>
      <c r="V593" s="26" t="str">
        <f>Auto_Roster!O593</f>
        <v>Pending</v>
      </c>
      <c r="W593" s="26" t="e">
        <f ca="1">_xludf.TEXTJOIN("; ",TRUE,Auto_Roster!N593,IF(G593&gt;Settings!$B$19,"Approval required &gt; standard hours",""),IF(AND(F593&lt;&gt;"Off",G593=0),"Missing claimed hours",""))</f>
        <v>#NAME?</v>
      </c>
      <c r="X593" s="7"/>
    </row>
    <row r="594" spans="1:24" x14ac:dyDescent="0.35">
      <c r="A594" s="31">
        <f>Auto_Roster!A594</f>
        <v>46172</v>
      </c>
      <c r="B594" s="31">
        <f>Auto_Roster!B594</f>
        <v>46167</v>
      </c>
      <c r="C594" s="26" t="str">
        <f>Auto_Roster!C594</f>
        <v/>
      </c>
      <c r="D594" s="26" t="str">
        <f>Auto_Roster!D594</f>
        <v/>
      </c>
      <c r="E594" s="26" t="str">
        <f>Auto_Roster!E594</f>
        <v/>
      </c>
      <c r="F594" s="26" t="str">
        <f>Auto_Roster!G594</f>
        <v/>
      </c>
      <c r="G594" s="33">
        <f>Auto_Roster!J594</f>
        <v>0</v>
      </c>
      <c r="H594" s="33">
        <f>IF(G594&gt;Settings!$B$19,G594-Settings!$B$19,0)</f>
        <v>0</v>
      </c>
      <c r="I594" s="33">
        <f t="shared" si="36"/>
        <v>0</v>
      </c>
      <c r="J594" s="33">
        <f>IF(Auto_Roster!M594="Y",G594,0)</f>
        <v>0</v>
      </c>
      <c r="K594" s="33">
        <f>IF(Auto_Roster!L594="Y",G594,0)</f>
        <v>0</v>
      </c>
      <c r="L594" s="26" t="str">
        <f>Auto_Roster!K594</f>
        <v>N</v>
      </c>
      <c r="M594" s="34">
        <f>IF(L594="Y",Settings!$B$16,0)</f>
        <v>0</v>
      </c>
      <c r="N594" s="33">
        <f t="shared" si="37"/>
        <v>0</v>
      </c>
      <c r="O594" s="34">
        <f>N594*Settings!$B$17</f>
        <v>0</v>
      </c>
      <c r="P594" s="34">
        <f>IFERROR(VLOOKUP(C594,Employees!$A$4:$E$103,5,FALSE),Settings!$B$18)</f>
        <v>100</v>
      </c>
      <c r="Q594" s="34">
        <f t="shared" si="38"/>
        <v>0</v>
      </c>
      <c r="R594" s="34">
        <f>H594*P594*Settings!$B$13</f>
        <v>0</v>
      </c>
      <c r="S594" s="34">
        <f>J594*P594*(Settings!$B$14-1)</f>
        <v>0</v>
      </c>
      <c r="T594" s="34">
        <f>K594*P594*(Settings!$B$15-1)</f>
        <v>0</v>
      </c>
      <c r="U594" s="34">
        <f t="shared" si="39"/>
        <v>0</v>
      </c>
      <c r="V594" s="26" t="str">
        <f>Auto_Roster!O594</f>
        <v>Pending</v>
      </c>
      <c r="W594" s="26" t="e">
        <f ca="1">_xludf.TEXTJOIN("; ",TRUE,Auto_Roster!N594,IF(G594&gt;Settings!$B$19,"Approval required &gt; standard hours",""),IF(AND(F594&lt;&gt;"Off",G594=0),"Missing claimed hours",""))</f>
        <v>#NAME?</v>
      </c>
      <c r="X594" s="7"/>
    </row>
    <row r="595" spans="1:24" x14ac:dyDescent="0.35">
      <c r="A595" s="31">
        <f>Auto_Roster!A595</f>
        <v>46172</v>
      </c>
      <c r="B595" s="31">
        <f>Auto_Roster!B595</f>
        <v>46167</v>
      </c>
      <c r="C595" s="26" t="str">
        <f>Auto_Roster!C595</f>
        <v/>
      </c>
      <c r="D595" s="26" t="str">
        <f>Auto_Roster!D595</f>
        <v/>
      </c>
      <c r="E595" s="26" t="str">
        <f>Auto_Roster!E595</f>
        <v/>
      </c>
      <c r="F595" s="26" t="str">
        <f>Auto_Roster!G595</f>
        <v/>
      </c>
      <c r="G595" s="33">
        <f>Auto_Roster!J595</f>
        <v>0</v>
      </c>
      <c r="H595" s="33">
        <f>IF(G595&gt;Settings!$B$19,G595-Settings!$B$19,0)</f>
        <v>0</v>
      </c>
      <c r="I595" s="33">
        <f t="shared" si="36"/>
        <v>0</v>
      </c>
      <c r="J595" s="33">
        <f>IF(Auto_Roster!M595="Y",G595,0)</f>
        <v>0</v>
      </c>
      <c r="K595" s="33">
        <f>IF(Auto_Roster!L595="Y",G595,0)</f>
        <v>0</v>
      </c>
      <c r="L595" s="26" t="str">
        <f>Auto_Roster!K595</f>
        <v>N</v>
      </c>
      <c r="M595" s="34">
        <f>IF(L595="Y",Settings!$B$16,0)</f>
        <v>0</v>
      </c>
      <c r="N595" s="33">
        <f t="shared" si="37"/>
        <v>0</v>
      </c>
      <c r="O595" s="34">
        <f>N595*Settings!$B$17</f>
        <v>0</v>
      </c>
      <c r="P595" s="34">
        <f>IFERROR(VLOOKUP(C595,Employees!$A$4:$E$103,5,FALSE),Settings!$B$18)</f>
        <v>100</v>
      </c>
      <c r="Q595" s="34">
        <f t="shared" si="38"/>
        <v>0</v>
      </c>
      <c r="R595" s="34">
        <f>H595*P595*Settings!$B$13</f>
        <v>0</v>
      </c>
      <c r="S595" s="34">
        <f>J595*P595*(Settings!$B$14-1)</f>
        <v>0</v>
      </c>
      <c r="T595" s="34">
        <f>K595*P595*(Settings!$B$15-1)</f>
        <v>0</v>
      </c>
      <c r="U595" s="34">
        <f t="shared" si="39"/>
        <v>0</v>
      </c>
      <c r="V595" s="26" t="str">
        <f>Auto_Roster!O595</f>
        <v>Pending</v>
      </c>
      <c r="W595" s="26" t="e">
        <f ca="1">_xludf.TEXTJOIN("; ",TRUE,Auto_Roster!N595,IF(G595&gt;Settings!$B$19,"Approval required &gt; standard hours",""),IF(AND(F595&lt;&gt;"Off",G595=0),"Missing claimed hours",""))</f>
        <v>#NAME?</v>
      </c>
      <c r="X595" s="7"/>
    </row>
    <row r="596" spans="1:24" x14ac:dyDescent="0.35">
      <c r="A596" s="31">
        <f>Auto_Roster!A596</f>
        <v>46172</v>
      </c>
      <c r="B596" s="31">
        <f>Auto_Roster!B596</f>
        <v>46167</v>
      </c>
      <c r="C596" s="26" t="str">
        <f>Auto_Roster!C596</f>
        <v/>
      </c>
      <c r="D596" s="26" t="str">
        <f>Auto_Roster!D596</f>
        <v/>
      </c>
      <c r="E596" s="26" t="str">
        <f>Auto_Roster!E596</f>
        <v/>
      </c>
      <c r="F596" s="26" t="str">
        <f>Auto_Roster!G596</f>
        <v/>
      </c>
      <c r="G596" s="33">
        <f>Auto_Roster!J596</f>
        <v>0</v>
      </c>
      <c r="H596" s="33">
        <f>IF(G596&gt;Settings!$B$19,G596-Settings!$B$19,0)</f>
        <v>0</v>
      </c>
      <c r="I596" s="33">
        <f t="shared" si="36"/>
        <v>0</v>
      </c>
      <c r="J596" s="33">
        <f>IF(Auto_Roster!M596="Y",G596,0)</f>
        <v>0</v>
      </c>
      <c r="K596" s="33">
        <f>IF(Auto_Roster!L596="Y",G596,0)</f>
        <v>0</v>
      </c>
      <c r="L596" s="26" t="str">
        <f>Auto_Roster!K596</f>
        <v>N</v>
      </c>
      <c r="M596" s="34">
        <f>IF(L596="Y",Settings!$B$16,0)</f>
        <v>0</v>
      </c>
      <c r="N596" s="33">
        <f t="shared" si="37"/>
        <v>0</v>
      </c>
      <c r="O596" s="34">
        <f>N596*Settings!$B$17</f>
        <v>0</v>
      </c>
      <c r="P596" s="34">
        <f>IFERROR(VLOOKUP(C596,Employees!$A$4:$E$103,5,FALSE),Settings!$B$18)</f>
        <v>100</v>
      </c>
      <c r="Q596" s="34">
        <f t="shared" si="38"/>
        <v>0</v>
      </c>
      <c r="R596" s="34">
        <f>H596*P596*Settings!$B$13</f>
        <v>0</v>
      </c>
      <c r="S596" s="34">
        <f>J596*P596*(Settings!$B$14-1)</f>
        <v>0</v>
      </c>
      <c r="T596" s="34">
        <f>K596*P596*(Settings!$B$15-1)</f>
        <v>0</v>
      </c>
      <c r="U596" s="34">
        <f t="shared" si="39"/>
        <v>0</v>
      </c>
      <c r="V596" s="26" t="str">
        <f>Auto_Roster!O596</f>
        <v>Pending</v>
      </c>
      <c r="W596" s="26" t="e">
        <f ca="1">_xludf.TEXTJOIN("; ",TRUE,Auto_Roster!N596,IF(G596&gt;Settings!$B$19,"Approval required &gt; standard hours",""),IF(AND(F596&lt;&gt;"Off",G596=0),"Missing claimed hours",""))</f>
        <v>#NAME?</v>
      </c>
      <c r="X596" s="7"/>
    </row>
    <row r="597" spans="1:24" x14ac:dyDescent="0.35">
      <c r="A597" s="31">
        <f>Auto_Roster!A597</f>
        <v>46172</v>
      </c>
      <c r="B597" s="31">
        <f>Auto_Roster!B597</f>
        <v>46167</v>
      </c>
      <c r="C597" s="26" t="str">
        <f>Auto_Roster!C597</f>
        <v/>
      </c>
      <c r="D597" s="26" t="str">
        <f>Auto_Roster!D597</f>
        <v/>
      </c>
      <c r="E597" s="26" t="str">
        <f>Auto_Roster!E597</f>
        <v/>
      </c>
      <c r="F597" s="26" t="str">
        <f>Auto_Roster!G597</f>
        <v/>
      </c>
      <c r="G597" s="33">
        <f>Auto_Roster!J597</f>
        <v>0</v>
      </c>
      <c r="H597" s="33">
        <f>IF(G597&gt;Settings!$B$19,G597-Settings!$B$19,0)</f>
        <v>0</v>
      </c>
      <c r="I597" s="33">
        <f t="shared" si="36"/>
        <v>0</v>
      </c>
      <c r="J597" s="33">
        <f>IF(Auto_Roster!M597="Y",G597,0)</f>
        <v>0</v>
      </c>
      <c r="K597" s="33">
        <f>IF(Auto_Roster!L597="Y",G597,0)</f>
        <v>0</v>
      </c>
      <c r="L597" s="26" t="str">
        <f>Auto_Roster!K597</f>
        <v>N</v>
      </c>
      <c r="M597" s="34">
        <f>IF(L597="Y",Settings!$B$16,0)</f>
        <v>0</v>
      </c>
      <c r="N597" s="33">
        <f t="shared" si="37"/>
        <v>0</v>
      </c>
      <c r="O597" s="34">
        <f>N597*Settings!$B$17</f>
        <v>0</v>
      </c>
      <c r="P597" s="34">
        <f>IFERROR(VLOOKUP(C597,Employees!$A$4:$E$103,5,FALSE),Settings!$B$18)</f>
        <v>100</v>
      </c>
      <c r="Q597" s="34">
        <f t="shared" si="38"/>
        <v>0</v>
      </c>
      <c r="R597" s="34">
        <f>H597*P597*Settings!$B$13</f>
        <v>0</v>
      </c>
      <c r="S597" s="34">
        <f>J597*P597*(Settings!$B$14-1)</f>
        <v>0</v>
      </c>
      <c r="T597" s="34">
        <f>K597*P597*(Settings!$B$15-1)</f>
        <v>0</v>
      </c>
      <c r="U597" s="34">
        <f t="shared" si="39"/>
        <v>0</v>
      </c>
      <c r="V597" s="26" t="str">
        <f>Auto_Roster!O597</f>
        <v>Pending</v>
      </c>
      <c r="W597" s="26" t="e">
        <f ca="1">_xludf.TEXTJOIN("; ",TRUE,Auto_Roster!N597,IF(G597&gt;Settings!$B$19,"Approval required &gt; standard hours",""),IF(AND(F597&lt;&gt;"Off",G597=0),"Missing claimed hours",""))</f>
        <v>#NAME?</v>
      </c>
      <c r="X597" s="7"/>
    </row>
    <row r="598" spans="1:24" x14ac:dyDescent="0.35">
      <c r="A598" s="31">
        <f>Auto_Roster!A598</f>
        <v>46172</v>
      </c>
      <c r="B598" s="31">
        <f>Auto_Roster!B598</f>
        <v>46167</v>
      </c>
      <c r="C598" s="26" t="str">
        <f>Auto_Roster!C598</f>
        <v/>
      </c>
      <c r="D598" s="26" t="str">
        <f>Auto_Roster!D598</f>
        <v/>
      </c>
      <c r="E598" s="26" t="str">
        <f>Auto_Roster!E598</f>
        <v/>
      </c>
      <c r="F598" s="26" t="str">
        <f>Auto_Roster!G598</f>
        <v/>
      </c>
      <c r="G598" s="33">
        <f>Auto_Roster!J598</f>
        <v>0</v>
      </c>
      <c r="H598" s="33">
        <f>IF(G598&gt;Settings!$B$19,G598-Settings!$B$19,0)</f>
        <v>0</v>
      </c>
      <c r="I598" s="33">
        <f t="shared" si="36"/>
        <v>0</v>
      </c>
      <c r="J598" s="33">
        <f>IF(Auto_Roster!M598="Y",G598,0)</f>
        <v>0</v>
      </c>
      <c r="K598" s="33">
        <f>IF(Auto_Roster!L598="Y",G598,0)</f>
        <v>0</v>
      </c>
      <c r="L598" s="26" t="str">
        <f>Auto_Roster!K598</f>
        <v>N</v>
      </c>
      <c r="M598" s="34">
        <f>IF(L598="Y",Settings!$B$16,0)</f>
        <v>0</v>
      </c>
      <c r="N598" s="33">
        <f t="shared" si="37"/>
        <v>0</v>
      </c>
      <c r="O598" s="34">
        <f>N598*Settings!$B$17</f>
        <v>0</v>
      </c>
      <c r="P598" s="34">
        <f>IFERROR(VLOOKUP(C598,Employees!$A$4:$E$103,5,FALSE),Settings!$B$18)</f>
        <v>100</v>
      </c>
      <c r="Q598" s="34">
        <f t="shared" si="38"/>
        <v>0</v>
      </c>
      <c r="R598" s="34">
        <f>H598*P598*Settings!$B$13</f>
        <v>0</v>
      </c>
      <c r="S598" s="34">
        <f>J598*P598*(Settings!$B$14-1)</f>
        <v>0</v>
      </c>
      <c r="T598" s="34">
        <f>K598*P598*(Settings!$B$15-1)</f>
        <v>0</v>
      </c>
      <c r="U598" s="34">
        <f t="shared" si="39"/>
        <v>0</v>
      </c>
      <c r="V598" s="26" t="str">
        <f>Auto_Roster!O598</f>
        <v>Pending</v>
      </c>
      <c r="W598" s="26" t="e">
        <f ca="1">_xludf.TEXTJOIN("; ",TRUE,Auto_Roster!N598,IF(G598&gt;Settings!$B$19,"Approval required &gt; standard hours",""),IF(AND(F598&lt;&gt;"Off",G598=0),"Missing claimed hours",""))</f>
        <v>#NAME?</v>
      </c>
      <c r="X598" s="7"/>
    </row>
    <row r="599" spans="1:24" x14ac:dyDescent="0.35">
      <c r="A599" s="31">
        <f>Auto_Roster!A599</f>
        <v>46172</v>
      </c>
      <c r="B599" s="31">
        <f>Auto_Roster!B599</f>
        <v>46167</v>
      </c>
      <c r="C599" s="26" t="str">
        <f>Auto_Roster!C599</f>
        <v/>
      </c>
      <c r="D599" s="26" t="str">
        <f>Auto_Roster!D599</f>
        <v/>
      </c>
      <c r="E599" s="26" t="str">
        <f>Auto_Roster!E599</f>
        <v/>
      </c>
      <c r="F599" s="26" t="str">
        <f>Auto_Roster!G599</f>
        <v/>
      </c>
      <c r="G599" s="33">
        <f>Auto_Roster!J599</f>
        <v>0</v>
      </c>
      <c r="H599" s="33">
        <f>IF(G599&gt;Settings!$B$19,G599-Settings!$B$19,0)</f>
        <v>0</v>
      </c>
      <c r="I599" s="33">
        <f t="shared" si="36"/>
        <v>0</v>
      </c>
      <c r="J599" s="33">
        <f>IF(Auto_Roster!M599="Y",G599,0)</f>
        <v>0</v>
      </c>
      <c r="K599" s="33">
        <f>IF(Auto_Roster!L599="Y",G599,0)</f>
        <v>0</v>
      </c>
      <c r="L599" s="26" t="str">
        <f>Auto_Roster!K599</f>
        <v>N</v>
      </c>
      <c r="M599" s="34">
        <f>IF(L599="Y",Settings!$B$16,0)</f>
        <v>0</v>
      </c>
      <c r="N599" s="33">
        <f t="shared" si="37"/>
        <v>0</v>
      </c>
      <c r="O599" s="34">
        <f>N599*Settings!$B$17</f>
        <v>0</v>
      </c>
      <c r="P599" s="34">
        <f>IFERROR(VLOOKUP(C599,Employees!$A$4:$E$103,5,FALSE),Settings!$B$18)</f>
        <v>100</v>
      </c>
      <c r="Q599" s="34">
        <f t="shared" si="38"/>
        <v>0</v>
      </c>
      <c r="R599" s="34">
        <f>H599*P599*Settings!$B$13</f>
        <v>0</v>
      </c>
      <c r="S599" s="34">
        <f>J599*P599*(Settings!$B$14-1)</f>
        <v>0</v>
      </c>
      <c r="T599" s="34">
        <f>K599*P599*(Settings!$B$15-1)</f>
        <v>0</v>
      </c>
      <c r="U599" s="34">
        <f t="shared" si="39"/>
        <v>0</v>
      </c>
      <c r="V599" s="26" t="str">
        <f>Auto_Roster!O599</f>
        <v>Pending</v>
      </c>
      <c r="W599" s="26" t="e">
        <f ca="1">_xludf.TEXTJOIN("; ",TRUE,Auto_Roster!N599,IF(G599&gt;Settings!$B$19,"Approval required &gt; standard hours",""),IF(AND(F599&lt;&gt;"Off",G599=0),"Missing claimed hours",""))</f>
        <v>#NAME?</v>
      </c>
      <c r="X599" s="7"/>
    </row>
    <row r="600" spans="1:24" x14ac:dyDescent="0.35">
      <c r="A600" s="31">
        <f>Auto_Roster!A600</f>
        <v>46172</v>
      </c>
      <c r="B600" s="31">
        <f>Auto_Roster!B600</f>
        <v>46167</v>
      </c>
      <c r="C600" s="26" t="str">
        <f>Auto_Roster!C600</f>
        <v/>
      </c>
      <c r="D600" s="26" t="str">
        <f>Auto_Roster!D600</f>
        <v/>
      </c>
      <c r="E600" s="26" t="str">
        <f>Auto_Roster!E600</f>
        <v/>
      </c>
      <c r="F600" s="26" t="str">
        <f>Auto_Roster!G600</f>
        <v/>
      </c>
      <c r="G600" s="33">
        <f>Auto_Roster!J600</f>
        <v>0</v>
      </c>
      <c r="H600" s="33">
        <f>IF(G600&gt;Settings!$B$19,G600-Settings!$B$19,0)</f>
        <v>0</v>
      </c>
      <c r="I600" s="33">
        <f t="shared" si="36"/>
        <v>0</v>
      </c>
      <c r="J600" s="33">
        <f>IF(Auto_Roster!M600="Y",G600,0)</f>
        <v>0</v>
      </c>
      <c r="K600" s="33">
        <f>IF(Auto_Roster!L600="Y",G600,0)</f>
        <v>0</v>
      </c>
      <c r="L600" s="26" t="str">
        <f>Auto_Roster!K600</f>
        <v>N</v>
      </c>
      <c r="M600" s="34">
        <f>IF(L600="Y",Settings!$B$16,0)</f>
        <v>0</v>
      </c>
      <c r="N600" s="33">
        <f t="shared" si="37"/>
        <v>0</v>
      </c>
      <c r="O600" s="34">
        <f>N600*Settings!$B$17</f>
        <v>0</v>
      </c>
      <c r="P600" s="34">
        <f>IFERROR(VLOOKUP(C600,Employees!$A$4:$E$103,5,FALSE),Settings!$B$18)</f>
        <v>100</v>
      </c>
      <c r="Q600" s="34">
        <f t="shared" si="38"/>
        <v>0</v>
      </c>
      <c r="R600" s="34">
        <f>H600*P600*Settings!$B$13</f>
        <v>0</v>
      </c>
      <c r="S600" s="34">
        <f>J600*P600*(Settings!$B$14-1)</f>
        <v>0</v>
      </c>
      <c r="T600" s="34">
        <f>K600*P600*(Settings!$B$15-1)</f>
        <v>0</v>
      </c>
      <c r="U600" s="34">
        <f t="shared" si="39"/>
        <v>0</v>
      </c>
      <c r="V600" s="26" t="str">
        <f>Auto_Roster!O600</f>
        <v>Pending</v>
      </c>
      <c r="W600" s="26" t="e">
        <f ca="1">_xludf.TEXTJOIN("; ",TRUE,Auto_Roster!N600,IF(G600&gt;Settings!$B$19,"Approval required &gt; standard hours",""),IF(AND(F600&lt;&gt;"Off",G600=0),"Missing claimed hours",""))</f>
        <v>#NAME?</v>
      </c>
      <c r="X600" s="7"/>
    </row>
    <row r="601" spans="1:24" x14ac:dyDescent="0.35">
      <c r="A601" s="31">
        <f>Auto_Roster!A601</f>
        <v>46172</v>
      </c>
      <c r="B601" s="31">
        <f>Auto_Roster!B601</f>
        <v>46167</v>
      </c>
      <c r="C601" s="26" t="str">
        <f>Auto_Roster!C601</f>
        <v/>
      </c>
      <c r="D601" s="26" t="str">
        <f>Auto_Roster!D601</f>
        <v/>
      </c>
      <c r="E601" s="26" t="str">
        <f>Auto_Roster!E601</f>
        <v/>
      </c>
      <c r="F601" s="26" t="str">
        <f>Auto_Roster!G601</f>
        <v/>
      </c>
      <c r="G601" s="33">
        <f>Auto_Roster!J601</f>
        <v>0</v>
      </c>
      <c r="H601" s="33">
        <f>IF(G601&gt;Settings!$B$19,G601-Settings!$B$19,0)</f>
        <v>0</v>
      </c>
      <c r="I601" s="33">
        <f t="shared" si="36"/>
        <v>0</v>
      </c>
      <c r="J601" s="33">
        <f>IF(Auto_Roster!M601="Y",G601,0)</f>
        <v>0</v>
      </c>
      <c r="K601" s="33">
        <f>IF(Auto_Roster!L601="Y",G601,0)</f>
        <v>0</v>
      </c>
      <c r="L601" s="26" t="str">
        <f>Auto_Roster!K601</f>
        <v>N</v>
      </c>
      <c r="M601" s="34">
        <f>IF(L601="Y",Settings!$B$16,0)</f>
        <v>0</v>
      </c>
      <c r="N601" s="33">
        <f t="shared" si="37"/>
        <v>0</v>
      </c>
      <c r="O601" s="34">
        <f>N601*Settings!$B$17</f>
        <v>0</v>
      </c>
      <c r="P601" s="34">
        <f>IFERROR(VLOOKUP(C601,Employees!$A$4:$E$103,5,FALSE),Settings!$B$18)</f>
        <v>100</v>
      </c>
      <c r="Q601" s="34">
        <f t="shared" si="38"/>
        <v>0</v>
      </c>
      <c r="R601" s="34">
        <f>H601*P601*Settings!$B$13</f>
        <v>0</v>
      </c>
      <c r="S601" s="34">
        <f>J601*P601*(Settings!$B$14-1)</f>
        <v>0</v>
      </c>
      <c r="T601" s="34">
        <f>K601*P601*(Settings!$B$15-1)</f>
        <v>0</v>
      </c>
      <c r="U601" s="34">
        <f t="shared" si="39"/>
        <v>0</v>
      </c>
      <c r="V601" s="26" t="str">
        <f>Auto_Roster!O601</f>
        <v>Pending</v>
      </c>
      <c r="W601" s="26" t="e">
        <f ca="1">_xludf.TEXTJOIN("; ",TRUE,Auto_Roster!N601,IF(G601&gt;Settings!$B$19,"Approval required &gt; standard hours",""),IF(AND(F601&lt;&gt;"Off",G601=0),"Missing claimed hours",""))</f>
        <v>#NAME?</v>
      </c>
      <c r="X601" s="7"/>
    </row>
    <row r="602" spans="1:24" x14ac:dyDescent="0.35">
      <c r="A602" s="31">
        <f>Auto_Roster!A602</f>
        <v>46172</v>
      </c>
      <c r="B602" s="31">
        <f>Auto_Roster!B602</f>
        <v>46167</v>
      </c>
      <c r="C602" s="26" t="str">
        <f>Auto_Roster!C602</f>
        <v/>
      </c>
      <c r="D602" s="26" t="str">
        <f>Auto_Roster!D602</f>
        <v/>
      </c>
      <c r="E602" s="26" t="str">
        <f>Auto_Roster!E602</f>
        <v/>
      </c>
      <c r="F602" s="26" t="str">
        <f>Auto_Roster!G602</f>
        <v/>
      </c>
      <c r="G602" s="33">
        <f>Auto_Roster!J602</f>
        <v>0</v>
      </c>
      <c r="H602" s="33">
        <f>IF(G602&gt;Settings!$B$19,G602-Settings!$B$19,0)</f>
        <v>0</v>
      </c>
      <c r="I602" s="33">
        <f t="shared" si="36"/>
        <v>0</v>
      </c>
      <c r="J602" s="33">
        <f>IF(Auto_Roster!M602="Y",G602,0)</f>
        <v>0</v>
      </c>
      <c r="K602" s="33">
        <f>IF(Auto_Roster!L602="Y",G602,0)</f>
        <v>0</v>
      </c>
      <c r="L602" s="26" t="str">
        <f>Auto_Roster!K602</f>
        <v>N</v>
      </c>
      <c r="M602" s="34">
        <f>IF(L602="Y",Settings!$B$16,0)</f>
        <v>0</v>
      </c>
      <c r="N602" s="33">
        <f t="shared" si="37"/>
        <v>0</v>
      </c>
      <c r="O602" s="34">
        <f>N602*Settings!$B$17</f>
        <v>0</v>
      </c>
      <c r="P602" s="34">
        <f>IFERROR(VLOOKUP(C602,Employees!$A$4:$E$103,5,FALSE),Settings!$B$18)</f>
        <v>100</v>
      </c>
      <c r="Q602" s="34">
        <f t="shared" si="38"/>
        <v>0</v>
      </c>
      <c r="R602" s="34">
        <f>H602*P602*Settings!$B$13</f>
        <v>0</v>
      </c>
      <c r="S602" s="34">
        <f>J602*P602*(Settings!$B$14-1)</f>
        <v>0</v>
      </c>
      <c r="T602" s="34">
        <f>K602*P602*(Settings!$B$15-1)</f>
        <v>0</v>
      </c>
      <c r="U602" s="34">
        <f t="shared" si="39"/>
        <v>0</v>
      </c>
      <c r="V602" s="26" t="str">
        <f>Auto_Roster!O602</f>
        <v>Pending</v>
      </c>
      <c r="W602" s="26" t="e">
        <f ca="1">_xludf.TEXTJOIN("; ",TRUE,Auto_Roster!N602,IF(G602&gt;Settings!$B$19,"Approval required &gt; standard hours",""),IF(AND(F602&lt;&gt;"Off",G602=0),"Missing claimed hours",""))</f>
        <v>#NAME?</v>
      </c>
      <c r="X602" s="7"/>
    </row>
    <row r="603" spans="1:24" x14ac:dyDescent="0.35">
      <c r="A603" s="31">
        <f>Auto_Roster!A603</f>
        <v>46172</v>
      </c>
      <c r="B603" s="31">
        <f>Auto_Roster!B603</f>
        <v>46167</v>
      </c>
      <c r="C603" s="26" t="str">
        <f>Auto_Roster!C603</f>
        <v/>
      </c>
      <c r="D603" s="26" t="str">
        <f>Auto_Roster!D603</f>
        <v/>
      </c>
      <c r="E603" s="26" t="str">
        <f>Auto_Roster!E603</f>
        <v/>
      </c>
      <c r="F603" s="26" t="str">
        <f>Auto_Roster!G603</f>
        <v/>
      </c>
      <c r="G603" s="33">
        <f>Auto_Roster!J603</f>
        <v>0</v>
      </c>
      <c r="H603" s="33">
        <f>IF(G603&gt;Settings!$B$19,G603-Settings!$B$19,0)</f>
        <v>0</v>
      </c>
      <c r="I603" s="33">
        <f t="shared" si="36"/>
        <v>0</v>
      </c>
      <c r="J603" s="33">
        <f>IF(Auto_Roster!M603="Y",G603,0)</f>
        <v>0</v>
      </c>
      <c r="K603" s="33">
        <f>IF(Auto_Roster!L603="Y",G603,0)</f>
        <v>0</v>
      </c>
      <c r="L603" s="26" t="str">
        <f>Auto_Roster!K603</f>
        <v>N</v>
      </c>
      <c r="M603" s="34">
        <f>IF(L603="Y",Settings!$B$16,0)</f>
        <v>0</v>
      </c>
      <c r="N603" s="33">
        <f t="shared" si="37"/>
        <v>0</v>
      </c>
      <c r="O603" s="34">
        <f>N603*Settings!$B$17</f>
        <v>0</v>
      </c>
      <c r="P603" s="34">
        <f>IFERROR(VLOOKUP(C603,Employees!$A$4:$E$103,5,FALSE),Settings!$B$18)</f>
        <v>100</v>
      </c>
      <c r="Q603" s="34">
        <f t="shared" si="38"/>
        <v>0</v>
      </c>
      <c r="R603" s="34">
        <f>H603*P603*Settings!$B$13</f>
        <v>0</v>
      </c>
      <c r="S603" s="34">
        <f>J603*P603*(Settings!$B$14-1)</f>
        <v>0</v>
      </c>
      <c r="T603" s="34">
        <f>K603*P603*(Settings!$B$15-1)</f>
        <v>0</v>
      </c>
      <c r="U603" s="34">
        <f t="shared" si="39"/>
        <v>0</v>
      </c>
      <c r="V603" s="26" t="str">
        <f>Auto_Roster!O603</f>
        <v>Pending</v>
      </c>
      <c r="W603" s="26" t="e">
        <f ca="1">_xludf.TEXTJOIN("; ",TRUE,Auto_Roster!N603,IF(G603&gt;Settings!$B$19,"Approval required &gt; standard hours",""),IF(AND(F603&lt;&gt;"Off",G603=0),"Missing claimed hours",""))</f>
        <v>#NAME?</v>
      </c>
      <c r="X603" s="7"/>
    </row>
    <row r="604" spans="1:24" x14ac:dyDescent="0.35">
      <c r="A604" s="31">
        <f>Auto_Roster!A604</f>
        <v>46173</v>
      </c>
      <c r="B604" s="31">
        <f>Auto_Roster!B604</f>
        <v>46167</v>
      </c>
      <c r="C604" s="26" t="str">
        <f>Auto_Roster!C604</f>
        <v>E001</v>
      </c>
      <c r="D604" s="26" t="str">
        <f>Auto_Roster!D604</f>
        <v>Musiwa Khavalani</v>
      </c>
      <c r="E604" s="26">
        <f>Auto_Roster!E604</f>
        <v>0</v>
      </c>
      <c r="F604" s="26" t="e">
        <f>Auto_Roster!G604</f>
        <v>#N/A</v>
      </c>
      <c r="G604" s="33" t="e">
        <f>Auto_Roster!J604</f>
        <v>#N/A</v>
      </c>
      <c r="H604" s="33" t="e">
        <f>IF(G604&gt;Settings!$B$19,G604-Settings!$B$19,0)</f>
        <v>#N/A</v>
      </c>
      <c r="I604" s="33" t="e">
        <f t="shared" si="36"/>
        <v>#N/A</v>
      </c>
      <c r="J604" s="33" t="e">
        <f>IF(Auto_Roster!M604="Y",G604,0)</f>
        <v>#N/A</v>
      </c>
      <c r="K604" s="33">
        <f>IF(Auto_Roster!L604="Y",G604,0)</f>
        <v>0</v>
      </c>
      <c r="L604" s="26" t="str">
        <f>Auto_Roster!K604</f>
        <v>N</v>
      </c>
      <c r="M604" s="34">
        <f>IF(L604="Y",Settings!$B$16,0)</f>
        <v>0</v>
      </c>
      <c r="N604" s="33" t="e">
        <f t="shared" si="37"/>
        <v>#N/A</v>
      </c>
      <c r="O604" s="34" t="e">
        <f>N604*Settings!$B$17</f>
        <v>#N/A</v>
      </c>
      <c r="P604" s="34">
        <f>IFERROR(VLOOKUP(C604,Employees!$A$4:$E$103,5,FALSE),Settings!$B$18)</f>
        <v>100</v>
      </c>
      <c r="Q604" s="34" t="e">
        <f t="shared" si="38"/>
        <v>#N/A</v>
      </c>
      <c r="R604" s="34" t="e">
        <f>H604*P604*Settings!$B$13</f>
        <v>#N/A</v>
      </c>
      <c r="S604" s="34" t="e">
        <f>J604*P604*(Settings!$B$14-1)</f>
        <v>#N/A</v>
      </c>
      <c r="T604" s="34">
        <f>K604*P604*(Settings!$B$15-1)</f>
        <v>0</v>
      </c>
      <c r="U604" s="34" t="e">
        <f t="shared" si="39"/>
        <v>#N/A</v>
      </c>
      <c r="V604" s="26" t="str">
        <f>Auto_Roster!O604</f>
        <v>Pending</v>
      </c>
      <c r="W604" s="26" t="e">
        <f ca="1">_xludf.TEXTJOIN("; ",TRUE,Auto_Roster!N604,IF(G604&gt;Settings!$B$19,"Approval required &gt; standard hours",""),IF(AND(F604&lt;&gt;"Off",G604=0),"Missing claimed hours",""))</f>
        <v>#NAME?</v>
      </c>
      <c r="X604" s="7"/>
    </row>
    <row r="605" spans="1:24" x14ac:dyDescent="0.35">
      <c r="A605" s="31">
        <f>Auto_Roster!A605</f>
        <v>46173</v>
      </c>
      <c r="B605" s="31">
        <f>Auto_Roster!B605</f>
        <v>46167</v>
      </c>
      <c r="C605" s="26" t="str">
        <f>Auto_Roster!C605</f>
        <v>E002</v>
      </c>
      <c r="D605" s="26" t="str">
        <f>Auto_Roster!D605</f>
        <v>Mpho  Nembemhia</v>
      </c>
      <c r="E605" s="26" t="str">
        <f>Auto_Roster!E605</f>
        <v>B</v>
      </c>
      <c r="F605" s="26" t="str">
        <f>Auto_Roster!G605</f>
        <v>Evening</v>
      </c>
      <c r="G605" s="33">
        <f>Auto_Roster!J605</f>
        <v>8</v>
      </c>
      <c r="H605" s="33">
        <f>IF(G605&gt;Settings!$B$19,G605-Settings!$B$19,0)</f>
        <v>0</v>
      </c>
      <c r="I605" s="33">
        <f t="shared" si="36"/>
        <v>8</v>
      </c>
      <c r="J605" s="33">
        <f>IF(Auto_Roster!M605="Y",G605,0)</f>
        <v>8</v>
      </c>
      <c r="K605" s="33">
        <f>IF(Auto_Roster!L605="Y",G605,0)</f>
        <v>0</v>
      </c>
      <c r="L605" s="26" t="str">
        <f>Auto_Roster!K605</f>
        <v>N</v>
      </c>
      <c r="M605" s="34">
        <f>IF(L605="Y",Settings!$B$16,0)</f>
        <v>0</v>
      </c>
      <c r="N605" s="33">
        <f t="shared" si="37"/>
        <v>0</v>
      </c>
      <c r="O605" s="34">
        <f>N605*Settings!$B$17</f>
        <v>0</v>
      </c>
      <c r="P605" s="34">
        <f>IFERROR(VLOOKUP(C605,Employees!$A$4:$E$103,5,FALSE),Settings!$B$18)</f>
        <v>100</v>
      </c>
      <c r="Q605" s="34">
        <f t="shared" si="38"/>
        <v>800</v>
      </c>
      <c r="R605" s="34">
        <f>H605*P605*Settings!$B$13</f>
        <v>0</v>
      </c>
      <c r="S605" s="34">
        <f>J605*P605*(Settings!$B$14-1)</f>
        <v>800</v>
      </c>
      <c r="T605" s="34">
        <f>K605*P605*(Settings!$B$15-1)</f>
        <v>0</v>
      </c>
      <c r="U605" s="34">
        <f t="shared" si="39"/>
        <v>1600</v>
      </c>
      <c r="V605" s="26" t="str">
        <f>Auto_Roster!O605</f>
        <v>Pending</v>
      </c>
      <c r="W605" s="26" t="e">
        <f ca="1">_xludf.TEXTJOIN("; ",TRUE,Auto_Roster!N605,IF(G605&gt;Settings!$B$19,"Approval required &gt; standard hours",""),IF(AND(F605&lt;&gt;"Off",G605=0),"Missing claimed hours",""))</f>
        <v>#NAME?</v>
      </c>
      <c r="X605" s="7"/>
    </row>
    <row r="606" spans="1:24" x14ac:dyDescent="0.35">
      <c r="A606" s="31">
        <f>Auto_Roster!A606</f>
        <v>46173</v>
      </c>
      <c r="B606" s="31">
        <f>Auto_Roster!B606</f>
        <v>46167</v>
      </c>
      <c r="C606" s="26" t="str">
        <f>Auto_Roster!C606</f>
        <v>E003</v>
      </c>
      <c r="D606" s="26" t="str">
        <f>Auto_Roster!D606</f>
        <v>Dimpho Makhafola</v>
      </c>
      <c r="E606" s="26" t="str">
        <f>Auto_Roster!E606</f>
        <v>C</v>
      </c>
      <c r="F606" s="26" t="str">
        <f>Auto_Roster!G606</f>
        <v>Day</v>
      </c>
      <c r="G606" s="33">
        <f>Auto_Roster!J606</f>
        <v>8</v>
      </c>
      <c r="H606" s="33">
        <f>IF(G606&gt;Settings!$B$19,G606-Settings!$B$19,0)</f>
        <v>0</v>
      </c>
      <c r="I606" s="33">
        <f t="shared" si="36"/>
        <v>8</v>
      </c>
      <c r="J606" s="33">
        <f>IF(Auto_Roster!M606="Y",G606,0)</f>
        <v>8</v>
      </c>
      <c r="K606" s="33">
        <f>IF(Auto_Roster!L606="Y",G606,0)</f>
        <v>0</v>
      </c>
      <c r="L606" s="26" t="str">
        <f>Auto_Roster!K606</f>
        <v>N</v>
      </c>
      <c r="M606" s="34">
        <f>IF(L606="Y",Settings!$B$16,0)</f>
        <v>0</v>
      </c>
      <c r="N606" s="33">
        <f t="shared" si="37"/>
        <v>0</v>
      </c>
      <c r="O606" s="34">
        <f>N606*Settings!$B$17</f>
        <v>0</v>
      </c>
      <c r="P606" s="34">
        <f>IFERROR(VLOOKUP(C606,Employees!$A$4:$E$103,5,FALSE),Settings!$B$18)</f>
        <v>100</v>
      </c>
      <c r="Q606" s="34">
        <f t="shared" si="38"/>
        <v>800</v>
      </c>
      <c r="R606" s="34">
        <f>H606*P606*Settings!$B$13</f>
        <v>0</v>
      </c>
      <c r="S606" s="34">
        <f>J606*P606*(Settings!$B$14-1)</f>
        <v>800</v>
      </c>
      <c r="T606" s="34">
        <f>K606*P606*(Settings!$B$15-1)</f>
        <v>0</v>
      </c>
      <c r="U606" s="34">
        <f t="shared" si="39"/>
        <v>1600</v>
      </c>
      <c r="V606" s="26" t="str">
        <f>Auto_Roster!O606</f>
        <v>Pending</v>
      </c>
      <c r="W606" s="26" t="e">
        <f ca="1">_xludf.TEXTJOIN("; ",TRUE,Auto_Roster!N606,IF(G606&gt;Settings!$B$19,"Approval required &gt; standard hours",""),IF(AND(F606&lt;&gt;"Off",G606=0),"Missing claimed hours",""))</f>
        <v>#NAME?</v>
      </c>
      <c r="X606" s="7"/>
    </row>
    <row r="607" spans="1:24" x14ac:dyDescent="0.35">
      <c r="A607" s="31">
        <f>Auto_Roster!A607</f>
        <v>46173</v>
      </c>
      <c r="B607" s="31">
        <f>Auto_Roster!B607</f>
        <v>46167</v>
      </c>
      <c r="C607" s="26" t="str">
        <f>Auto_Roster!C607</f>
        <v>E004</v>
      </c>
      <c r="D607" s="26" t="str">
        <f>Auto_Roster!D607</f>
        <v>Bashii Fall</v>
      </c>
      <c r="E607" s="26" t="str">
        <f>Auto_Roster!E607</f>
        <v>D</v>
      </c>
      <c r="F607" s="26" t="str">
        <f>Auto_Roster!G607</f>
        <v>Off</v>
      </c>
      <c r="G607" s="33">
        <f>Auto_Roster!J607</f>
        <v>0</v>
      </c>
      <c r="H607" s="33">
        <f>IF(G607&gt;Settings!$B$19,G607-Settings!$B$19,0)</f>
        <v>0</v>
      </c>
      <c r="I607" s="33">
        <f t="shared" si="36"/>
        <v>0</v>
      </c>
      <c r="J607" s="33">
        <f>IF(Auto_Roster!M607="Y",G607,0)</f>
        <v>0</v>
      </c>
      <c r="K607" s="33">
        <f>IF(Auto_Roster!L607="Y",G607,0)</f>
        <v>0</v>
      </c>
      <c r="L607" s="26" t="str">
        <f>Auto_Roster!K607</f>
        <v>N</v>
      </c>
      <c r="M607" s="34">
        <f>IF(L607="Y",Settings!$B$16,0)</f>
        <v>0</v>
      </c>
      <c r="N607" s="33">
        <f t="shared" si="37"/>
        <v>0</v>
      </c>
      <c r="O607" s="34">
        <f>N607*Settings!$B$17</f>
        <v>0</v>
      </c>
      <c r="P607" s="34">
        <f>IFERROR(VLOOKUP(C607,Employees!$A$4:$E$103,5,FALSE),Settings!$B$18)</f>
        <v>100</v>
      </c>
      <c r="Q607" s="34">
        <f t="shared" si="38"/>
        <v>0</v>
      </c>
      <c r="R607" s="34">
        <f>H607*P607*Settings!$B$13</f>
        <v>0</v>
      </c>
      <c r="S607" s="34">
        <f>J607*P607*(Settings!$B$14-1)</f>
        <v>0</v>
      </c>
      <c r="T607" s="34">
        <f>K607*P607*(Settings!$B$15-1)</f>
        <v>0</v>
      </c>
      <c r="U607" s="34">
        <f t="shared" si="39"/>
        <v>0</v>
      </c>
      <c r="V607" s="26" t="str">
        <f>Auto_Roster!O607</f>
        <v>Pending</v>
      </c>
      <c r="W607" s="26" t="e">
        <f ca="1">_xludf.TEXTJOIN("; ",TRUE,Auto_Roster!N607,IF(G607&gt;Settings!$B$19,"Approval required &gt; standard hours",""),IF(AND(F607&lt;&gt;"Off",G607=0),"Missing claimed hours",""))</f>
        <v>#NAME?</v>
      </c>
      <c r="X607" s="7"/>
    </row>
    <row r="608" spans="1:24" x14ac:dyDescent="0.35">
      <c r="A608" s="31">
        <f>Auto_Roster!A608</f>
        <v>46173</v>
      </c>
      <c r="B608" s="31">
        <f>Auto_Roster!B608</f>
        <v>46167</v>
      </c>
      <c r="C608" s="26" t="str">
        <f>Auto_Roster!C608</f>
        <v>E005</v>
      </c>
      <c r="D608" s="26" t="str">
        <f>Auto_Roster!D608</f>
        <v>Lesego Aphane</v>
      </c>
      <c r="E608" s="26" t="str">
        <f>Auto_Roster!E608</f>
        <v>A</v>
      </c>
      <c r="F608" s="26" t="str">
        <f>Auto_Roster!G608</f>
        <v>Night</v>
      </c>
      <c r="G608" s="33">
        <f>Auto_Roster!J608</f>
        <v>8</v>
      </c>
      <c r="H608" s="33">
        <f>IF(G608&gt;Settings!$B$19,G608-Settings!$B$19,0)</f>
        <v>0</v>
      </c>
      <c r="I608" s="33">
        <f t="shared" si="36"/>
        <v>8</v>
      </c>
      <c r="J608" s="33">
        <f>IF(Auto_Roster!M608="Y",G608,0)</f>
        <v>8</v>
      </c>
      <c r="K608" s="33">
        <f>IF(Auto_Roster!L608="Y",G608,0)</f>
        <v>0</v>
      </c>
      <c r="L608" s="26" t="str">
        <f>Auto_Roster!K608</f>
        <v>N</v>
      </c>
      <c r="M608" s="34">
        <f>IF(L608="Y",Settings!$B$16,0)</f>
        <v>0</v>
      </c>
      <c r="N608" s="33">
        <f t="shared" si="37"/>
        <v>8</v>
      </c>
      <c r="O608" s="34">
        <f>N608*Settings!$B$17</f>
        <v>0</v>
      </c>
      <c r="P608" s="34">
        <f>IFERROR(VLOOKUP(C608,Employees!$A$4:$E$103,5,FALSE),Settings!$B$18)</f>
        <v>100</v>
      </c>
      <c r="Q608" s="34">
        <f t="shared" si="38"/>
        <v>800</v>
      </c>
      <c r="R608" s="34">
        <f>H608*P608*Settings!$B$13</f>
        <v>0</v>
      </c>
      <c r="S608" s="34">
        <f>J608*P608*(Settings!$B$14-1)</f>
        <v>800</v>
      </c>
      <c r="T608" s="34">
        <f>K608*P608*(Settings!$B$15-1)</f>
        <v>0</v>
      </c>
      <c r="U608" s="34">
        <f t="shared" si="39"/>
        <v>1600</v>
      </c>
      <c r="V608" s="26" t="str">
        <f>Auto_Roster!O608</f>
        <v>Pending</v>
      </c>
      <c r="W608" s="26" t="e">
        <f ca="1">_xludf.TEXTJOIN("; ",TRUE,Auto_Roster!N608,IF(G608&gt;Settings!$B$19,"Approval required &gt; standard hours",""),IF(AND(F608&lt;&gt;"Off",G608=0),"Missing claimed hours",""))</f>
        <v>#NAME?</v>
      </c>
      <c r="X608" s="7"/>
    </row>
    <row r="609" spans="1:24" x14ac:dyDescent="0.35">
      <c r="A609" s="31">
        <f>Auto_Roster!A609</f>
        <v>46173</v>
      </c>
      <c r="B609" s="31">
        <f>Auto_Roster!B609</f>
        <v>46167</v>
      </c>
      <c r="C609" s="26" t="str">
        <f>Auto_Roster!C609</f>
        <v>E006</v>
      </c>
      <c r="D609" s="26" t="str">
        <f>Auto_Roster!D609</f>
        <v>Nhalnahla</v>
      </c>
      <c r="E609" s="26" t="str">
        <f>Auto_Roster!E609</f>
        <v>B</v>
      </c>
      <c r="F609" s="26" t="str">
        <f>Auto_Roster!G609</f>
        <v>Evening</v>
      </c>
      <c r="G609" s="33">
        <f>Auto_Roster!J609</f>
        <v>8</v>
      </c>
      <c r="H609" s="33">
        <f>IF(G609&gt;Settings!$B$19,G609-Settings!$B$19,0)</f>
        <v>0</v>
      </c>
      <c r="I609" s="33">
        <f t="shared" si="36"/>
        <v>8</v>
      </c>
      <c r="J609" s="33">
        <f>IF(Auto_Roster!M609="Y",G609,0)</f>
        <v>8</v>
      </c>
      <c r="K609" s="33">
        <f>IF(Auto_Roster!L609="Y",G609,0)</f>
        <v>0</v>
      </c>
      <c r="L609" s="26" t="str">
        <f>Auto_Roster!K609</f>
        <v>N</v>
      </c>
      <c r="M609" s="34">
        <f>IF(L609="Y",Settings!$B$16,0)</f>
        <v>0</v>
      </c>
      <c r="N609" s="33">
        <f t="shared" si="37"/>
        <v>0</v>
      </c>
      <c r="O609" s="34">
        <f>N609*Settings!$B$17</f>
        <v>0</v>
      </c>
      <c r="P609" s="34">
        <f>IFERROR(VLOOKUP(C609,Employees!$A$4:$E$103,5,FALSE),Settings!$B$18)</f>
        <v>100</v>
      </c>
      <c r="Q609" s="34">
        <f t="shared" si="38"/>
        <v>800</v>
      </c>
      <c r="R609" s="34">
        <f>H609*P609*Settings!$B$13</f>
        <v>0</v>
      </c>
      <c r="S609" s="34">
        <f>J609*P609*(Settings!$B$14-1)</f>
        <v>800</v>
      </c>
      <c r="T609" s="34">
        <f>K609*P609*(Settings!$B$15-1)</f>
        <v>0</v>
      </c>
      <c r="U609" s="34">
        <f t="shared" si="39"/>
        <v>1600</v>
      </c>
      <c r="V609" s="26" t="str">
        <f>Auto_Roster!O609</f>
        <v>Pending</v>
      </c>
      <c r="W609" s="26" t="e">
        <f ca="1">_xludf.TEXTJOIN("; ",TRUE,Auto_Roster!N609,IF(G609&gt;Settings!$B$19,"Approval required &gt; standard hours",""),IF(AND(F609&lt;&gt;"Off",G609=0),"Missing claimed hours",""))</f>
        <v>#NAME?</v>
      </c>
      <c r="X609" s="7"/>
    </row>
    <row r="610" spans="1:24" x14ac:dyDescent="0.35">
      <c r="A610" s="31">
        <f>Auto_Roster!A610</f>
        <v>46173</v>
      </c>
      <c r="B610" s="31">
        <f>Auto_Roster!B610</f>
        <v>46167</v>
      </c>
      <c r="C610" s="26" t="str">
        <f>Auto_Roster!C610</f>
        <v>E007</v>
      </c>
      <c r="D610" s="26" t="str">
        <f>Auto_Roster!D610</f>
        <v>Joe</v>
      </c>
      <c r="E610" s="26" t="str">
        <f>Auto_Roster!E610</f>
        <v>C</v>
      </c>
      <c r="F610" s="26" t="str">
        <f>Auto_Roster!G610</f>
        <v>Day</v>
      </c>
      <c r="G610" s="33">
        <f>Auto_Roster!J610</f>
        <v>8</v>
      </c>
      <c r="H610" s="33">
        <f>IF(G610&gt;Settings!$B$19,G610-Settings!$B$19,0)</f>
        <v>0</v>
      </c>
      <c r="I610" s="33">
        <f t="shared" si="36"/>
        <v>8</v>
      </c>
      <c r="J610" s="33">
        <f>IF(Auto_Roster!M610="Y",G610,0)</f>
        <v>8</v>
      </c>
      <c r="K610" s="33">
        <f>IF(Auto_Roster!L610="Y",G610,0)</f>
        <v>0</v>
      </c>
      <c r="L610" s="26" t="str">
        <f>Auto_Roster!K610</f>
        <v>N</v>
      </c>
      <c r="M610" s="34">
        <f>IF(L610="Y",Settings!$B$16,0)</f>
        <v>0</v>
      </c>
      <c r="N610" s="33">
        <f t="shared" si="37"/>
        <v>0</v>
      </c>
      <c r="O610" s="34">
        <f>N610*Settings!$B$17</f>
        <v>0</v>
      </c>
      <c r="P610" s="34">
        <f>IFERROR(VLOOKUP(C610,Employees!$A$4:$E$103,5,FALSE),Settings!$B$18)</f>
        <v>100</v>
      </c>
      <c r="Q610" s="34">
        <f t="shared" si="38"/>
        <v>800</v>
      </c>
      <c r="R610" s="34">
        <f>H610*P610*Settings!$B$13</f>
        <v>0</v>
      </c>
      <c r="S610" s="34">
        <f>J610*P610*(Settings!$B$14-1)</f>
        <v>800</v>
      </c>
      <c r="T610" s="34">
        <f>K610*P610*(Settings!$B$15-1)</f>
        <v>0</v>
      </c>
      <c r="U610" s="34">
        <f t="shared" si="39"/>
        <v>1600</v>
      </c>
      <c r="V610" s="26" t="str">
        <f>Auto_Roster!O610</f>
        <v>Pending</v>
      </c>
      <c r="W610" s="26" t="e">
        <f ca="1">_xludf.TEXTJOIN("; ",TRUE,Auto_Roster!N610,IF(G610&gt;Settings!$B$19,"Approval required &gt; standard hours",""),IF(AND(F610&lt;&gt;"Off",G610=0),"Missing claimed hours",""))</f>
        <v>#NAME?</v>
      </c>
      <c r="X610" s="7"/>
    </row>
    <row r="611" spans="1:24" x14ac:dyDescent="0.35">
      <c r="A611" s="31">
        <f>Auto_Roster!A611</f>
        <v>46173</v>
      </c>
      <c r="B611" s="31">
        <f>Auto_Roster!B611</f>
        <v>46167</v>
      </c>
      <c r="C611" s="26" t="str">
        <f>Auto_Roster!C611</f>
        <v>E008</v>
      </c>
      <c r="D611" s="26" t="str">
        <f>Auto_Roster!D611</f>
        <v>Tim</v>
      </c>
      <c r="E611" s="26" t="str">
        <f>Auto_Roster!E611</f>
        <v>D</v>
      </c>
      <c r="F611" s="26" t="str">
        <f>Auto_Roster!G611</f>
        <v>Off</v>
      </c>
      <c r="G611" s="33">
        <f>Auto_Roster!J611</f>
        <v>0</v>
      </c>
      <c r="H611" s="33">
        <f>IF(G611&gt;Settings!$B$19,G611-Settings!$B$19,0)</f>
        <v>0</v>
      </c>
      <c r="I611" s="33">
        <f t="shared" si="36"/>
        <v>0</v>
      </c>
      <c r="J611" s="33">
        <f>IF(Auto_Roster!M611="Y",G611,0)</f>
        <v>0</v>
      </c>
      <c r="K611" s="33">
        <f>IF(Auto_Roster!L611="Y",G611,0)</f>
        <v>0</v>
      </c>
      <c r="L611" s="26" t="str">
        <f>Auto_Roster!K611</f>
        <v>N</v>
      </c>
      <c r="M611" s="34">
        <f>IF(L611="Y",Settings!$B$16,0)</f>
        <v>0</v>
      </c>
      <c r="N611" s="33">
        <f t="shared" si="37"/>
        <v>0</v>
      </c>
      <c r="O611" s="34">
        <f>N611*Settings!$B$17</f>
        <v>0</v>
      </c>
      <c r="P611" s="34">
        <f>IFERROR(VLOOKUP(C611,Employees!$A$4:$E$103,5,FALSE),Settings!$B$18)</f>
        <v>100</v>
      </c>
      <c r="Q611" s="34">
        <f t="shared" si="38"/>
        <v>0</v>
      </c>
      <c r="R611" s="34">
        <f>H611*P611*Settings!$B$13</f>
        <v>0</v>
      </c>
      <c r="S611" s="34">
        <f>J611*P611*(Settings!$B$14-1)</f>
        <v>0</v>
      </c>
      <c r="T611" s="34">
        <f>K611*P611*(Settings!$B$15-1)</f>
        <v>0</v>
      </c>
      <c r="U611" s="34">
        <f t="shared" si="39"/>
        <v>0</v>
      </c>
      <c r="V611" s="26" t="str">
        <f>Auto_Roster!O611</f>
        <v>Pending</v>
      </c>
      <c r="W611" s="26" t="e">
        <f ca="1">_xludf.TEXTJOIN("; ",TRUE,Auto_Roster!N611,IF(G611&gt;Settings!$B$19,"Approval required &gt; standard hours",""),IF(AND(F611&lt;&gt;"Off",G611=0),"Missing claimed hours",""))</f>
        <v>#NAME?</v>
      </c>
      <c r="X611" s="7"/>
    </row>
    <row r="612" spans="1:24" x14ac:dyDescent="0.35">
      <c r="A612" s="31">
        <f>Auto_Roster!A612</f>
        <v>46173</v>
      </c>
      <c r="B612" s="31">
        <f>Auto_Roster!B612</f>
        <v>46167</v>
      </c>
      <c r="C612" s="26" t="str">
        <f>Auto_Roster!C612</f>
        <v>E009</v>
      </c>
      <c r="D612" s="26" t="str">
        <f>Auto_Roster!D612</f>
        <v>Frank</v>
      </c>
      <c r="E612" s="26" t="str">
        <f>Auto_Roster!E612</f>
        <v>A</v>
      </c>
      <c r="F612" s="26" t="str">
        <f>Auto_Roster!G612</f>
        <v>Night</v>
      </c>
      <c r="G612" s="33">
        <f>Auto_Roster!J612</f>
        <v>8</v>
      </c>
      <c r="H612" s="33">
        <f>IF(G612&gt;Settings!$B$19,G612-Settings!$B$19,0)</f>
        <v>0</v>
      </c>
      <c r="I612" s="33">
        <f t="shared" si="36"/>
        <v>8</v>
      </c>
      <c r="J612" s="33">
        <f>IF(Auto_Roster!M612="Y",G612,0)</f>
        <v>8</v>
      </c>
      <c r="K612" s="33">
        <f>IF(Auto_Roster!L612="Y",G612,0)</f>
        <v>0</v>
      </c>
      <c r="L612" s="26" t="str">
        <f>Auto_Roster!K612</f>
        <v>N</v>
      </c>
      <c r="M612" s="34">
        <f>IF(L612="Y",Settings!$B$16,0)</f>
        <v>0</v>
      </c>
      <c r="N612" s="33">
        <f t="shared" si="37"/>
        <v>8</v>
      </c>
      <c r="O612" s="34">
        <f>N612*Settings!$B$17</f>
        <v>0</v>
      </c>
      <c r="P612" s="34">
        <f>IFERROR(VLOOKUP(C612,Employees!$A$4:$E$103,5,FALSE),Settings!$B$18)</f>
        <v>100</v>
      </c>
      <c r="Q612" s="34">
        <f t="shared" si="38"/>
        <v>800</v>
      </c>
      <c r="R612" s="34">
        <f>H612*P612*Settings!$B$13</f>
        <v>0</v>
      </c>
      <c r="S612" s="34">
        <f>J612*P612*(Settings!$B$14-1)</f>
        <v>800</v>
      </c>
      <c r="T612" s="34">
        <f>K612*P612*(Settings!$B$15-1)</f>
        <v>0</v>
      </c>
      <c r="U612" s="34">
        <f t="shared" si="39"/>
        <v>1600</v>
      </c>
      <c r="V612" s="26" t="str">
        <f>Auto_Roster!O612</f>
        <v>Pending</v>
      </c>
      <c r="W612" s="26" t="e">
        <f ca="1">_xludf.TEXTJOIN("; ",TRUE,Auto_Roster!N612,IF(G612&gt;Settings!$B$19,"Approval required &gt; standard hours",""),IF(AND(F612&lt;&gt;"Off",G612=0),"Missing claimed hours",""))</f>
        <v>#NAME?</v>
      </c>
      <c r="X612" s="7"/>
    </row>
    <row r="613" spans="1:24" x14ac:dyDescent="0.35">
      <c r="A613" s="31">
        <f>Auto_Roster!A613</f>
        <v>46173</v>
      </c>
      <c r="B613" s="31">
        <f>Auto_Roster!B613</f>
        <v>46167</v>
      </c>
      <c r="C613" s="26" t="str">
        <f>Auto_Roster!C613</f>
        <v/>
      </c>
      <c r="D613" s="26" t="str">
        <f>Auto_Roster!D613</f>
        <v/>
      </c>
      <c r="E613" s="26" t="str">
        <f>Auto_Roster!E613</f>
        <v/>
      </c>
      <c r="F613" s="26" t="str">
        <f>Auto_Roster!G613</f>
        <v/>
      </c>
      <c r="G613" s="33">
        <f>Auto_Roster!J613</f>
        <v>0</v>
      </c>
      <c r="H613" s="33">
        <f>IF(G613&gt;Settings!$B$19,G613-Settings!$B$19,0)</f>
        <v>0</v>
      </c>
      <c r="I613" s="33">
        <f t="shared" si="36"/>
        <v>0</v>
      </c>
      <c r="J613" s="33">
        <f>IF(Auto_Roster!M613="Y",G613,0)</f>
        <v>0</v>
      </c>
      <c r="K613" s="33">
        <f>IF(Auto_Roster!L613="Y",G613,0)</f>
        <v>0</v>
      </c>
      <c r="L613" s="26" t="str">
        <f>Auto_Roster!K613</f>
        <v>N</v>
      </c>
      <c r="M613" s="34">
        <f>IF(L613="Y",Settings!$B$16,0)</f>
        <v>0</v>
      </c>
      <c r="N613" s="33">
        <f t="shared" si="37"/>
        <v>0</v>
      </c>
      <c r="O613" s="34">
        <f>N613*Settings!$B$17</f>
        <v>0</v>
      </c>
      <c r="P613" s="34">
        <f>IFERROR(VLOOKUP(C613,Employees!$A$4:$E$103,5,FALSE),Settings!$B$18)</f>
        <v>100</v>
      </c>
      <c r="Q613" s="34">
        <f t="shared" si="38"/>
        <v>0</v>
      </c>
      <c r="R613" s="34">
        <f>H613*P613*Settings!$B$13</f>
        <v>0</v>
      </c>
      <c r="S613" s="34">
        <f>J613*P613*(Settings!$B$14-1)</f>
        <v>0</v>
      </c>
      <c r="T613" s="34">
        <f>K613*P613*(Settings!$B$15-1)</f>
        <v>0</v>
      </c>
      <c r="U613" s="34">
        <f t="shared" si="39"/>
        <v>0</v>
      </c>
      <c r="V613" s="26" t="str">
        <f>Auto_Roster!O613</f>
        <v>Pending</v>
      </c>
      <c r="W613" s="26" t="e">
        <f ca="1">_xludf.TEXTJOIN("; ",TRUE,Auto_Roster!N613,IF(G613&gt;Settings!$B$19,"Approval required &gt; standard hours",""),IF(AND(F613&lt;&gt;"Off",G613=0),"Missing claimed hours",""))</f>
        <v>#NAME?</v>
      </c>
      <c r="X613" s="7"/>
    </row>
    <row r="614" spans="1:24" x14ac:dyDescent="0.35">
      <c r="A614" s="31">
        <f>Auto_Roster!A614</f>
        <v>46173</v>
      </c>
      <c r="B614" s="31">
        <f>Auto_Roster!B614</f>
        <v>46167</v>
      </c>
      <c r="C614" s="26" t="str">
        <f>Auto_Roster!C614</f>
        <v/>
      </c>
      <c r="D614" s="26" t="str">
        <f>Auto_Roster!D614</f>
        <v/>
      </c>
      <c r="E614" s="26" t="str">
        <f>Auto_Roster!E614</f>
        <v/>
      </c>
      <c r="F614" s="26" t="str">
        <f>Auto_Roster!G614</f>
        <v/>
      </c>
      <c r="G614" s="33">
        <f>Auto_Roster!J614</f>
        <v>0</v>
      </c>
      <c r="H614" s="33">
        <f>IF(G614&gt;Settings!$B$19,G614-Settings!$B$19,0)</f>
        <v>0</v>
      </c>
      <c r="I614" s="33">
        <f t="shared" si="36"/>
        <v>0</v>
      </c>
      <c r="J614" s="33">
        <f>IF(Auto_Roster!M614="Y",G614,0)</f>
        <v>0</v>
      </c>
      <c r="K614" s="33">
        <f>IF(Auto_Roster!L614="Y",G614,0)</f>
        <v>0</v>
      </c>
      <c r="L614" s="26" t="str">
        <f>Auto_Roster!K614</f>
        <v>N</v>
      </c>
      <c r="M614" s="34">
        <f>IF(L614="Y",Settings!$B$16,0)</f>
        <v>0</v>
      </c>
      <c r="N614" s="33">
        <f t="shared" si="37"/>
        <v>0</v>
      </c>
      <c r="O614" s="34">
        <f>N614*Settings!$B$17</f>
        <v>0</v>
      </c>
      <c r="P614" s="34">
        <f>IFERROR(VLOOKUP(C614,Employees!$A$4:$E$103,5,FALSE),Settings!$B$18)</f>
        <v>100</v>
      </c>
      <c r="Q614" s="34">
        <f t="shared" si="38"/>
        <v>0</v>
      </c>
      <c r="R614" s="34">
        <f>H614*P614*Settings!$B$13</f>
        <v>0</v>
      </c>
      <c r="S614" s="34">
        <f>J614*P614*(Settings!$B$14-1)</f>
        <v>0</v>
      </c>
      <c r="T614" s="34">
        <f>K614*P614*(Settings!$B$15-1)</f>
        <v>0</v>
      </c>
      <c r="U614" s="34">
        <f t="shared" si="39"/>
        <v>0</v>
      </c>
      <c r="V614" s="26" t="str">
        <f>Auto_Roster!O614</f>
        <v>Pending</v>
      </c>
      <c r="W614" s="26" t="e">
        <f ca="1">_xludf.TEXTJOIN("; ",TRUE,Auto_Roster!N614,IF(G614&gt;Settings!$B$19,"Approval required &gt; standard hours",""),IF(AND(F614&lt;&gt;"Off",G614=0),"Missing claimed hours",""))</f>
        <v>#NAME?</v>
      </c>
      <c r="X614" s="7"/>
    </row>
    <row r="615" spans="1:24" x14ac:dyDescent="0.35">
      <c r="A615" s="31">
        <f>Auto_Roster!A615</f>
        <v>46173</v>
      </c>
      <c r="B615" s="31">
        <f>Auto_Roster!B615</f>
        <v>46167</v>
      </c>
      <c r="C615" s="26" t="str">
        <f>Auto_Roster!C615</f>
        <v/>
      </c>
      <c r="D615" s="26" t="str">
        <f>Auto_Roster!D615</f>
        <v/>
      </c>
      <c r="E615" s="26" t="str">
        <f>Auto_Roster!E615</f>
        <v/>
      </c>
      <c r="F615" s="26" t="str">
        <f>Auto_Roster!G615</f>
        <v/>
      </c>
      <c r="G615" s="33">
        <f>Auto_Roster!J615</f>
        <v>0</v>
      </c>
      <c r="H615" s="33">
        <f>IF(G615&gt;Settings!$B$19,G615-Settings!$B$19,0)</f>
        <v>0</v>
      </c>
      <c r="I615" s="33">
        <f t="shared" si="36"/>
        <v>0</v>
      </c>
      <c r="J615" s="33">
        <f>IF(Auto_Roster!M615="Y",G615,0)</f>
        <v>0</v>
      </c>
      <c r="K615" s="33">
        <f>IF(Auto_Roster!L615="Y",G615,0)</f>
        <v>0</v>
      </c>
      <c r="L615" s="26" t="str">
        <f>Auto_Roster!K615</f>
        <v>N</v>
      </c>
      <c r="M615" s="34">
        <f>IF(L615="Y",Settings!$B$16,0)</f>
        <v>0</v>
      </c>
      <c r="N615" s="33">
        <f t="shared" si="37"/>
        <v>0</v>
      </c>
      <c r="O615" s="34">
        <f>N615*Settings!$B$17</f>
        <v>0</v>
      </c>
      <c r="P615" s="34">
        <f>IFERROR(VLOOKUP(C615,Employees!$A$4:$E$103,5,FALSE),Settings!$B$18)</f>
        <v>100</v>
      </c>
      <c r="Q615" s="34">
        <f t="shared" si="38"/>
        <v>0</v>
      </c>
      <c r="R615" s="34">
        <f>H615*P615*Settings!$B$13</f>
        <v>0</v>
      </c>
      <c r="S615" s="34">
        <f>J615*P615*(Settings!$B$14-1)</f>
        <v>0</v>
      </c>
      <c r="T615" s="34">
        <f>K615*P615*(Settings!$B$15-1)</f>
        <v>0</v>
      </c>
      <c r="U615" s="34">
        <f t="shared" si="39"/>
        <v>0</v>
      </c>
      <c r="V615" s="26" t="str">
        <f>Auto_Roster!O615</f>
        <v>Pending</v>
      </c>
      <c r="W615" s="26" t="e">
        <f ca="1">_xludf.TEXTJOIN("; ",TRUE,Auto_Roster!N615,IF(G615&gt;Settings!$B$19,"Approval required &gt; standard hours",""),IF(AND(F615&lt;&gt;"Off",G615=0),"Missing claimed hours",""))</f>
        <v>#NAME?</v>
      </c>
      <c r="X615" s="7"/>
    </row>
    <row r="616" spans="1:24" x14ac:dyDescent="0.35">
      <c r="A616" s="31">
        <f>Auto_Roster!A616</f>
        <v>46173</v>
      </c>
      <c r="B616" s="31">
        <f>Auto_Roster!B616</f>
        <v>46167</v>
      </c>
      <c r="C616" s="26" t="str">
        <f>Auto_Roster!C616</f>
        <v/>
      </c>
      <c r="D616" s="26" t="str">
        <f>Auto_Roster!D616</f>
        <v/>
      </c>
      <c r="E616" s="26" t="str">
        <f>Auto_Roster!E616</f>
        <v/>
      </c>
      <c r="F616" s="26" t="str">
        <f>Auto_Roster!G616</f>
        <v/>
      </c>
      <c r="G616" s="33">
        <f>Auto_Roster!J616</f>
        <v>0</v>
      </c>
      <c r="H616" s="33">
        <f>IF(G616&gt;Settings!$B$19,G616-Settings!$B$19,0)</f>
        <v>0</v>
      </c>
      <c r="I616" s="33">
        <f t="shared" si="36"/>
        <v>0</v>
      </c>
      <c r="J616" s="33">
        <f>IF(Auto_Roster!M616="Y",G616,0)</f>
        <v>0</v>
      </c>
      <c r="K616" s="33">
        <f>IF(Auto_Roster!L616="Y",G616,0)</f>
        <v>0</v>
      </c>
      <c r="L616" s="26" t="str">
        <f>Auto_Roster!K616</f>
        <v>N</v>
      </c>
      <c r="M616" s="34">
        <f>IF(L616="Y",Settings!$B$16,0)</f>
        <v>0</v>
      </c>
      <c r="N616" s="33">
        <f t="shared" si="37"/>
        <v>0</v>
      </c>
      <c r="O616" s="34">
        <f>N616*Settings!$B$17</f>
        <v>0</v>
      </c>
      <c r="P616" s="34">
        <f>IFERROR(VLOOKUP(C616,Employees!$A$4:$E$103,5,FALSE),Settings!$B$18)</f>
        <v>100</v>
      </c>
      <c r="Q616" s="34">
        <f t="shared" si="38"/>
        <v>0</v>
      </c>
      <c r="R616" s="34">
        <f>H616*P616*Settings!$B$13</f>
        <v>0</v>
      </c>
      <c r="S616" s="34">
        <f>J616*P616*(Settings!$B$14-1)</f>
        <v>0</v>
      </c>
      <c r="T616" s="34">
        <f>K616*P616*(Settings!$B$15-1)</f>
        <v>0</v>
      </c>
      <c r="U616" s="34">
        <f t="shared" si="39"/>
        <v>0</v>
      </c>
      <c r="V616" s="26" t="str">
        <f>Auto_Roster!O616</f>
        <v>Pending</v>
      </c>
      <c r="W616" s="26" t="e">
        <f ca="1">_xludf.TEXTJOIN("; ",TRUE,Auto_Roster!N616,IF(G616&gt;Settings!$B$19,"Approval required &gt; standard hours",""),IF(AND(F616&lt;&gt;"Off",G616=0),"Missing claimed hours",""))</f>
        <v>#NAME?</v>
      </c>
      <c r="X616" s="7"/>
    </row>
    <row r="617" spans="1:24" x14ac:dyDescent="0.35">
      <c r="A617" s="31">
        <f>Auto_Roster!A617</f>
        <v>46173</v>
      </c>
      <c r="B617" s="31">
        <f>Auto_Roster!B617</f>
        <v>46167</v>
      </c>
      <c r="C617" s="26" t="str">
        <f>Auto_Roster!C617</f>
        <v/>
      </c>
      <c r="D617" s="26" t="str">
        <f>Auto_Roster!D617</f>
        <v/>
      </c>
      <c r="E617" s="26" t="str">
        <f>Auto_Roster!E617</f>
        <v/>
      </c>
      <c r="F617" s="26" t="str">
        <f>Auto_Roster!G617</f>
        <v/>
      </c>
      <c r="G617" s="33">
        <f>Auto_Roster!J617</f>
        <v>0</v>
      </c>
      <c r="H617" s="33">
        <f>IF(G617&gt;Settings!$B$19,G617-Settings!$B$19,0)</f>
        <v>0</v>
      </c>
      <c r="I617" s="33">
        <f t="shared" si="36"/>
        <v>0</v>
      </c>
      <c r="J617" s="33">
        <f>IF(Auto_Roster!M617="Y",G617,0)</f>
        <v>0</v>
      </c>
      <c r="K617" s="33">
        <f>IF(Auto_Roster!L617="Y",G617,0)</f>
        <v>0</v>
      </c>
      <c r="L617" s="26" t="str">
        <f>Auto_Roster!K617</f>
        <v>N</v>
      </c>
      <c r="M617" s="34">
        <f>IF(L617="Y",Settings!$B$16,0)</f>
        <v>0</v>
      </c>
      <c r="N617" s="33">
        <f t="shared" si="37"/>
        <v>0</v>
      </c>
      <c r="O617" s="34">
        <f>N617*Settings!$B$17</f>
        <v>0</v>
      </c>
      <c r="P617" s="34">
        <f>IFERROR(VLOOKUP(C617,Employees!$A$4:$E$103,5,FALSE),Settings!$B$18)</f>
        <v>100</v>
      </c>
      <c r="Q617" s="34">
        <f t="shared" si="38"/>
        <v>0</v>
      </c>
      <c r="R617" s="34">
        <f>H617*P617*Settings!$B$13</f>
        <v>0</v>
      </c>
      <c r="S617" s="34">
        <f>J617*P617*(Settings!$B$14-1)</f>
        <v>0</v>
      </c>
      <c r="T617" s="34">
        <f>K617*P617*(Settings!$B$15-1)</f>
        <v>0</v>
      </c>
      <c r="U617" s="34">
        <f t="shared" si="39"/>
        <v>0</v>
      </c>
      <c r="V617" s="26" t="str">
        <f>Auto_Roster!O617</f>
        <v>Pending</v>
      </c>
      <c r="W617" s="26" t="e">
        <f ca="1">_xludf.TEXTJOIN("; ",TRUE,Auto_Roster!N617,IF(G617&gt;Settings!$B$19,"Approval required &gt; standard hours",""),IF(AND(F617&lt;&gt;"Off",G617=0),"Missing claimed hours",""))</f>
        <v>#NAME?</v>
      </c>
      <c r="X617" s="7"/>
    </row>
    <row r="618" spans="1:24" x14ac:dyDescent="0.35">
      <c r="A618" s="31">
        <f>Auto_Roster!A618</f>
        <v>46173</v>
      </c>
      <c r="B618" s="31">
        <f>Auto_Roster!B618</f>
        <v>46167</v>
      </c>
      <c r="C618" s="26" t="str">
        <f>Auto_Roster!C618</f>
        <v/>
      </c>
      <c r="D618" s="26" t="str">
        <f>Auto_Roster!D618</f>
        <v/>
      </c>
      <c r="E618" s="26" t="str">
        <f>Auto_Roster!E618</f>
        <v/>
      </c>
      <c r="F618" s="26" t="str">
        <f>Auto_Roster!G618</f>
        <v/>
      </c>
      <c r="G618" s="33">
        <f>Auto_Roster!J618</f>
        <v>0</v>
      </c>
      <c r="H618" s="33">
        <f>IF(G618&gt;Settings!$B$19,G618-Settings!$B$19,0)</f>
        <v>0</v>
      </c>
      <c r="I618" s="33">
        <f t="shared" si="36"/>
        <v>0</v>
      </c>
      <c r="J618" s="33">
        <f>IF(Auto_Roster!M618="Y",G618,0)</f>
        <v>0</v>
      </c>
      <c r="K618" s="33">
        <f>IF(Auto_Roster!L618="Y",G618,0)</f>
        <v>0</v>
      </c>
      <c r="L618" s="26" t="str">
        <f>Auto_Roster!K618</f>
        <v>N</v>
      </c>
      <c r="M618" s="34">
        <f>IF(L618="Y",Settings!$B$16,0)</f>
        <v>0</v>
      </c>
      <c r="N618" s="33">
        <f t="shared" si="37"/>
        <v>0</v>
      </c>
      <c r="O618" s="34">
        <f>N618*Settings!$B$17</f>
        <v>0</v>
      </c>
      <c r="P618" s="34">
        <f>IFERROR(VLOOKUP(C618,Employees!$A$4:$E$103,5,FALSE),Settings!$B$18)</f>
        <v>100</v>
      </c>
      <c r="Q618" s="34">
        <f t="shared" si="38"/>
        <v>0</v>
      </c>
      <c r="R618" s="34">
        <f>H618*P618*Settings!$B$13</f>
        <v>0</v>
      </c>
      <c r="S618" s="34">
        <f>J618*P618*(Settings!$B$14-1)</f>
        <v>0</v>
      </c>
      <c r="T618" s="34">
        <f>K618*P618*(Settings!$B$15-1)</f>
        <v>0</v>
      </c>
      <c r="U618" s="34">
        <f t="shared" si="39"/>
        <v>0</v>
      </c>
      <c r="V618" s="26" t="str">
        <f>Auto_Roster!O618</f>
        <v>Pending</v>
      </c>
      <c r="W618" s="26" t="e">
        <f ca="1">_xludf.TEXTJOIN("; ",TRUE,Auto_Roster!N618,IF(G618&gt;Settings!$B$19,"Approval required &gt; standard hours",""),IF(AND(F618&lt;&gt;"Off",G618=0),"Missing claimed hours",""))</f>
        <v>#NAME?</v>
      </c>
      <c r="X618" s="7"/>
    </row>
    <row r="619" spans="1:24" x14ac:dyDescent="0.35">
      <c r="A619" s="31">
        <f>Auto_Roster!A619</f>
        <v>46173</v>
      </c>
      <c r="B619" s="31">
        <f>Auto_Roster!B619</f>
        <v>46167</v>
      </c>
      <c r="C619" s="26" t="str">
        <f>Auto_Roster!C619</f>
        <v/>
      </c>
      <c r="D619" s="26" t="str">
        <f>Auto_Roster!D619</f>
        <v/>
      </c>
      <c r="E619" s="26" t="str">
        <f>Auto_Roster!E619</f>
        <v/>
      </c>
      <c r="F619" s="26" t="str">
        <f>Auto_Roster!G619</f>
        <v/>
      </c>
      <c r="G619" s="33">
        <f>Auto_Roster!J619</f>
        <v>0</v>
      </c>
      <c r="H619" s="33">
        <f>IF(G619&gt;Settings!$B$19,G619-Settings!$B$19,0)</f>
        <v>0</v>
      </c>
      <c r="I619" s="33">
        <f t="shared" si="36"/>
        <v>0</v>
      </c>
      <c r="J619" s="33">
        <f>IF(Auto_Roster!M619="Y",G619,0)</f>
        <v>0</v>
      </c>
      <c r="K619" s="33">
        <f>IF(Auto_Roster!L619="Y",G619,0)</f>
        <v>0</v>
      </c>
      <c r="L619" s="26" t="str">
        <f>Auto_Roster!K619</f>
        <v>N</v>
      </c>
      <c r="M619" s="34">
        <f>IF(L619="Y",Settings!$B$16,0)</f>
        <v>0</v>
      </c>
      <c r="N619" s="33">
        <f t="shared" si="37"/>
        <v>0</v>
      </c>
      <c r="O619" s="34">
        <f>N619*Settings!$B$17</f>
        <v>0</v>
      </c>
      <c r="P619" s="34">
        <f>IFERROR(VLOOKUP(C619,Employees!$A$4:$E$103,5,FALSE),Settings!$B$18)</f>
        <v>100</v>
      </c>
      <c r="Q619" s="34">
        <f t="shared" si="38"/>
        <v>0</v>
      </c>
      <c r="R619" s="34">
        <f>H619*P619*Settings!$B$13</f>
        <v>0</v>
      </c>
      <c r="S619" s="34">
        <f>J619*P619*(Settings!$B$14-1)</f>
        <v>0</v>
      </c>
      <c r="T619" s="34">
        <f>K619*P619*(Settings!$B$15-1)</f>
        <v>0</v>
      </c>
      <c r="U619" s="34">
        <f t="shared" si="39"/>
        <v>0</v>
      </c>
      <c r="V619" s="26" t="str">
        <f>Auto_Roster!O619</f>
        <v>Pending</v>
      </c>
      <c r="W619" s="26" t="e">
        <f ca="1">_xludf.TEXTJOIN("; ",TRUE,Auto_Roster!N619,IF(G619&gt;Settings!$B$19,"Approval required &gt; standard hours",""),IF(AND(F619&lt;&gt;"Off",G619=0),"Missing claimed hours",""))</f>
        <v>#NAME?</v>
      </c>
      <c r="X619" s="7"/>
    </row>
    <row r="620" spans="1:24" x14ac:dyDescent="0.35">
      <c r="A620" s="31">
        <f>Auto_Roster!A620</f>
        <v>46173</v>
      </c>
      <c r="B620" s="31">
        <f>Auto_Roster!B620</f>
        <v>46167</v>
      </c>
      <c r="C620" s="26" t="str">
        <f>Auto_Roster!C620</f>
        <v/>
      </c>
      <c r="D620" s="26" t="str">
        <f>Auto_Roster!D620</f>
        <v/>
      </c>
      <c r="E620" s="26" t="str">
        <f>Auto_Roster!E620</f>
        <v/>
      </c>
      <c r="F620" s="26" t="str">
        <f>Auto_Roster!G620</f>
        <v/>
      </c>
      <c r="G620" s="33">
        <f>Auto_Roster!J620</f>
        <v>0</v>
      </c>
      <c r="H620" s="33">
        <f>IF(G620&gt;Settings!$B$19,G620-Settings!$B$19,0)</f>
        <v>0</v>
      </c>
      <c r="I620" s="33">
        <f t="shared" si="36"/>
        <v>0</v>
      </c>
      <c r="J620" s="33">
        <f>IF(Auto_Roster!M620="Y",G620,0)</f>
        <v>0</v>
      </c>
      <c r="K620" s="33">
        <f>IF(Auto_Roster!L620="Y",G620,0)</f>
        <v>0</v>
      </c>
      <c r="L620" s="26" t="str">
        <f>Auto_Roster!K620</f>
        <v>N</v>
      </c>
      <c r="M620" s="34">
        <f>IF(L620="Y",Settings!$B$16,0)</f>
        <v>0</v>
      </c>
      <c r="N620" s="33">
        <f t="shared" si="37"/>
        <v>0</v>
      </c>
      <c r="O620" s="34">
        <f>N620*Settings!$B$17</f>
        <v>0</v>
      </c>
      <c r="P620" s="34">
        <f>IFERROR(VLOOKUP(C620,Employees!$A$4:$E$103,5,FALSE),Settings!$B$18)</f>
        <v>100</v>
      </c>
      <c r="Q620" s="34">
        <f t="shared" si="38"/>
        <v>0</v>
      </c>
      <c r="R620" s="34">
        <f>H620*P620*Settings!$B$13</f>
        <v>0</v>
      </c>
      <c r="S620" s="34">
        <f>J620*P620*(Settings!$B$14-1)</f>
        <v>0</v>
      </c>
      <c r="T620" s="34">
        <f>K620*P620*(Settings!$B$15-1)</f>
        <v>0</v>
      </c>
      <c r="U620" s="34">
        <f t="shared" si="39"/>
        <v>0</v>
      </c>
      <c r="V620" s="26" t="str">
        <f>Auto_Roster!O620</f>
        <v>Pending</v>
      </c>
      <c r="W620" s="26" t="e">
        <f ca="1">_xludf.TEXTJOIN("; ",TRUE,Auto_Roster!N620,IF(G620&gt;Settings!$B$19,"Approval required &gt; standard hours",""),IF(AND(F620&lt;&gt;"Off",G620=0),"Missing claimed hours",""))</f>
        <v>#NAME?</v>
      </c>
      <c r="X620" s="7"/>
    </row>
    <row r="621" spans="1:24" x14ac:dyDescent="0.35">
      <c r="A621" s="31">
        <f>Auto_Roster!A621</f>
        <v>46173</v>
      </c>
      <c r="B621" s="31">
        <f>Auto_Roster!B621</f>
        <v>46167</v>
      </c>
      <c r="C621" s="26" t="str">
        <f>Auto_Roster!C621</f>
        <v/>
      </c>
      <c r="D621" s="26" t="str">
        <f>Auto_Roster!D621</f>
        <v/>
      </c>
      <c r="E621" s="26" t="str">
        <f>Auto_Roster!E621</f>
        <v/>
      </c>
      <c r="F621" s="26" t="str">
        <f>Auto_Roster!G621</f>
        <v/>
      </c>
      <c r="G621" s="33">
        <f>Auto_Roster!J621</f>
        <v>0</v>
      </c>
      <c r="H621" s="33">
        <f>IF(G621&gt;Settings!$B$19,G621-Settings!$B$19,0)</f>
        <v>0</v>
      </c>
      <c r="I621" s="33">
        <f t="shared" si="36"/>
        <v>0</v>
      </c>
      <c r="J621" s="33">
        <f>IF(Auto_Roster!M621="Y",G621,0)</f>
        <v>0</v>
      </c>
      <c r="K621" s="33">
        <f>IF(Auto_Roster!L621="Y",G621,0)</f>
        <v>0</v>
      </c>
      <c r="L621" s="26" t="str">
        <f>Auto_Roster!K621</f>
        <v>N</v>
      </c>
      <c r="M621" s="34">
        <f>IF(L621="Y",Settings!$B$16,0)</f>
        <v>0</v>
      </c>
      <c r="N621" s="33">
        <f t="shared" si="37"/>
        <v>0</v>
      </c>
      <c r="O621" s="34">
        <f>N621*Settings!$B$17</f>
        <v>0</v>
      </c>
      <c r="P621" s="34">
        <f>IFERROR(VLOOKUP(C621,Employees!$A$4:$E$103,5,FALSE),Settings!$B$18)</f>
        <v>100</v>
      </c>
      <c r="Q621" s="34">
        <f t="shared" si="38"/>
        <v>0</v>
      </c>
      <c r="R621" s="34">
        <f>H621*P621*Settings!$B$13</f>
        <v>0</v>
      </c>
      <c r="S621" s="34">
        <f>J621*P621*(Settings!$B$14-1)</f>
        <v>0</v>
      </c>
      <c r="T621" s="34">
        <f>K621*P621*(Settings!$B$15-1)</f>
        <v>0</v>
      </c>
      <c r="U621" s="34">
        <f t="shared" si="39"/>
        <v>0</v>
      </c>
      <c r="V621" s="26" t="str">
        <f>Auto_Roster!O621</f>
        <v>Pending</v>
      </c>
      <c r="W621" s="26" t="e">
        <f ca="1">_xludf.TEXTJOIN("; ",TRUE,Auto_Roster!N621,IF(G621&gt;Settings!$B$19,"Approval required &gt; standard hours",""),IF(AND(F621&lt;&gt;"Off",G621=0),"Missing claimed hours",""))</f>
        <v>#NAME?</v>
      </c>
      <c r="X621" s="7"/>
    </row>
    <row r="622" spans="1:24" x14ac:dyDescent="0.35">
      <c r="A622" s="31">
        <f>Auto_Roster!A622</f>
        <v>46173</v>
      </c>
      <c r="B622" s="31">
        <f>Auto_Roster!B622</f>
        <v>46167</v>
      </c>
      <c r="C622" s="26" t="str">
        <f>Auto_Roster!C622</f>
        <v/>
      </c>
      <c r="D622" s="26" t="str">
        <f>Auto_Roster!D622</f>
        <v/>
      </c>
      <c r="E622" s="26" t="str">
        <f>Auto_Roster!E622</f>
        <v/>
      </c>
      <c r="F622" s="26" t="str">
        <f>Auto_Roster!G622</f>
        <v/>
      </c>
      <c r="G622" s="33">
        <f>Auto_Roster!J622</f>
        <v>0</v>
      </c>
      <c r="H622" s="33">
        <f>IF(G622&gt;Settings!$B$19,G622-Settings!$B$19,0)</f>
        <v>0</v>
      </c>
      <c r="I622" s="33">
        <f t="shared" si="36"/>
        <v>0</v>
      </c>
      <c r="J622" s="33">
        <f>IF(Auto_Roster!M622="Y",G622,0)</f>
        <v>0</v>
      </c>
      <c r="K622" s="33">
        <f>IF(Auto_Roster!L622="Y",G622,0)</f>
        <v>0</v>
      </c>
      <c r="L622" s="26" t="str">
        <f>Auto_Roster!K622</f>
        <v>N</v>
      </c>
      <c r="M622" s="34">
        <f>IF(L622="Y",Settings!$B$16,0)</f>
        <v>0</v>
      </c>
      <c r="N622" s="33">
        <f t="shared" si="37"/>
        <v>0</v>
      </c>
      <c r="O622" s="34">
        <f>N622*Settings!$B$17</f>
        <v>0</v>
      </c>
      <c r="P622" s="34">
        <f>IFERROR(VLOOKUP(C622,Employees!$A$4:$E$103,5,FALSE),Settings!$B$18)</f>
        <v>100</v>
      </c>
      <c r="Q622" s="34">
        <f t="shared" si="38"/>
        <v>0</v>
      </c>
      <c r="R622" s="34">
        <f>H622*P622*Settings!$B$13</f>
        <v>0</v>
      </c>
      <c r="S622" s="34">
        <f>J622*P622*(Settings!$B$14-1)</f>
        <v>0</v>
      </c>
      <c r="T622" s="34">
        <f>K622*P622*(Settings!$B$15-1)</f>
        <v>0</v>
      </c>
      <c r="U622" s="34">
        <f t="shared" si="39"/>
        <v>0</v>
      </c>
      <c r="V622" s="26" t="str">
        <f>Auto_Roster!O622</f>
        <v>Pending</v>
      </c>
      <c r="W622" s="26" t="e">
        <f ca="1">_xludf.TEXTJOIN("; ",TRUE,Auto_Roster!N622,IF(G622&gt;Settings!$B$19,"Approval required &gt; standard hours",""),IF(AND(F622&lt;&gt;"Off",G622=0),"Missing claimed hours",""))</f>
        <v>#NAME?</v>
      </c>
      <c r="X622" s="7"/>
    </row>
    <row r="623" spans="1:24" x14ac:dyDescent="0.35">
      <c r="A623" s="31">
        <f>Auto_Roster!A623</f>
        <v>46173</v>
      </c>
      <c r="B623" s="31">
        <f>Auto_Roster!B623</f>
        <v>46167</v>
      </c>
      <c r="C623" s="26" t="str">
        <f>Auto_Roster!C623</f>
        <v/>
      </c>
      <c r="D623" s="26" t="str">
        <f>Auto_Roster!D623</f>
        <v/>
      </c>
      <c r="E623" s="26" t="str">
        <f>Auto_Roster!E623</f>
        <v/>
      </c>
      <c r="F623" s="26" t="str">
        <f>Auto_Roster!G623</f>
        <v/>
      </c>
      <c r="G623" s="33">
        <f>Auto_Roster!J623</f>
        <v>0</v>
      </c>
      <c r="H623" s="33">
        <f>IF(G623&gt;Settings!$B$19,G623-Settings!$B$19,0)</f>
        <v>0</v>
      </c>
      <c r="I623" s="33">
        <f t="shared" si="36"/>
        <v>0</v>
      </c>
      <c r="J623" s="33">
        <f>IF(Auto_Roster!M623="Y",G623,0)</f>
        <v>0</v>
      </c>
      <c r="K623" s="33">
        <f>IF(Auto_Roster!L623="Y",G623,0)</f>
        <v>0</v>
      </c>
      <c r="L623" s="26" t="str">
        <f>Auto_Roster!K623</f>
        <v>N</v>
      </c>
      <c r="M623" s="34">
        <f>IF(L623="Y",Settings!$B$16,0)</f>
        <v>0</v>
      </c>
      <c r="N623" s="33">
        <f t="shared" si="37"/>
        <v>0</v>
      </c>
      <c r="O623" s="34">
        <f>N623*Settings!$B$17</f>
        <v>0</v>
      </c>
      <c r="P623" s="34">
        <f>IFERROR(VLOOKUP(C623,Employees!$A$4:$E$103,5,FALSE),Settings!$B$18)</f>
        <v>100</v>
      </c>
      <c r="Q623" s="34">
        <f t="shared" si="38"/>
        <v>0</v>
      </c>
      <c r="R623" s="34">
        <f>H623*P623*Settings!$B$13</f>
        <v>0</v>
      </c>
      <c r="S623" s="34">
        <f>J623*P623*(Settings!$B$14-1)</f>
        <v>0</v>
      </c>
      <c r="T623" s="34">
        <f>K623*P623*(Settings!$B$15-1)</f>
        <v>0</v>
      </c>
      <c r="U623" s="34">
        <f t="shared" si="39"/>
        <v>0</v>
      </c>
      <c r="V623" s="26" t="str">
        <f>Auto_Roster!O623</f>
        <v>Pending</v>
      </c>
      <c r="W623" s="26" t="e">
        <f ca="1">_xludf.TEXTJOIN("; ",TRUE,Auto_Roster!N623,IF(G623&gt;Settings!$B$19,"Approval required &gt; standard hours",""),IF(AND(F623&lt;&gt;"Off",G623=0),"Missing claimed hours",""))</f>
        <v>#NAME?</v>
      </c>
      <c r="X623" s="7"/>
    </row>
  </sheetData>
  <mergeCells count="1">
    <mergeCell ref="A1:X1"/>
  </mergeCells>
  <conditionalFormatting sqref="W4:W623">
    <cfRule type="expression" dxfId="1" priority="1">
      <formula>LEN(W4)&gt;0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5"/>
  <sheetViews>
    <sheetView showGridLines="0" tabSelected="1" workbookViewId="0">
      <pane ySplit="3" topLeftCell="A4" activePane="bottomLeft" state="frozen"/>
      <selection pane="bottomLeft" activeCell="E11" sqref="E11"/>
    </sheetView>
  </sheetViews>
  <sheetFormatPr defaultRowHeight="14.5" x14ac:dyDescent="0.35"/>
  <cols>
    <col min="1" max="1" width="14" customWidth="1"/>
    <col min="2" max="2" width="24" customWidth="1"/>
    <col min="3" max="4" width="13" customWidth="1"/>
    <col min="5" max="5" width="14" customWidth="1"/>
    <col min="6" max="6" width="13" customWidth="1"/>
    <col min="7" max="7" width="14" customWidth="1"/>
    <col min="8" max="8" width="16" customWidth="1"/>
    <col min="9" max="12" width="14" customWidth="1"/>
  </cols>
  <sheetData>
    <row r="1" spans="1:12" x14ac:dyDescent="0.35">
      <c r="A1" s="20" t="s">
        <v>130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2" t="s">
        <v>131</v>
      </c>
      <c r="B3" s="18">
        <f>Settings!B6</f>
        <v>46143</v>
      </c>
      <c r="C3" s="2" t="s">
        <v>132</v>
      </c>
      <c r="D3" s="18">
        <f>Settings!B6+Settings!B7-1</f>
        <v>46173</v>
      </c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9" x14ac:dyDescent="0.35">
      <c r="A5" s="14" t="s">
        <v>41</v>
      </c>
      <c r="B5" s="14" t="s">
        <v>42</v>
      </c>
      <c r="C5" s="14" t="s">
        <v>133</v>
      </c>
      <c r="D5" s="14" t="s">
        <v>118</v>
      </c>
      <c r="E5" s="14" t="s">
        <v>117</v>
      </c>
      <c r="F5" s="14" t="s">
        <v>134</v>
      </c>
      <c r="G5" s="14" t="s">
        <v>128</v>
      </c>
      <c r="H5" s="14" t="s">
        <v>109</v>
      </c>
      <c r="I5" s="14" t="s">
        <v>135</v>
      </c>
      <c r="J5" s="14" t="s">
        <v>136</v>
      </c>
      <c r="K5" s="14" t="s">
        <v>137</v>
      </c>
      <c r="L5" s="14" t="s">
        <v>138</v>
      </c>
    </row>
    <row r="6" spans="1:12" x14ac:dyDescent="0.35">
      <c r="A6" s="2" t="str">
        <f>Employees!A4</f>
        <v>E001</v>
      </c>
      <c r="B6" s="2" t="str">
        <f>Employees!B4</f>
        <v>Musiwa Khavalani</v>
      </c>
      <c r="C6" s="16" t="e">
        <f>SUMIFS(Claims!$G:$G,Claims!$C:$C,$A6)</f>
        <v>#N/A</v>
      </c>
      <c r="D6" s="16" t="e">
        <f>SUMIFS(Claims!$I:$I,Claims!$C:$C,$A6)</f>
        <v>#N/A</v>
      </c>
      <c r="E6" s="16" t="e">
        <f>SUMIFS(Claims!$H:$H,Claims!$C:$C,$A6)</f>
        <v>#N/A</v>
      </c>
      <c r="F6" s="16">
        <f>COUNTIFS(Claims!$C:$C,$A6,Claims!$L:$L,"Y")</f>
        <v>0</v>
      </c>
      <c r="G6" s="17" t="e">
        <f>SUMIFS(Claims!$U:$U,Claims!$C:$C,$A6)</f>
        <v>#N/A</v>
      </c>
      <c r="H6" s="16">
        <f ca="1">COUNTIFS(Claims!$C:$C,$A6,Claims!$W:$W,"?*")</f>
        <v>0</v>
      </c>
      <c r="I6" s="17">
        <f>SUMIFS(Claims!$U:$U,Claims!$C:$C,$A6,Claims!$V:$V,"Approved")</f>
        <v>0</v>
      </c>
      <c r="J6" s="17" t="e">
        <f>SUMIFS(Claims!$U:$U,Claims!$C:$C,$A6,Claims!$V:$V,"Pending")</f>
        <v>#N/A</v>
      </c>
      <c r="K6" s="17">
        <f>SUMIFS(Claims!$U:$U,Claims!$C:$C,$A6,Claims!$V:$V,"Rejected")</f>
        <v>0</v>
      </c>
      <c r="L6" s="17">
        <f>SUMIFS(Claims!$U:$U,Claims!$C:$C,$A6,Claims!$V:$V,"Paid")</f>
        <v>0</v>
      </c>
    </row>
    <row r="7" spans="1:12" x14ac:dyDescent="0.35">
      <c r="A7" s="2" t="str">
        <f>Employees!A5</f>
        <v>E002</v>
      </c>
      <c r="B7" s="2" t="str">
        <f>Employees!B5</f>
        <v>Mpho  Nembemhia</v>
      </c>
      <c r="C7" s="16">
        <f>SUMIFS(Claims!$G:$G,Claims!$C:$C,$A7)</f>
        <v>184</v>
      </c>
      <c r="D7" s="16">
        <f>SUMIFS(Claims!$I:$I,Claims!$C:$C,$A7)</f>
        <v>184</v>
      </c>
      <c r="E7" s="16">
        <f>SUMIFS(Claims!$H:$H,Claims!$C:$C,$A7)</f>
        <v>0</v>
      </c>
      <c r="F7" s="16">
        <f>COUNTIFS(Claims!$C:$C,$A7,Claims!$L:$L,"Y")</f>
        <v>0</v>
      </c>
      <c r="G7" s="17">
        <f>SUMIFS(Claims!$U:$U,Claims!$C:$C,$A7)</f>
        <v>21600</v>
      </c>
      <c r="H7" s="16">
        <f ca="1">COUNTIFS(Claims!$C:$C,$A7,Claims!$W:$W,"?*")</f>
        <v>0</v>
      </c>
      <c r="I7" s="17">
        <f>SUMIFS(Claims!$U:$U,Claims!$C:$C,$A7,Claims!$V:$V,"Approved")</f>
        <v>0</v>
      </c>
      <c r="J7" s="17">
        <f>SUMIFS(Claims!$U:$U,Claims!$C:$C,$A7,Claims!$V:$V,"Pending")</f>
        <v>21600</v>
      </c>
      <c r="K7" s="17">
        <f>SUMIFS(Claims!$U:$U,Claims!$C:$C,$A7,Claims!$V:$V,"Rejected")</f>
        <v>0</v>
      </c>
      <c r="L7" s="17">
        <f>SUMIFS(Claims!$U:$U,Claims!$C:$C,$A7,Claims!$V:$V,"Paid")</f>
        <v>0</v>
      </c>
    </row>
    <row r="8" spans="1:12" x14ac:dyDescent="0.35">
      <c r="A8" s="2" t="str">
        <f>Employees!A6</f>
        <v>E003</v>
      </c>
      <c r="B8" s="2" t="str">
        <f>Employees!B6</f>
        <v>Dimpho Makhafola</v>
      </c>
      <c r="C8" s="16">
        <f>SUMIFS(Claims!$G:$G,Claims!$C:$C,$A8)</f>
        <v>184</v>
      </c>
      <c r="D8" s="16">
        <f>SUMIFS(Claims!$I:$I,Claims!$C:$C,$A8)</f>
        <v>184</v>
      </c>
      <c r="E8" s="16">
        <f>SUMIFS(Claims!$H:$H,Claims!$C:$C,$A8)</f>
        <v>0</v>
      </c>
      <c r="F8" s="16">
        <f>COUNTIFS(Claims!$C:$C,$A8,Claims!$L:$L,"Y")</f>
        <v>0</v>
      </c>
      <c r="G8" s="17">
        <f>SUMIFS(Claims!$U:$U,Claims!$C:$C,$A8)</f>
        <v>22400</v>
      </c>
      <c r="H8" s="16">
        <f ca="1">COUNTIFS(Claims!$C:$C,$A8,Claims!$W:$W,"?*")</f>
        <v>0</v>
      </c>
      <c r="I8" s="17">
        <f>SUMIFS(Claims!$U:$U,Claims!$C:$C,$A8,Claims!$V:$V,"Approved")</f>
        <v>0</v>
      </c>
      <c r="J8" s="17">
        <f>SUMIFS(Claims!$U:$U,Claims!$C:$C,$A8,Claims!$V:$V,"Pending")</f>
        <v>22400</v>
      </c>
      <c r="K8" s="17">
        <f>SUMIFS(Claims!$U:$U,Claims!$C:$C,$A8,Claims!$V:$V,"Rejected")</f>
        <v>0</v>
      </c>
      <c r="L8" s="17">
        <f>SUMIFS(Claims!$U:$U,Claims!$C:$C,$A8,Claims!$V:$V,"Paid")</f>
        <v>0</v>
      </c>
    </row>
    <row r="9" spans="1:12" x14ac:dyDescent="0.35">
      <c r="A9" s="2" t="str">
        <f>Employees!A7</f>
        <v>E004</v>
      </c>
      <c r="B9" s="2" t="str">
        <f>Employees!B7</f>
        <v>Bashii Fall</v>
      </c>
      <c r="C9" s="16">
        <f>SUMIFS(Claims!$G:$G,Claims!$C:$C,$A9)</f>
        <v>184</v>
      </c>
      <c r="D9" s="16">
        <f>SUMIFS(Claims!$I:$I,Claims!$C:$C,$A9)</f>
        <v>184</v>
      </c>
      <c r="E9" s="16">
        <f>SUMIFS(Claims!$H:$H,Claims!$C:$C,$A9)</f>
        <v>0</v>
      </c>
      <c r="F9" s="16">
        <f>COUNTIFS(Claims!$C:$C,$A9,Claims!$L:$L,"Y")</f>
        <v>0</v>
      </c>
      <c r="G9" s="17">
        <f>SUMIFS(Claims!$U:$U,Claims!$C:$C,$A9)</f>
        <v>21600</v>
      </c>
      <c r="H9" s="16">
        <f ca="1">COUNTIFS(Claims!$C:$C,$A9,Claims!$W:$W,"?*")</f>
        <v>0</v>
      </c>
      <c r="I9" s="17">
        <f>SUMIFS(Claims!$U:$U,Claims!$C:$C,$A9,Claims!$V:$V,"Approved")</f>
        <v>0</v>
      </c>
      <c r="J9" s="17">
        <f>SUMIFS(Claims!$U:$U,Claims!$C:$C,$A9,Claims!$V:$V,"Pending")</f>
        <v>21600</v>
      </c>
      <c r="K9" s="17">
        <f>SUMIFS(Claims!$U:$U,Claims!$C:$C,$A9,Claims!$V:$V,"Rejected")</f>
        <v>0</v>
      </c>
      <c r="L9" s="17">
        <f>SUMIFS(Claims!$U:$U,Claims!$C:$C,$A9,Claims!$V:$V,"Paid")</f>
        <v>0</v>
      </c>
    </row>
    <row r="10" spans="1:12" x14ac:dyDescent="0.35">
      <c r="A10" s="2" t="str">
        <f>Employees!A8</f>
        <v>E005</v>
      </c>
      <c r="B10" s="2" t="str">
        <f>Employees!B8</f>
        <v>Lesego Aphane</v>
      </c>
      <c r="C10" s="16">
        <f>SUMIFS(Claims!$G:$G,Claims!$C:$C,$A10)</f>
        <v>192</v>
      </c>
      <c r="D10" s="16">
        <f>SUMIFS(Claims!$I:$I,Claims!$C:$C,$A10)</f>
        <v>192</v>
      </c>
      <c r="E10" s="16">
        <f>SUMIFS(Claims!$H:$H,Claims!$C:$C,$A10)</f>
        <v>0</v>
      </c>
      <c r="F10" s="16">
        <f>COUNTIFS(Claims!$C:$C,$A10,Claims!$L:$L,"Y")</f>
        <v>0</v>
      </c>
      <c r="G10" s="17">
        <f>SUMIFS(Claims!$U:$U,Claims!$C:$C,$A10)</f>
        <v>23200</v>
      </c>
      <c r="H10" s="16">
        <f ca="1">COUNTIFS(Claims!$C:$C,$A10,Claims!$W:$W,"?*")</f>
        <v>0</v>
      </c>
      <c r="I10" s="17">
        <f>SUMIFS(Claims!$U:$U,Claims!$C:$C,$A10,Claims!$V:$V,"Approved")</f>
        <v>0</v>
      </c>
      <c r="J10" s="17">
        <f>SUMIFS(Claims!$U:$U,Claims!$C:$C,$A10,Claims!$V:$V,"Pending")</f>
        <v>23200</v>
      </c>
      <c r="K10" s="17">
        <f>SUMIFS(Claims!$U:$U,Claims!$C:$C,$A10,Claims!$V:$V,"Rejected")</f>
        <v>0</v>
      </c>
      <c r="L10" s="17">
        <f>SUMIFS(Claims!$U:$U,Claims!$C:$C,$A10,Claims!$V:$V,"Paid")</f>
        <v>0</v>
      </c>
    </row>
    <row r="11" spans="1:12" x14ac:dyDescent="0.35">
      <c r="A11" s="2" t="str">
        <f>Employees!A9</f>
        <v>E006</v>
      </c>
      <c r="B11" s="2" t="str">
        <f>Employees!B9</f>
        <v>Nhalnahla</v>
      </c>
      <c r="C11" s="16">
        <f>SUMIFS(Claims!$G:$G,Claims!$C:$C,$A11)</f>
        <v>184</v>
      </c>
      <c r="D11" s="16">
        <f>SUMIFS(Claims!$I:$I,Claims!$C:$C,$A11)</f>
        <v>184</v>
      </c>
      <c r="E11" s="16">
        <f>SUMIFS(Claims!$H:$H,Claims!$C:$C,$A11)</f>
        <v>0</v>
      </c>
      <c r="F11" s="16">
        <f>COUNTIFS(Claims!$C:$C,$A11,Claims!$L:$L,"Y")</f>
        <v>0</v>
      </c>
      <c r="G11" s="17">
        <f>SUMIFS(Claims!$U:$U,Claims!$C:$C,$A11)</f>
        <v>21600</v>
      </c>
      <c r="H11" s="16">
        <f ca="1">COUNTIFS(Claims!$C:$C,$A11,Claims!$W:$W,"?*")</f>
        <v>0</v>
      </c>
      <c r="I11" s="17">
        <f>SUMIFS(Claims!$U:$U,Claims!$C:$C,$A11,Claims!$V:$V,"Approved")</f>
        <v>0</v>
      </c>
      <c r="J11" s="17">
        <f>SUMIFS(Claims!$U:$U,Claims!$C:$C,$A11,Claims!$V:$V,"Pending")</f>
        <v>21600</v>
      </c>
      <c r="K11" s="17">
        <f>SUMIFS(Claims!$U:$U,Claims!$C:$C,$A11,Claims!$V:$V,"Rejected")</f>
        <v>0</v>
      </c>
      <c r="L11" s="17">
        <f>SUMIFS(Claims!$U:$U,Claims!$C:$C,$A11,Claims!$V:$V,"Paid")</f>
        <v>0</v>
      </c>
    </row>
    <row r="12" spans="1:12" x14ac:dyDescent="0.35">
      <c r="A12" s="2" t="str">
        <f>Employees!A10</f>
        <v>E007</v>
      </c>
      <c r="B12" s="2" t="str">
        <f>Employees!B10</f>
        <v>Joe</v>
      </c>
      <c r="C12" s="16">
        <f>SUMIFS(Claims!$G:$G,Claims!$C:$C,$A12)</f>
        <v>184</v>
      </c>
      <c r="D12" s="16">
        <f>SUMIFS(Claims!$I:$I,Claims!$C:$C,$A12)</f>
        <v>184</v>
      </c>
      <c r="E12" s="16">
        <f>SUMIFS(Claims!$H:$H,Claims!$C:$C,$A12)</f>
        <v>0</v>
      </c>
      <c r="F12" s="16">
        <f>COUNTIFS(Claims!$C:$C,$A12,Claims!$L:$L,"Y")</f>
        <v>0</v>
      </c>
      <c r="G12" s="17">
        <f>SUMIFS(Claims!$U:$U,Claims!$C:$C,$A12)</f>
        <v>22400</v>
      </c>
      <c r="H12" s="16">
        <f ca="1">COUNTIFS(Claims!$C:$C,$A12,Claims!$W:$W,"?*")</f>
        <v>0</v>
      </c>
      <c r="I12" s="17">
        <f>SUMIFS(Claims!$U:$U,Claims!$C:$C,$A12,Claims!$V:$V,"Approved")</f>
        <v>0</v>
      </c>
      <c r="J12" s="17">
        <f>SUMIFS(Claims!$U:$U,Claims!$C:$C,$A12,Claims!$V:$V,"Pending")</f>
        <v>22400</v>
      </c>
      <c r="K12" s="17">
        <f>SUMIFS(Claims!$U:$U,Claims!$C:$C,$A12,Claims!$V:$V,"Rejected")</f>
        <v>0</v>
      </c>
      <c r="L12" s="17">
        <f>SUMIFS(Claims!$U:$U,Claims!$C:$C,$A12,Claims!$V:$V,"Paid")</f>
        <v>0</v>
      </c>
    </row>
    <row r="13" spans="1:12" x14ac:dyDescent="0.35">
      <c r="A13" s="2" t="str">
        <f>Employees!A11</f>
        <v>E008</v>
      </c>
      <c r="B13" s="2" t="str">
        <f>Employees!B11</f>
        <v>Tim</v>
      </c>
      <c r="C13" s="16">
        <f>SUMIFS(Claims!$G:$G,Claims!$C:$C,$A13)</f>
        <v>184</v>
      </c>
      <c r="D13" s="16">
        <f>SUMIFS(Claims!$I:$I,Claims!$C:$C,$A13)</f>
        <v>184</v>
      </c>
      <c r="E13" s="16">
        <f>SUMIFS(Claims!$H:$H,Claims!$C:$C,$A13)</f>
        <v>0</v>
      </c>
      <c r="F13" s="16">
        <f>COUNTIFS(Claims!$C:$C,$A13,Claims!$L:$L,"Y")</f>
        <v>0</v>
      </c>
      <c r="G13" s="17">
        <f>SUMIFS(Claims!$U:$U,Claims!$C:$C,$A13)</f>
        <v>21600</v>
      </c>
      <c r="H13" s="16">
        <f ca="1">COUNTIFS(Claims!$C:$C,$A13,Claims!$W:$W,"?*")</f>
        <v>0</v>
      </c>
      <c r="I13" s="17">
        <f>SUMIFS(Claims!$U:$U,Claims!$C:$C,$A13,Claims!$V:$V,"Approved")</f>
        <v>0</v>
      </c>
      <c r="J13" s="17">
        <f>SUMIFS(Claims!$U:$U,Claims!$C:$C,$A13,Claims!$V:$V,"Pending")</f>
        <v>21600</v>
      </c>
      <c r="K13" s="17">
        <f>SUMIFS(Claims!$U:$U,Claims!$C:$C,$A13,Claims!$V:$V,"Rejected")</f>
        <v>0</v>
      </c>
      <c r="L13" s="17">
        <f>SUMIFS(Claims!$U:$U,Claims!$C:$C,$A13,Claims!$V:$V,"Paid")</f>
        <v>0</v>
      </c>
    </row>
    <row r="14" spans="1:12" x14ac:dyDescent="0.35">
      <c r="A14" s="2" t="str">
        <f>Employees!A12</f>
        <v>E009</v>
      </c>
      <c r="B14" s="2" t="str">
        <f>Employees!B12</f>
        <v>Frank</v>
      </c>
      <c r="C14" s="16">
        <f>SUMIFS(Claims!$G:$G,Claims!$C:$C,$A14)</f>
        <v>192</v>
      </c>
      <c r="D14" s="16">
        <f>SUMIFS(Claims!$I:$I,Claims!$C:$C,$A14)</f>
        <v>192</v>
      </c>
      <c r="E14" s="16">
        <f>SUMIFS(Claims!$H:$H,Claims!$C:$C,$A14)</f>
        <v>0</v>
      </c>
      <c r="F14" s="16">
        <f>COUNTIFS(Claims!$C:$C,$A14,Claims!$L:$L,"Y")</f>
        <v>0</v>
      </c>
      <c r="G14" s="17">
        <f>SUMIFS(Claims!$U:$U,Claims!$C:$C,$A14)</f>
        <v>23200</v>
      </c>
      <c r="H14" s="16">
        <f ca="1">COUNTIFS(Claims!$C:$C,$A14,Claims!$W:$W,"?*")</f>
        <v>0</v>
      </c>
      <c r="I14" s="17">
        <f>SUMIFS(Claims!$U:$U,Claims!$C:$C,$A14,Claims!$V:$V,"Approved")</f>
        <v>0</v>
      </c>
      <c r="J14" s="17">
        <f>SUMIFS(Claims!$U:$U,Claims!$C:$C,$A14,Claims!$V:$V,"Pending")</f>
        <v>23200</v>
      </c>
      <c r="K14" s="17">
        <f>SUMIFS(Claims!$U:$U,Claims!$C:$C,$A14,Claims!$V:$V,"Rejected")</f>
        <v>0</v>
      </c>
      <c r="L14" s="17">
        <f>SUMIFS(Claims!$U:$U,Claims!$C:$C,$A14,Claims!$V:$V,"Paid")</f>
        <v>0</v>
      </c>
    </row>
    <row r="15" spans="1:12" x14ac:dyDescent="0.35">
      <c r="A15" s="2">
        <f>Employees!A13</f>
        <v>0</v>
      </c>
      <c r="B15" s="2">
        <f>Employees!B13</f>
        <v>0</v>
      </c>
      <c r="C15" s="16">
        <f>SUMIFS(Claims!$G:$G,Claims!$C:$C,$A15)</f>
        <v>0</v>
      </c>
      <c r="D15" s="16">
        <f>SUMIFS(Claims!$I:$I,Claims!$C:$C,$A15)</f>
        <v>0</v>
      </c>
      <c r="E15" s="16">
        <f>SUMIFS(Claims!$H:$H,Claims!$C:$C,$A15)</f>
        <v>0</v>
      </c>
      <c r="F15" s="16">
        <f>COUNTIFS(Claims!$C:$C,$A15,Claims!$L:$L,"Y")</f>
        <v>0</v>
      </c>
      <c r="G15" s="17">
        <f>SUMIFS(Claims!$U:$U,Claims!$C:$C,$A15)</f>
        <v>0</v>
      </c>
      <c r="H15" s="16">
        <f>COUNTIFS(Claims!$C:$C,$A15,Claims!$W:$W,"?*")</f>
        <v>0</v>
      </c>
      <c r="I15" s="17">
        <f>SUMIFS(Claims!$U:$U,Claims!$C:$C,$A15,Claims!$V:$V,"Approved")</f>
        <v>0</v>
      </c>
      <c r="J15" s="17">
        <f>SUMIFS(Claims!$U:$U,Claims!$C:$C,$A15,Claims!$V:$V,"Pending")</f>
        <v>0</v>
      </c>
      <c r="K15" s="17">
        <f>SUMIFS(Claims!$U:$U,Claims!$C:$C,$A15,Claims!$V:$V,"Rejected")</f>
        <v>0</v>
      </c>
      <c r="L15" s="17">
        <f>SUMIFS(Claims!$U:$U,Claims!$C:$C,$A15,Claims!$V:$V,"Paid")</f>
        <v>0</v>
      </c>
    </row>
    <row r="16" spans="1:12" x14ac:dyDescent="0.35">
      <c r="A16" s="2">
        <f>Employees!A14</f>
        <v>0</v>
      </c>
      <c r="B16" s="2">
        <f>Employees!B14</f>
        <v>0</v>
      </c>
      <c r="C16" s="16">
        <f>SUMIFS(Claims!$G:$G,Claims!$C:$C,$A16)</f>
        <v>0</v>
      </c>
      <c r="D16" s="16">
        <f>SUMIFS(Claims!$I:$I,Claims!$C:$C,$A16)</f>
        <v>0</v>
      </c>
      <c r="E16" s="16">
        <f>SUMIFS(Claims!$H:$H,Claims!$C:$C,$A16)</f>
        <v>0</v>
      </c>
      <c r="F16" s="16">
        <f>COUNTIFS(Claims!$C:$C,$A16,Claims!$L:$L,"Y")</f>
        <v>0</v>
      </c>
      <c r="G16" s="17">
        <f>SUMIFS(Claims!$U:$U,Claims!$C:$C,$A16)</f>
        <v>0</v>
      </c>
      <c r="H16" s="16">
        <f>COUNTIFS(Claims!$C:$C,$A16,Claims!$W:$W,"?*")</f>
        <v>0</v>
      </c>
      <c r="I16" s="17">
        <f>SUMIFS(Claims!$U:$U,Claims!$C:$C,$A16,Claims!$V:$V,"Approved")</f>
        <v>0</v>
      </c>
      <c r="J16" s="17">
        <f>SUMIFS(Claims!$U:$U,Claims!$C:$C,$A16,Claims!$V:$V,"Pending")</f>
        <v>0</v>
      </c>
      <c r="K16" s="17">
        <f>SUMIFS(Claims!$U:$U,Claims!$C:$C,$A16,Claims!$V:$V,"Rejected")</f>
        <v>0</v>
      </c>
      <c r="L16" s="17">
        <f>SUMIFS(Claims!$U:$U,Claims!$C:$C,$A16,Claims!$V:$V,"Paid")</f>
        <v>0</v>
      </c>
    </row>
    <row r="17" spans="1:12" x14ac:dyDescent="0.35">
      <c r="A17" s="2">
        <f>Employees!A15</f>
        <v>0</v>
      </c>
      <c r="B17" s="2">
        <f>Employees!B15</f>
        <v>0</v>
      </c>
      <c r="C17" s="16">
        <f>SUMIFS(Claims!$G:$G,Claims!$C:$C,$A17)</f>
        <v>0</v>
      </c>
      <c r="D17" s="16">
        <f>SUMIFS(Claims!$I:$I,Claims!$C:$C,$A17)</f>
        <v>0</v>
      </c>
      <c r="E17" s="16">
        <f>SUMIFS(Claims!$H:$H,Claims!$C:$C,$A17)</f>
        <v>0</v>
      </c>
      <c r="F17" s="16">
        <f>COUNTIFS(Claims!$C:$C,$A17,Claims!$L:$L,"Y")</f>
        <v>0</v>
      </c>
      <c r="G17" s="17">
        <f>SUMIFS(Claims!$U:$U,Claims!$C:$C,$A17)</f>
        <v>0</v>
      </c>
      <c r="H17" s="16">
        <f>COUNTIFS(Claims!$C:$C,$A17,Claims!$W:$W,"?*")</f>
        <v>0</v>
      </c>
      <c r="I17" s="17">
        <f>SUMIFS(Claims!$U:$U,Claims!$C:$C,$A17,Claims!$V:$V,"Approved")</f>
        <v>0</v>
      </c>
      <c r="J17" s="17">
        <f>SUMIFS(Claims!$U:$U,Claims!$C:$C,$A17,Claims!$V:$V,"Pending")</f>
        <v>0</v>
      </c>
      <c r="K17" s="17">
        <f>SUMIFS(Claims!$U:$U,Claims!$C:$C,$A17,Claims!$V:$V,"Rejected")</f>
        <v>0</v>
      </c>
      <c r="L17" s="17">
        <f>SUMIFS(Claims!$U:$U,Claims!$C:$C,$A17,Claims!$V:$V,"Paid")</f>
        <v>0</v>
      </c>
    </row>
    <row r="18" spans="1:12" x14ac:dyDescent="0.35">
      <c r="A18" s="2">
        <f>Employees!A16</f>
        <v>0</v>
      </c>
      <c r="B18" s="2">
        <f>Employees!B16</f>
        <v>0</v>
      </c>
      <c r="C18" s="16">
        <f>SUMIFS(Claims!$G:$G,Claims!$C:$C,$A18)</f>
        <v>0</v>
      </c>
      <c r="D18" s="16">
        <f>SUMIFS(Claims!$I:$I,Claims!$C:$C,$A18)</f>
        <v>0</v>
      </c>
      <c r="E18" s="16">
        <f>SUMIFS(Claims!$H:$H,Claims!$C:$C,$A18)</f>
        <v>0</v>
      </c>
      <c r="F18" s="16">
        <f>COUNTIFS(Claims!$C:$C,$A18,Claims!$L:$L,"Y")</f>
        <v>0</v>
      </c>
      <c r="G18" s="17">
        <f>SUMIFS(Claims!$U:$U,Claims!$C:$C,$A18)</f>
        <v>0</v>
      </c>
      <c r="H18" s="16">
        <f>COUNTIFS(Claims!$C:$C,$A18,Claims!$W:$W,"?*")</f>
        <v>0</v>
      </c>
      <c r="I18" s="17">
        <f>SUMIFS(Claims!$U:$U,Claims!$C:$C,$A18,Claims!$V:$V,"Approved")</f>
        <v>0</v>
      </c>
      <c r="J18" s="17">
        <f>SUMIFS(Claims!$U:$U,Claims!$C:$C,$A18,Claims!$V:$V,"Pending")</f>
        <v>0</v>
      </c>
      <c r="K18" s="17">
        <f>SUMIFS(Claims!$U:$U,Claims!$C:$C,$A18,Claims!$V:$V,"Rejected")</f>
        <v>0</v>
      </c>
      <c r="L18" s="17">
        <f>SUMIFS(Claims!$U:$U,Claims!$C:$C,$A18,Claims!$V:$V,"Paid")</f>
        <v>0</v>
      </c>
    </row>
    <row r="19" spans="1:12" x14ac:dyDescent="0.35">
      <c r="A19" s="2">
        <f>Employees!A17</f>
        <v>0</v>
      </c>
      <c r="B19" s="2">
        <f>Employees!B17</f>
        <v>0</v>
      </c>
      <c r="C19" s="16">
        <f>SUMIFS(Claims!$G:$G,Claims!$C:$C,$A19)</f>
        <v>0</v>
      </c>
      <c r="D19" s="16">
        <f>SUMIFS(Claims!$I:$I,Claims!$C:$C,$A19)</f>
        <v>0</v>
      </c>
      <c r="E19" s="16">
        <f>SUMIFS(Claims!$H:$H,Claims!$C:$C,$A19)</f>
        <v>0</v>
      </c>
      <c r="F19" s="16">
        <f>COUNTIFS(Claims!$C:$C,$A19,Claims!$L:$L,"Y")</f>
        <v>0</v>
      </c>
      <c r="G19" s="17">
        <f>SUMIFS(Claims!$U:$U,Claims!$C:$C,$A19)</f>
        <v>0</v>
      </c>
      <c r="H19" s="16">
        <f>COUNTIFS(Claims!$C:$C,$A19,Claims!$W:$W,"?*")</f>
        <v>0</v>
      </c>
      <c r="I19" s="17">
        <f>SUMIFS(Claims!$U:$U,Claims!$C:$C,$A19,Claims!$V:$V,"Approved")</f>
        <v>0</v>
      </c>
      <c r="J19" s="17">
        <f>SUMIFS(Claims!$U:$U,Claims!$C:$C,$A19,Claims!$V:$V,"Pending")</f>
        <v>0</v>
      </c>
      <c r="K19" s="17">
        <f>SUMIFS(Claims!$U:$U,Claims!$C:$C,$A19,Claims!$V:$V,"Rejected")</f>
        <v>0</v>
      </c>
      <c r="L19" s="17">
        <f>SUMIFS(Claims!$U:$U,Claims!$C:$C,$A19,Claims!$V:$V,"Paid")</f>
        <v>0</v>
      </c>
    </row>
    <row r="20" spans="1:12" x14ac:dyDescent="0.35">
      <c r="A20" s="2">
        <f>Employees!A18</f>
        <v>0</v>
      </c>
      <c r="B20" s="2">
        <f>Employees!B18</f>
        <v>0</v>
      </c>
      <c r="C20" s="16">
        <f>SUMIFS(Claims!$G:$G,Claims!$C:$C,$A20)</f>
        <v>0</v>
      </c>
      <c r="D20" s="16">
        <f>SUMIFS(Claims!$I:$I,Claims!$C:$C,$A20)</f>
        <v>0</v>
      </c>
      <c r="E20" s="16">
        <f>SUMIFS(Claims!$H:$H,Claims!$C:$C,$A20)</f>
        <v>0</v>
      </c>
      <c r="F20" s="16">
        <f>COUNTIFS(Claims!$C:$C,$A20,Claims!$L:$L,"Y")</f>
        <v>0</v>
      </c>
      <c r="G20" s="17">
        <f>SUMIFS(Claims!$U:$U,Claims!$C:$C,$A20)</f>
        <v>0</v>
      </c>
      <c r="H20" s="16">
        <f>COUNTIFS(Claims!$C:$C,$A20,Claims!$W:$W,"?*")</f>
        <v>0</v>
      </c>
      <c r="I20" s="17">
        <f>SUMIFS(Claims!$U:$U,Claims!$C:$C,$A20,Claims!$V:$V,"Approved")</f>
        <v>0</v>
      </c>
      <c r="J20" s="17">
        <f>SUMIFS(Claims!$U:$U,Claims!$C:$C,$A20,Claims!$V:$V,"Pending")</f>
        <v>0</v>
      </c>
      <c r="K20" s="17">
        <f>SUMIFS(Claims!$U:$U,Claims!$C:$C,$A20,Claims!$V:$V,"Rejected")</f>
        <v>0</v>
      </c>
      <c r="L20" s="17">
        <f>SUMIFS(Claims!$U:$U,Claims!$C:$C,$A20,Claims!$V:$V,"Paid")</f>
        <v>0</v>
      </c>
    </row>
    <row r="21" spans="1:12" x14ac:dyDescent="0.35">
      <c r="A21" s="2">
        <f>Employees!A19</f>
        <v>0</v>
      </c>
      <c r="B21" s="2">
        <f>Employees!B19</f>
        <v>0</v>
      </c>
      <c r="C21" s="16">
        <f>SUMIFS(Claims!$G:$G,Claims!$C:$C,$A21)</f>
        <v>0</v>
      </c>
      <c r="D21" s="16">
        <f>SUMIFS(Claims!$I:$I,Claims!$C:$C,$A21)</f>
        <v>0</v>
      </c>
      <c r="E21" s="16">
        <f>SUMIFS(Claims!$H:$H,Claims!$C:$C,$A21)</f>
        <v>0</v>
      </c>
      <c r="F21" s="16">
        <f>COUNTIFS(Claims!$C:$C,$A21,Claims!$L:$L,"Y")</f>
        <v>0</v>
      </c>
      <c r="G21" s="17">
        <f>SUMIFS(Claims!$U:$U,Claims!$C:$C,$A21)</f>
        <v>0</v>
      </c>
      <c r="H21" s="16">
        <f>COUNTIFS(Claims!$C:$C,$A21,Claims!$W:$W,"?*")</f>
        <v>0</v>
      </c>
      <c r="I21" s="17">
        <f>SUMIFS(Claims!$U:$U,Claims!$C:$C,$A21,Claims!$V:$V,"Approved")</f>
        <v>0</v>
      </c>
      <c r="J21" s="17">
        <f>SUMIFS(Claims!$U:$U,Claims!$C:$C,$A21,Claims!$V:$V,"Pending")</f>
        <v>0</v>
      </c>
      <c r="K21" s="17">
        <f>SUMIFS(Claims!$U:$U,Claims!$C:$C,$A21,Claims!$V:$V,"Rejected")</f>
        <v>0</v>
      </c>
      <c r="L21" s="17">
        <f>SUMIFS(Claims!$U:$U,Claims!$C:$C,$A21,Claims!$V:$V,"Paid")</f>
        <v>0</v>
      </c>
    </row>
    <row r="22" spans="1:12" x14ac:dyDescent="0.35">
      <c r="A22" s="2">
        <f>Employees!A20</f>
        <v>0</v>
      </c>
      <c r="B22" s="2">
        <f>Employees!B20</f>
        <v>0</v>
      </c>
      <c r="C22" s="16">
        <f>SUMIFS(Claims!$G:$G,Claims!$C:$C,$A22)</f>
        <v>0</v>
      </c>
      <c r="D22" s="16">
        <f>SUMIFS(Claims!$I:$I,Claims!$C:$C,$A22)</f>
        <v>0</v>
      </c>
      <c r="E22" s="16">
        <f>SUMIFS(Claims!$H:$H,Claims!$C:$C,$A22)</f>
        <v>0</v>
      </c>
      <c r="F22" s="16">
        <f>COUNTIFS(Claims!$C:$C,$A22,Claims!$L:$L,"Y")</f>
        <v>0</v>
      </c>
      <c r="G22" s="17">
        <f>SUMIFS(Claims!$U:$U,Claims!$C:$C,$A22)</f>
        <v>0</v>
      </c>
      <c r="H22" s="16">
        <f>COUNTIFS(Claims!$C:$C,$A22,Claims!$W:$W,"?*")</f>
        <v>0</v>
      </c>
      <c r="I22" s="17">
        <f>SUMIFS(Claims!$U:$U,Claims!$C:$C,$A22,Claims!$V:$V,"Approved")</f>
        <v>0</v>
      </c>
      <c r="J22" s="17">
        <f>SUMIFS(Claims!$U:$U,Claims!$C:$C,$A22,Claims!$V:$V,"Pending")</f>
        <v>0</v>
      </c>
      <c r="K22" s="17">
        <f>SUMIFS(Claims!$U:$U,Claims!$C:$C,$A22,Claims!$V:$V,"Rejected")</f>
        <v>0</v>
      </c>
      <c r="L22" s="17">
        <f>SUMIFS(Claims!$U:$U,Claims!$C:$C,$A22,Claims!$V:$V,"Paid")</f>
        <v>0</v>
      </c>
    </row>
    <row r="23" spans="1:12" x14ac:dyDescent="0.35">
      <c r="A23" s="2">
        <f>Employees!A21</f>
        <v>0</v>
      </c>
      <c r="B23" s="2">
        <f>Employees!B21</f>
        <v>0</v>
      </c>
      <c r="C23" s="16">
        <f>SUMIFS(Claims!$G:$G,Claims!$C:$C,$A23)</f>
        <v>0</v>
      </c>
      <c r="D23" s="16">
        <f>SUMIFS(Claims!$I:$I,Claims!$C:$C,$A23)</f>
        <v>0</v>
      </c>
      <c r="E23" s="16">
        <f>SUMIFS(Claims!$H:$H,Claims!$C:$C,$A23)</f>
        <v>0</v>
      </c>
      <c r="F23" s="16">
        <f>COUNTIFS(Claims!$C:$C,$A23,Claims!$L:$L,"Y")</f>
        <v>0</v>
      </c>
      <c r="G23" s="17">
        <f>SUMIFS(Claims!$U:$U,Claims!$C:$C,$A23)</f>
        <v>0</v>
      </c>
      <c r="H23" s="16">
        <f>COUNTIFS(Claims!$C:$C,$A23,Claims!$W:$W,"?*")</f>
        <v>0</v>
      </c>
      <c r="I23" s="17">
        <f>SUMIFS(Claims!$U:$U,Claims!$C:$C,$A23,Claims!$V:$V,"Approved")</f>
        <v>0</v>
      </c>
      <c r="J23" s="17">
        <f>SUMIFS(Claims!$U:$U,Claims!$C:$C,$A23,Claims!$V:$V,"Pending")</f>
        <v>0</v>
      </c>
      <c r="K23" s="17">
        <f>SUMIFS(Claims!$U:$U,Claims!$C:$C,$A23,Claims!$V:$V,"Rejected")</f>
        <v>0</v>
      </c>
      <c r="L23" s="17">
        <f>SUMIFS(Claims!$U:$U,Claims!$C:$C,$A23,Claims!$V:$V,"Paid")</f>
        <v>0</v>
      </c>
    </row>
    <row r="24" spans="1:12" x14ac:dyDescent="0.35">
      <c r="A24" s="2">
        <f>Employees!A22</f>
        <v>0</v>
      </c>
      <c r="B24" s="2">
        <f>Employees!B22</f>
        <v>0</v>
      </c>
      <c r="C24" s="16">
        <f>SUMIFS(Claims!$G:$G,Claims!$C:$C,$A24)</f>
        <v>0</v>
      </c>
      <c r="D24" s="16">
        <f>SUMIFS(Claims!$I:$I,Claims!$C:$C,$A24)</f>
        <v>0</v>
      </c>
      <c r="E24" s="16">
        <f>SUMIFS(Claims!$H:$H,Claims!$C:$C,$A24)</f>
        <v>0</v>
      </c>
      <c r="F24" s="16">
        <f>COUNTIFS(Claims!$C:$C,$A24,Claims!$L:$L,"Y")</f>
        <v>0</v>
      </c>
      <c r="G24" s="17">
        <f>SUMIFS(Claims!$U:$U,Claims!$C:$C,$A24)</f>
        <v>0</v>
      </c>
      <c r="H24" s="16">
        <f>COUNTIFS(Claims!$C:$C,$A24,Claims!$W:$W,"?*")</f>
        <v>0</v>
      </c>
      <c r="I24" s="17">
        <f>SUMIFS(Claims!$U:$U,Claims!$C:$C,$A24,Claims!$V:$V,"Approved")</f>
        <v>0</v>
      </c>
      <c r="J24" s="17">
        <f>SUMIFS(Claims!$U:$U,Claims!$C:$C,$A24,Claims!$V:$V,"Pending")</f>
        <v>0</v>
      </c>
      <c r="K24" s="17">
        <f>SUMIFS(Claims!$U:$U,Claims!$C:$C,$A24,Claims!$V:$V,"Rejected")</f>
        <v>0</v>
      </c>
      <c r="L24" s="17">
        <f>SUMIFS(Claims!$U:$U,Claims!$C:$C,$A24,Claims!$V:$V,"Paid")</f>
        <v>0</v>
      </c>
    </row>
    <row r="25" spans="1:12" x14ac:dyDescent="0.35">
      <c r="A25" s="2">
        <f>Employees!A23</f>
        <v>0</v>
      </c>
      <c r="B25" s="2">
        <f>Employees!B23</f>
        <v>0</v>
      </c>
      <c r="C25" s="16">
        <f>SUMIFS(Claims!$G:$G,Claims!$C:$C,$A25)</f>
        <v>0</v>
      </c>
      <c r="D25" s="16">
        <f>SUMIFS(Claims!$I:$I,Claims!$C:$C,$A25)</f>
        <v>0</v>
      </c>
      <c r="E25" s="16">
        <f>SUMIFS(Claims!$H:$H,Claims!$C:$C,$A25)</f>
        <v>0</v>
      </c>
      <c r="F25" s="16">
        <f>COUNTIFS(Claims!$C:$C,$A25,Claims!$L:$L,"Y")</f>
        <v>0</v>
      </c>
      <c r="G25" s="17">
        <f>SUMIFS(Claims!$U:$U,Claims!$C:$C,$A25)</f>
        <v>0</v>
      </c>
      <c r="H25" s="16">
        <f>COUNTIFS(Claims!$C:$C,$A25,Claims!$W:$W,"?*")</f>
        <v>0</v>
      </c>
      <c r="I25" s="17">
        <f>SUMIFS(Claims!$U:$U,Claims!$C:$C,$A25,Claims!$V:$V,"Approved")</f>
        <v>0</v>
      </c>
      <c r="J25" s="17">
        <f>SUMIFS(Claims!$U:$U,Claims!$C:$C,$A25,Claims!$V:$V,"Pending")</f>
        <v>0</v>
      </c>
      <c r="K25" s="17">
        <f>SUMIFS(Claims!$U:$U,Claims!$C:$C,$A25,Claims!$V:$V,"Rejected")</f>
        <v>0</v>
      </c>
      <c r="L25" s="17">
        <f>SUMIFS(Claims!$U:$U,Claims!$C:$C,$A25,Claims!$V:$V,"Paid")</f>
        <v>0</v>
      </c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1" t="s">
        <v>139</v>
      </c>
      <c r="B29" s="11" t="s">
        <v>4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9" x14ac:dyDescent="0.35">
      <c r="A30" s="2" t="s">
        <v>140</v>
      </c>
      <c r="B30" s="17" t="e">
        <f>SUM(G6:G25)</f>
        <v>#N/A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9" x14ac:dyDescent="0.35">
      <c r="A31" s="2" t="s">
        <v>141</v>
      </c>
      <c r="B31" s="16" t="e">
        <f>SUM(E6:E25)</f>
        <v>#N/A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9" x14ac:dyDescent="0.35">
      <c r="A32" s="2" t="s">
        <v>142</v>
      </c>
      <c r="B32" s="16">
        <f>SUM(F6:F25)</f>
        <v>0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9" x14ac:dyDescent="0.35">
      <c r="A33" s="2" t="s">
        <v>143</v>
      </c>
      <c r="B33" s="16">
        <f ca="1">SUM(H6:H25)</f>
        <v>0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9" x14ac:dyDescent="0.35">
      <c r="A34" s="2" t="s">
        <v>144</v>
      </c>
      <c r="B34" s="17">
        <f>SUM(I6:I25)</f>
        <v>0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2" t="s">
        <v>145</v>
      </c>
      <c r="B35" s="17" t="e">
        <f>SUM(J6:J25)</f>
        <v>#N/A</v>
      </c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mergeCells count="1">
    <mergeCell ref="A1:L1"/>
  </mergeCells>
  <conditionalFormatting sqref="H6:H25">
    <cfRule type="cellIs" dxfId="0" priority="1" operator="greaterThan">
      <formula>0</formula>
    </cfRule>
  </conditionalFormatting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showGridLines="0"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22" customWidth="1"/>
    <col min="2" max="3" width="55" customWidth="1"/>
    <col min="4" max="4" width="85" customWidth="1"/>
  </cols>
  <sheetData>
    <row r="1" spans="1:4" x14ac:dyDescent="0.35">
      <c r="A1" s="20" t="s">
        <v>146</v>
      </c>
      <c r="B1" s="21"/>
      <c r="C1" s="21"/>
      <c r="D1" s="21"/>
    </row>
    <row r="2" spans="1:4" x14ac:dyDescent="0.35">
      <c r="A2" s="1"/>
      <c r="B2" s="1"/>
      <c r="C2" s="1"/>
      <c r="D2" s="1"/>
    </row>
    <row r="3" spans="1:4" x14ac:dyDescent="0.35">
      <c r="A3" s="19" t="s">
        <v>147</v>
      </c>
      <c r="B3" s="19" t="s">
        <v>148</v>
      </c>
      <c r="C3" s="19" t="s">
        <v>149</v>
      </c>
      <c r="D3" s="19" t="s">
        <v>150</v>
      </c>
    </row>
    <row r="4" spans="1:4" ht="55" customHeight="1" x14ac:dyDescent="0.35">
      <c r="A4" s="2" t="s">
        <v>151</v>
      </c>
      <c r="B4" s="2" t="s">
        <v>152</v>
      </c>
      <c r="C4" s="2" t="s">
        <v>153</v>
      </c>
      <c r="D4" s="2" t="s">
        <v>154</v>
      </c>
    </row>
    <row r="5" spans="1:4" ht="55" customHeight="1" x14ac:dyDescent="0.35">
      <c r="A5" s="2" t="s">
        <v>155</v>
      </c>
      <c r="B5" s="2" t="s">
        <v>156</v>
      </c>
      <c r="C5" s="2" t="s">
        <v>157</v>
      </c>
      <c r="D5" s="2" t="s">
        <v>158</v>
      </c>
    </row>
    <row r="6" spans="1:4" ht="55" customHeight="1" x14ac:dyDescent="0.35">
      <c r="A6" s="2" t="s">
        <v>159</v>
      </c>
      <c r="B6" s="2" t="s">
        <v>160</v>
      </c>
      <c r="C6" s="2" t="s">
        <v>161</v>
      </c>
      <c r="D6" s="2" t="s">
        <v>158</v>
      </c>
    </row>
    <row r="7" spans="1:4" ht="55" customHeight="1" x14ac:dyDescent="0.35">
      <c r="A7" s="2" t="s">
        <v>162</v>
      </c>
      <c r="B7" s="2" t="s">
        <v>163</v>
      </c>
      <c r="C7" s="2" t="s">
        <v>164</v>
      </c>
      <c r="D7" s="2" t="s">
        <v>158</v>
      </c>
    </row>
    <row r="8" spans="1:4" ht="55" customHeight="1" x14ac:dyDescent="0.35">
      <c r="A8" s="2" t="s">
        <v>165</v>
      </c>
      <c r="B8" s="2" t="s">
        <v>166</v>
      </c>
      <c r="C8" s="2" t="s">
        <v>167</v>
      </c>
      <c r="D8" s="2" t="s">
        <v>154</v>
      </c>
    </row>
    <row r="9" spans="1:4" ht="55" customHeight="1" x14ac:dyDescent="0.35">
      <c r="A9" s="2" t="s">
        <v>168</v>
      </c>
      <c r="B9" s="2" t="s">
        <v>169</v>
      </c>
      <c r="C9" s="2" t="s">
        <v>170</v>
      </c>
      <c r="D9" s="2" t="s">
        <v>158</v>
      </c>
    </row>
    <row r="10" spans="1:4" ht="55" customHeight="1" x14ac:dyDescent="0.35">
      <c r="A10" s="2" t="s">
        <v>171</v>
      </c>
      <c r="B10" s="2" t="s">
        <v>172</v>
      </c>
      <c r="C10" s="2" t="s">
        <v>173</v>
      </c>
      <c r="D10" s="2" t="s">
        <v>174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Employees</vt:lpstr>
      <vt:lpstr>Rotation_Pattern</vt:lpstr>
      <vt:lpstr>Public_Holidays</vt:lpstr>
      <vt:lpstr>Auto_Roster</vt:lpstr>
      <vt:lpstr>Claims</vt:lpstr>
      <vt:lpstr>Summary_Dashboard</vt:lpstr>
      <vt:lpstr>Compliance_Guide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Bashi Makhafola</cp:lastModifiedBy>
  <dcterms:created xsi:type="dcterms:W3CDTF">2026-04-27T21:37:51Z</dcterms:created>
  <dcterms:modified xsi:type="dcterms:W3CDTF">2026-04-28T15:00:28Z</dcterms:modified>
</cp:coreProperties>
</file>